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e0bf5cae351361fa/Coding Ninja/Case study/India CPI inflation/New/"/>
    </mc:Choice>
  </mc:AlternateContent>
  <xr:revisionPtr revIDLastSave="0" documentId="8_{46AE0FA8-B8B7-45E6-BF6E-92BFF98D613A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India CPI Inflation -CSV" sheetId="2" r:id="rId1"/>
    <sheet name="Category" sheetId="1" r:id="rId2"/>
    <sheet name="Data Dictionary" sheetId="4" r:id="rId3"/>
    <sheet name="Collated sheet Category wise" sheetId="10" r:id="rId4"/>
    <sheet name="DA-1" sheetId="3" r:id="rId5"/>
    <sheet name="DA-2" sheetId="5" r:id="rId6"/>
    <sheet name="DA-3" sheetId="6" r:id="rId7"/>
    <sheet name="DA-4" sheetId="9" r:id="rId8"/>
    <sheet name="DA-5" sheetId="11" r:id="rId9"/>
  </sheets>
  <externalReferences>
    <externalReference r:id="rId10"/>
  </externalReferences>
  <definedNames>
    <definedName name="_xlnm._FilterDatabase" localSheetId="3" hidden="1">'Collated sheet Category wise'!$A$1:$M$367</definedName>
    <definedName name="ExternalData_1" localSheetId="0" hidden="1">'India CPI Inflation -CSV'!$A$1:$AD$373</definedName>
    <definedName name="_xlnm.Print_Area" localSheetId="7">'DA-4'!$A$1:$L$59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9" l="1"/>
  <c r="G52" i="9"/>
  <c r="G53" i="9"/>
  <c r="G54" i="9"/>
  <c r="G55" i="9"/>
  <c r="G34" i="9"/>
  <c r="G35" i="9"/>
  <c r="G36" i="9"/>
  <c r="G37" i="9"/>
  <c r="G38" i="9"/>
  <c r="G17" i="9"/>
  <c r="G18" i="9"/>
  <c r="G19" i="9"/>
  <c r="G20" i="9"/>
  <c r="G21" i="9"/>
  <c r="G44" i="9"/>
  <c r="G45" i="9"/>
  <c r="G46" i="9"/>
  <c r="G47" i="9"/>
  <c r="G48" i="9"/>
  <c r="G49" i="9"/>
  <c r="G50" i="9"/>
  <c r="G27" i="9"/>
  <c r="G28" i="9"/>
  <c r="G29" i="9"/>
  <c r="G30" i="9"/>
  <c r="G31" i="9"/>
  <c r="G32" i="9"/>
  <c r="G33" i="9"/>
  <c r="G10" i="9"/>
  <c r="G11" i="9"/>
  <c r="G12" i="9"/>
  <c r="G13" i="9"/>
  <c r="G14" i="9"/>
  <c r="G15" i="9"/>
  <c r="G16" i="9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C42" i="11"/>
  <c r="E45" i="9"/>
  <c r="E46" i="9"/>
  <c r="E47" i="9"/>
  <c r="E48" i="9"/>
  <c r="E49" i="9"/>
  <c r="E50" i="9"/>
  <c r="E44" i="9"/>
  <c r="D45" i="9"/>
  <c r="D46" i="9"/>
  <c r="D47" i="9"/>
  <c r="D48" i="9"/>
  <c r="D49" i="9"/>
  <c r="D50" i="9"/>
  <c r="D44" i="9"/>
  <c r="C45" i="9"/>
  <c r="C46" i="9"/>
  <c r="C47" i="9"/>
  <c r="C48" i="9"/>
  <c r="C49" i="9"/>
  <c r="C50" i="9"/>
  <c r="C44" i="9"/>
  <c r="E28" i="9"/>
  <c r="E29" i="9"/>
  <c r="E30" i="9"/>
  <c r="E31" i="9"/>
  <c r="E32" i="9"/>
  <c r="E33" i="9"/>
  <c r="E27" i="9"/>
  <c r="D28" i="9"/>
  <c r="D29" i="9"/>
  <c r="D30" i="9"/>
  <c r="D31" i="9"/>
  <c r="D32" i="9"/>
  <c r="D33" i="9"/>
  <c r="D27" i="9"/>
  <c r="C28" i="9"/>
  <c r="C29" i="9"/>
  <c r="C30" i="9"/>
  <c r="C31" i="9"/>
  <c r="C32" i="9"/>
  <c r="C33" i="9"/>
  <c r="C27" i="9"/>
  <c r="E11" i="9"/>
  <c r="E12" i="9"/>
  <c r="E13" i="9"/>
  <c r="E14" i="9"/>
  <c r="E15" i="9"/>
  <c r="E16" i="9"/>
  <c r="E10" i="9"/>
  <c r="D11" i="9"/>
  <c r="D12" i="9"/>
  <c r="D13" i="9"/>
  <c r="D14" i="9"/>
  <c r="D15" i="9"/>
  <c r="D16" i="9"/>
  <c r="D10" i="9"/>
  <c r="C11" i="9"/>
  <c r="C12" i="9"/>
  <c r="C13" i="9"/>
  <c r="C14" i="9"/>
  <c r="C15" i="9"/>
  <c r="C16" i="9"/>
  <c r="C10" i="9"/>
  <c r="A2" i="10"/>
  <c r="B2" i="10"/>
  <c r="C2" i="10"/>
  <c r="D2" i="10" s="1"/>
  <c r="E2" i="10" s="1"/>
  <c r="F2" i="10"/>
  <c r="G2" i="10"/>
  <c r="H2" i="10"/>
  <c r="I2" i="10"/>
  <c r="J2" i="10"/>
  <c r="K2" i="10"/>
  <c r="L2" i="10"/>
  <c r="M2" i="10"/>
  <c r="A3" i="10"/>
  <c r="B3" i="10"/>
  <c r="C3" i="10"/>
  <c r="D3" i="10" s="1"/>
  <c r="E3" i="10" s="1"/>
  <c r="F3" i="10"/>
  <c r="G3" i="10"/>
  <c r="H3" i="10"/>
  <c r="I3" i="10"/>
  <c r="J3" i="10"/>
  <c r="K3" i="10"/>
  <c r="L3" i="10"/>
  <c r="M3" i="10"/>
  <c r="A4" i="10"/>
  <c r="B4" i="10"/>
  <c r="C4" i="10"/>
  <c r="D4" i="10"/>
  <c r="E4" i="10" s="1"/>
  <c r="F4" i="10"/>
  <c r="G4" i="10"/>
  <c r="H4" i="10"/>
  <c r="I4" i="10"/>
  <c r="J4" i="10"/>
  <c r="K4" i="10"/>
  <c r="L4" i="10"/>
  <c r="M4" i="10"/>
  <c r="A5" i="10"/>
  <c r="B5" i="10"/>
  <c r="C5" i="10"/>
  <c r="D5" i="10" s="1"/>
  <c r="E5" i="10" s="1"/>
  <c r="F5" i="10"/>
  <c r="G5" i="10"/>
  <c r="H5" i="10"/>
  <c r="I5" i="10"/>
  <c r="J5" i="10"/>
  <c r="K5" i="10"/>
  <c r="L5" i="10"/>
  <c r="M5" i="10"/>
  <c r="A6" i="10"/>
  <c r="B6" i="10"/>
  <c r="C6" i="10"/>
  <c r="D6" i="10" s="1"/>
  <c r="E6" i="10" s="1"/>
  <c r="F6" i="10"/>
  <c r="G6" i="10"/>
  <c r="H6" i="10"/>
  <c r="I6" i="10"/>
  <c r="J6" i="10"/>
  <c r="K6" i="10"/>
  <c r="L6" i="10"/>
  <c r="M6" i="10"/>
  <c r="A7" i="10"/>
  <c r="B7" i="10"/>
  <c r="C7" i="10"/>
  <c r="D7" i="10" s="1"/>
  <c r="E7" i="10" s="1"/>
  <c r="F7" i="10"/>
  <c r="G7" i="10"/>
  <c r="H7" i="10"/>
  <c r="I7" i="10"/>
  <c r="J7" i="10"/>
  <c r="K7" i="10"/>
  <c r="L7" i="10"/>
  <c r="M7" i="10"/>
  <c r="A8" i="10"/>
  <c r="B8" i="10"/>
  <c r="C8" i="10"/>
  <c r="F8" i="10"/>
  <c r="G8" i="10"/>
  <c r="H8" i="10"/>
  <c r="I8" i="10"/>
  <c r="J8" i="10"/>
  <c r="K8" i="10"/>
  <c r="L8" i="10"/>
  <c r="M8" i="10"/>
  <c r="A9" i="10"/>
  <c r="B9" i="10"/>
  <c r="D9" i="10" s="1"/>
  <c r="E9" i="10" s="1"/>
  <c r="C9" i="10"/>
  <c r="F9" i="10"/>
  <c r="G9" i="10"/>
  <c r="H9" i="10"/>
  <c r="I9" i="10"/>
  <c r="J9" i="10"/>
  <c r="K9" i="10"/>
  <c r="L9" i="10"/>
  <c r="M9" i="10"/>
  <c r="A10" i="10"/>
  <c r="B10" i="10"/>
  <c r="C10" i="10"/>
  <c r="F10" i="10"/>
  <c r="G10" i="10"/>
  <c r="H10" i="10"/>
  <c r="I10" i="10"/>
  <c r="J10" i="10"/>
  <c r="K10" i="10"/>
  <c r="L10" i="10"/>
  <c r="M10" i="10"/>
  <c r="A11" i="10"/>
  <c r="B11" i="10"/>
  <c r="D11" i="10" s="1"/>
  <c r="E11" i="10" s="1"/>
  <c r="C11" i="10"/>
  <c r="F11" i="10"/>
  <c r="G11" i="10"/>
  <c r="H11" i="10"/>
  <c r="I11" i="10"/>
  <c r="J11" i="10"/>
  <c r="K11" i="10"/>
  <c r="L11" i="10"/>
  <c r="M11" i="10"/>
  <c r="A12" i="10"/>
  <c r="B12" i="10"/>
  <c r="C12" i="10"/>
  <c r="D12" i="10" s="1"/>
  <c r="E12" i="10" s="1"/>
  <c r="F12" i="10"/>
  <c r="G12" i="10"/>
  <c r="H12" i="10"/>
  <c r="I12" i="10"/>
  <c r="J12" i="10"/>
  <c r="K12" i="10"/>
  <c r="L12" i="10"/>
  <c r="M12" i="10"/>
  <c r="A13" i="10"/>
  <c r="B13" i="10"/>
  <c r="C13" i="10"/>
  <c r="F13" i="10"/>
  <c r="G13" i="10"/>
  <c r="H13" i="10"/>
  <c r="I13" i="10"/>
  <c r="J13" i="10"/>
  <c r="K13" i="10"/>
  <c r="L13" i="10"/>
  <c r="M13" i="10"/>
  <c r="A14" i="10"/>
  <c r="B14" i="10"/>
  <c r="C14" i="10"/>
  <c r="D14" i="10" s="1"/>
  <c r="E14" i="10" s="1"/>
  <c r="F14" i="10"/>
  <c r="G14" i="10"/>
  <c r="H14" i="10"/>
  <c r="I14" i="10"/>
  <c r="J14" i="10"/>
  <c r="K14" i="10"/>
  <c r="L14" i="10"/>
  <c r="M14" i="10"/>
  <c r="A15" i="10"/>
  <c r="B15" i="10"/>
  <c r="C15" i="10"/>
  <c r="F15" i="10"/>
  <c r="G15" i="10"/>
  <c r="H15" i="10"/>
  <c r="I15" i="10"/>
  <c r="J15" i="10"/>
  <c r="K15" i="10"/>
  <c r="L15" i="10"/>
  <c r="M15" i="10"/>
  <c r="A16" i="10"/>
  <c r="B16" i="10"/>
  <c r="C16" i="10"/>
  <c r="F16" i="10"/>
  <c r="G16" i="10"/>
  <c r="H16" i="10"/>
  <c r="I16" i="10"/>
  <c r="J16" i="10"/>
  <c r="K16" i="10"/>
  <c r="L16" i="10"/>
  <c r="M16" i="10"/>
  <c r="A17" i="10"/>
  <c r="B17" i="10"/>
  <c r="C17" i="10"/>
  <c r="F17" i="10"/>
  <c r="G17" i="10"/>
  <c r="H17" i="10"/>
  <c r="I17" i="10"/>
  <c r="J17" i="10"/>
  <c r="K17" i="10"/>
  <c r="L17" i="10"/>
  <c r="M17" i="10"/>
  <c r="A18" i="10"/>
  <c r="B18" i="10"/>
  <c r="C18" i="10"/>
  <c r="F18" i="10"/>
  <c r="G18" i="10"/>
  <c r="H18" i="10"/>
  <c r="I18" i="10"/>
  <c r="J18" i="10"/>
  <c r="K18" i="10"/>
  <c r="L18" i="10"/>
  <c r="M18" i="10"/>
  <c r="A19" i="10"/>
  <c r="B19" i="10"/>
  <c r="D19" i="10" s="1"/>
  <c r="E19" i="10" s="1"/>
  <c r="C19" i="10"/>
  <c r="F19" i="10"/>
  <c r="G19" i="10"/>
  <c r="H19" i="10"/>
  <c r="I19" i="10"/>
  <c r="J19" i="10"/>
  <c r="K19" i="10"/>
  <c r="L19" i="10"/>
  <c r="M19" i="10"/>
  <c r="A20" i="10"/>
  <c r="B20" i="10"/>
  <c r="C20" i="10"/>
  <c r="F20" i="10"/>
  <c r="G20" i="10"/>
  <c r="H20" i="10"/>
  <c r="I20" i="10"/>
  <c r="J20" i="10"/>
  <c r="K20" i="10"/>
  <c r="L20" i="10"/>
  <c r="M20" i="10"/>
  <c r="A21" i="10"/>
  <c r="B21" i="10"/>
  <c r="C21" i="10"/>
  <c r="F21" i="10"/>
  <c r="G21" i="10"/>
  <c r="H21" i="10"/>
  <c r="I21" i="10"/>
  <c r="J21" i="10"/>
  <c r="K21" i="10"/>
  <c r="L21" i="10"/>
  <c r="M21" i="10"/>
  <c r="A22" i="10"/>
  <c r="B22" i="10"/>
  <c r="C22" i="10"/>
  <c r="F22" i="10"/>
  <c r="G22" i="10"/>
  <c r="H22" i="10"/>
  <c r="I22" i="10"/>
  <c r="J22" i="10"/>
  <c r="K22" i="10"/>
  <c r="L22" i="10"/>
  <c r="M22" i="10"/>
  <c r="A23" i="10"/>
  <c r="B23" i="10"/>
  <c r="C23" i="10"/>
  <c r="F23" i="10"/>
  <c r="G23" i="10"/>
  <c r="H23" i="10"/>
  <c r="I23" i="10"/>
  <c r="J23" i="10"/>
  <c r="K23" i="10"/>
  <c r="L23" i="10"/>
  <c r="M23" i="10"/>
  <c r="A24" i="10"/>
  <c r="B24" i="10"/>
  <c r="C24" i="10"/>
  <c r="F24" i="10"/>
  <c r="G24" i="10"/>
  <c r="H24" i="10"/>
  <c r="I24" i="10"/>
  <c r="J24" i="10"/>
  <c r="K24" i="10"/>
  <c r="L24" i="10"/>
  <c r="M24" i="10"/>
  <c r="A25" i="10"/>
  <c r="B25" i="10"/>
  <c r="D25" i="10" s="1"/>
  <c r="E25" i="10" s="1"/>
  <c r="C25" i="10"/>
  <c r="F25" i="10"/>
  <c r="G25" i="10"/>
  <c r="H25" i="10"/>
  <c r="I25" i="10"/>
  <c r="J25" i="10"/>
  <c r="K25" i="10"/>
  <c r="L25" i="10"/>
  <c r="M25" i="10"/>
  <c r="A26" i="10"/>
  <c r="B26" i="10"/>
  <c r="C26" i="10"/>
  <c r="F26" i="10"/>
  <c r="G26" i="10"/>
  <c r="H26" i="10"/>
  <c r="I26" i="10"/>
  <c r="J26" i="10"/>
  <c r="K26" i="10"/>
  <c r="L26" i="10"/>
  <c r="M26" i="10"/>
  <c r="A27" i="10"/>
  <c r="B27" i="10"/>
  <c r="C27" i="10"/>
  <c r="F27" i="10"/>
  <c r="G27" i="10"/>
  <c r="H27" i="10"/>
  <c r="I27" i="10"/>
  <c r="J27" i="10"/>
  <c r="K27" i="10"/>
  <c r="L27" i="10"/>
  <c r="M27" i="10"/>
  <c r="A28" i="10"/>
  <c r="B28" i="10"/>
  <c r="C28" i="10"/>
  <c r="F28" i="10"/>
  <c r="G28" i="10"/>
  <c r="H28" i="10"/>
  <c r="I28" i="10"/>
  <c r="J28" i="10"/>
  <c r="K28" i="10"/>
  <c r="L28" i="10"/>
  <c r="M28" i="10"/>
  <c r="A29" i="10"/>
  <c r="B29" i="10"/>
  <c r="C29" i="10"/>
  <c r="F29" i="10"/>
  <c r="G29" i="10"/>
  <c r="H29" i="10"/>
  <c r="I29" i="10"/>
  <c r="J29" i="10"/>
  <c r="K29" i="10"/>
  <c r="L29" i="10"/>
  <c r="M29" i="10"/>
  <c r="A30" i="10"/>
  <c r="B30" i="10"/>
  <c r="C30" i="10"/>
  <c r="F30" i="10"/>
  <c r="G30" i="10"/>
  <c r="H30" i="10"/>
  <c r="I30" i="10"/>
  <c r="J30" i="10"/>
  <c r="K30" i="10"/>
  <c r="L30" i="10"/>
  <c r="M30" i="10"/>
  <c r="A31" i="10"/>
  <c r="B31" i="10"/>
  <c r="C31" i="10"/>
  <c r="F31" i="10"/>
  <c r="G31" i="10"/>
  <c r="H31" i="10"/>
  <c r="I31" i="10"/>
  <c r="J31" i="10"/>
  <c r="K31" i="10"/>
  <c r="L31" i="10"/>
  <c r="M31" i="10"/>
  <c r="A32" i="10"/>
  <c r="B32" i="10"/>
  <c r="C32" i="10"/>
  <c r="F32" i="10"/>
  <c r="G32" i="10"/>
  <c r="H32" i="10"/>
  <c r="I32" i="10"/>
  <c r="J32" i="10"/>
  <c r="K32" i="10"/>
  <c r="L32" i="10"/>
  <c r="M32" i="10"/>
  <c r="A33" i="10"/>
  <c r="B33" i="10"/>
  <c r="C33" i="10"/>
  <c r="F33" i="10"/>
  <c r="G33" i="10"/>
  <c r="H33" i="10"/>
  <c r="I33" i="10"/>
  <c r="J33" i="10"/>
  <c r="K33" i="10"/>
  <c r="L33" i="10"/>
  <c r="M33" i="10"/>
  <c r="A34" i="10"/>
  <c r="B34" i="10"/>
  <c r="C34" i="10"/>
  <c r="F34" i="10"/>
  <c r="G34" i="10"/>
  <c r="H34" i="10"/>
  <c r="I34" i="10"/>
  <c r="J34" i="10"/>
  <c r="K34" i="10"/>
  <c r="L34" i="10"/>
  <c r="M34" i="10"/>
  <c r="A35" i="10"/>
  <c r="B35" i="10"/>
  <c r="C35" i="10"/>
  <c r="F35" i="10"/>
  <c r="G35" i="10"/>
  <c r="H35" i="10"/>
  <c r="I35" i="10"/>
  <c r="J35" i="10"/>
  <c r="K35" i="10"/>
  <c r="L35" i="10"/>
  <c r="M35" i="10"/>
  <c r="A36" i="10"/>
  <c r="B36" i="10"/>
  <c r="C36" i="10"/>
  <c r="F36" i="10"/>
  <c r="G36" i="10"/>
  <c r="H36" i="10"/>
  <c r="I36" i="10"/>
  <c r="J36" i="10"/>
  <c r="K36" i="10"/>
  <c r="L36" i="10"/>
  <c r="M36" i="10"/>
  <c r="A37" i="10"/>
  <c r="B37" i="10"/>
  <c r="C37" i="10"/>
  <c r="F37" i="10"/>
  <c r="G37" i="10"/>
  <c r="H37" i="10"/>
  <c r="I37" i="10"/>
  <c r="J37" i="10"/>
  <c r="K37" i="10"/>
  <c r="L37" i="10"/>
  <c r="M37" i="10"/>
  <c r="A38" i="10"/>
  <c r="B38" i="10"/>
  <c r="C38" i="10"/>
  <c r="F38" i="10"/>
  <c r="G38" i="10"/>
  <c r="H38" i="10"/>
  <c r="I38" i="10"/>
  <c r="J38" i="10"/>
  <c r="K38" i="10"/>
  <c r="L38" i="10"/>
  <c r="M38" i="10"/>
  <c r="A39" i="10"/>
  <c r="B39" i="10"/>
  <c r="C39" i="10"/>
  <c r="D39" i="10" s="1"/>
  <c r="E39" i="10" s="1"/>
  <c r="F39" i="10"/>
  <c r="G39" i="10"/>
  <c r="H39" i="10"/>
  <c r="I39" i="10"/>
  <c r="J39" i="10"/>
  <c r="K39" i="10"/>
  <c r="L39" i="10"/>
  <c r="M39" i="10"/>
  <c r="A40" i="10"/>
  <c r="B40" i="10"/>
  <c r="C40" i="10"/>
  <c r="F40" i="10"/>
  <c r="G40" i="10"/>
  <c r="H40" i="10"/>
  <c r="I40" i="10"/>
  <c r="J40" i="10"/>
  <c r="K40" i="10"/>
  <c r="L40" i="10"/>
  <c r="M40" i="10"/>
  <c r="A41" i="10"/>
  <c r="B41" i="10"/>
  <c r="C41" i="10"/>
  <c r="F41" i="10"/>
  <c r="G41" i="10"/>
  <c r="H41" i="10"/>
  <c r="I41" i="10"/>
  <c r="J41" i="10"/>
  <c r="K41" i="10"/>
  <c r="L41" i="10"/>
  <c r="M41" i="10"/>
  <c r="A42" i="10"/>
  <c r="B42" i="10"/>
  <c r="C42" i="10"/>
  <c r="F42" i="10"/>
  <c r="G42" i="10"/>
  <c r="H42" i="10"/>
  <c r="I42" i="10"/>
  <c r="J42" i="10"/>
  <c r="K42" i="10"/>
  <c r="L42" i="10"/>
  <c r="M42" i="10"/>
  <c r="A43" i="10"/>
  <c r="B43" i="10"/>
  <c r="C43" i="10"/>
  <c r="F43" i="10"/>
  <c r="G43" i="10"/>
  <c r="H43" i="10"/>
  <c r="I43" i="10"/>
  <c r="J43" i="10"/>
  <c r="K43" i="10"/>
  <c r="L43" i="10"/>
  <c r="M43" i="10"/>
  <c r="A44" i="10"/>
  <c r="B44" i="10"/>
  <c r="C44" i="10"/>
  <c r="F44" i="10"/>
  <c r="G44" i="10"/>
  <c r="H44" i="10"/>
  <c r="I44" i="10"/>
  <c r="J44" i="10"/>
  <c r="K44" i="10"/>
  <c r="L44" i="10"/>
  <c r="M44" i="10"/>
  <c r="A45" i="10"/>
  <c r="B45" i="10"/>
  <c r="C45" i="10"/>
  <c r="F45" i="10"/>
  <c r="G45" i="10"/>
  <c r="H45" i="10"/>
  <c r="I45" i="10"/>
  <c r="J45" i="10"/>
  <c r="K45" i="10"/>
  <c r="L45" i="10"/>
  <c r="M45" i="10"/>
  <c r="A46" i="10"/>
  <c r="B46" i="10"/>
  <c r="C46" i="10"/>
  <c r="F46" i="10"/>
  <c r="G46" i="10"/>
  <c r="H46" i="10"/>
  <c r="I46" i="10"/>
  <c r="J46" i="10"/>
  <c r="K46" i="10"/>
  <c r="L46" i="10"/>
  <c r="M46" i="10"/>
  <c r="A47" i="10"/>
  <c r="B47" i="10"/>
  <c r="C47" i="10"/>
  <c r="D47" i="10" s="1"/>
  <c r="E47" i="10" s="1"/>
  <c r="F47" i="10"/>
  <c r="G47" i="10"/>
  <c r="H47" i="10"/>
  <c r="I47" i="10"/>
  <c r="J47" i="10"/>
  <c r="K47" i="10"/>
  <c r="L47" i="10"/>
  <c r="M47" i="10"/>
  <c r="A48" i="10"/>
  <c r="B48" i="10"/>
  <c r="C48" i="10"/>
  <c r="F48" i="10"/>
  <c r="G48" i="10"/>
  <c r="H48" i="10"/>
  <c r="I48" i="10"/>
  <c r="J48" i="10"/>
  <c r="K48" i="10"/>
  <c r="L48" i="10"/>
  <c r="M48" i="10"/>
  <c r="A49" i="10"/>
  <c r="B49" i="10"/>
  <c r="C49" i="10"/>
  <c r="F49" i="10"/>
  <c r="G49" i="10"/>
  <c r="H49" i="10"/>
  <c r="I49" i="10"/>
  <c r="J49" i="10"/>
  <c r="K49" i="10"/>
  <c r="L49" i="10"/>
  <c r="M49" i="10"/>
  <c r="A50" i="10"/>
  <c r="B50" i="10"/>
  <c r="C50" i="10"/>
  <c r="F50" i="10"/>
  <c r="G50" i="10"/>
  <c r="H50" i="10"/>
  <c r="I50" i="10"/>
  <c r="J50" i="10"/>
  <c r="K50" i="10"/>
  <c r="L50" i="10"/>
  <c r="M50" i="10"/>
  <c r="A51" i="10"/>
  <c r="B51" i="10"/>
  <c r="D51" i="10" s="1"/>
  <c r="E51" i="10" s="1"/>
  <c r="C51" i="10"/>
  <c r="F51" i="10"/>
  <c r="G51" i="10"/>
  <c r="H51" i="10"/>
  <c r="I51" i="10"/>
  <c r="J51" i="10"/>
  <c r="K51" i="10"/>
  <c r="L51" i="10"/>
  <c r="M51" i="10"/>
  <c r="A52" i="10"/>
  <c r="B52" i="10"/>
  <c r="C52" i="10"/>
  <c r="F52" i="10"/>
  <c r="G52" i="10"/>
  <c r="H52" i="10"/>
  <c r="I52" i="10"/>
  <c r="J52" i="10"/>
  <c r="K52" i="10"/>
  <c r="L52" i="10"/>
  <c r="M52" i="10"/>
  <c r="A53" i="10"/>
  <c r="B53" i="10"/>
  <c r="C53" i="10"/>
  <c r="F53" i="10"/>
  <c r="G53" i="10"/>
  <c r="H53" i="10"/>
  <c r="I53" i="10"/>
  <c r="J53" i="10"/>
  <c r="K53" i="10"/>
  <c r="L53" i="10"/>
  <c r="M53" i="10"/>
  <c r="A54" i="10"/>
  <c r="B54" i="10"/>
  <c r="C54" i="10"/>
  <c r="F54" i="10"/>
  <c r="G54" i="10"/>
  <c r="H54" i="10"/>
  <c r="I54" i="10"/>
  <c r="J54" i="10"/>
  <c r="K54" i="10"/>
  <c r="L54" i="10"/>
  <c r="M54" i="10"/>
  <c r="A55" i="10"/>
  <c r="B55" i="10"/>
  <c r="C55" i="10"/>
  <c r="F55" i="10"/>
  <c r="G55" i="10"/>
  <c r="H55" i="10"/>
  <c r="I55" i="10"/>
  <c r="J55" i="10"/>
  <c r="K55" i="10"/>
  <c r="L55" i="10"/>
  <c r="M55" i="10"/>
  <c r="A56" i="10"/>
  <c r="B56" i="10"/>
  <c r="C56" i="10"/>
  <c r="F56" i="10"/>
  <c r="G56" i="10"/>
  <c r="H56" i="10"/>
  <c r="I56" i="10"/>
  <c r="J56" i="10"/>
  <c r="K56" i="10"/>
  <c r="L56" i="10"/>
  <c r="M56" i="10"/>
  <c r="A57" i="10"/>
  <c r="B57" i="10"/>
  <c r="C57" i="10"/>
  <c r="F57" i="10"/>
  <c r="G57" i="10"/>
  <c r="H57" i="10"/>
  <c r="I57" i="10"/>
  <c r="J57" i="10"/>
  <c r="K57" i="10"/>
  <c r="L57" i="10"/>
  <c r="M57" i="10"/>
  <c r="A58" i="10"/>
  <c r="B58" i="10"/>
  <c r="C58" i="10"/>
  <c r="F58" i="10"/>
  <c r="G58" i="10"/>
  <c r="H58" i="10"/>
  <c r="I58" i="10"/>
  <c r="J58" i="10"/>
  <c r="K58" i="10"/>
  <c r="L58" i="10"/>
  <c r="M58" i="10"/>
  <c r="A59" i="10"/>
  <c r="B59" i="10"/>
  <c r="C59" i="10"/>
  <c r="F59" i="10"/>
  <c r="G59" i="10"/>
  <c r="H59" i="10"/>
  <c r="I59" i="10"/>
  <c r="J59" i="10"/>
  <c r="K59" i="10"/>
  <c r="L59" i="10"/>
  <c r="M59" i="10"/>
  <c r="A60" i="10"/>
  <c r="B60" i="10"/>
  <c r="C60" i="10"/>
  <c r="F60" i="10"/>
  <c r="G60" i="10"/>
  <c r="H60" i="10"/>
  <c r="I60" i="10"/>
  <c r="J60" i="10"/>
  <c r="K60" i="10"/>
  <c r="L60" i="10"/>
  <c r="M60" i="10"/>
  <c r="A61" i="10"/>
  <c r="B61" i="10"/>
  <c r="C61" i="10"/>
  <c r="F61" i="10"/>
  <c r="G61" i="10"/>
  <c r="H61" i="10"/>
  <c r="I61" i="10"/>
  <c r="J61" i="10"/>
  <c r="K61" i="10"/>
  <c r="L61" i="10"/>
  <c r="M61" i="10"/>
  <c r="A62" i="10"/>
  <c r="B62" i="10"/>
  <c r="C62" i="10"/>
  <c r="F62" i="10"/>
  <c r="G62" i="10"/>
  <c r="H62" i="10"/>
  <c r="I62" i="10"/>
  <c r="J62" i="10"/>
  <c r="K62" i="10"/>
  <c r="L62" i="10"/>
  <c r="M62" i="10"/>
  <c r="A63" i="10"/>
  <c r="B63" i="10"/>
  <c r="C63" i="10"/>
  <c r="D63" i="10" s="1"/>
  <c r="E63" i="10" s="1"/>
  <c r="F63" i="10"/>
  <c r="G63" i="10"/>
  <c r="H63" i="10"/>
  <c r="I63" i="10"/>
  <c r="J63" i="10"/>
  <c r="K63" i="10"/>
  <c r="L63" i="10"/>
  <c r="M63" i="10"/>
  <c r="A64" i="10"/>
  <c r="B64" i="10"/>
  <c r="C64" i="10"/>
  <c r="F64" i="10"/>
  <c r="G64" i="10"/>
  <c r="H64" i="10"/>
  <c r="I64" i="10"/>
  <c r="J64" i="10"/>
  <c r="K64" i="10"/>
  <c r="L64" i="10"/>
  <c r="M64" i="10"/>
  <c r="A65" i="10"/>
  <c r="B65" i="10"/>
  <c r="C65" i="10"/>
  <c r="F65" i="10"/>
  <c r="G65" i="10"/>
  <c r="H65" i="10"/>
  <c r="I65" i="10"/>
  <c r="J65" i="10"/>
  <c r="K65" i="10"/>
  <c r="L65" i="10"/>
  <c r="M65" i="10"/>
  <c r="A66" i="10"/>
  <c r="B66" i="10"/>
  <c r="C66" i="10"/>
  <c r="F66" i="10"/>
  <c r="G66" i="10"/>
  <c r="H66" i="10"/>
  <c r="I66" i="10"/>
  <c r="J66" i="10"/>
  <c r="K66" i="10"/>
  <c r="L66" i="10"/>
  <c r="M66" i="10"/>
  <c r="A67" i="10"/>
  <c r="B67" i="10"/>
  <c r="C67" i="10"/>
  <c r="F67" i="10"/>
  <c r="G67" i="10"/>
  <c r="H67" i="10"/>
  <c r="I67" i="10"/>
  <c r="J67" i="10"/>
  <c r="K67" i="10"/>
  <c r="L67" i="10"/>
  <c r="M67" i="10"/>
  <c r="A68" i="10"/>
  <c r="B68" i="10"/>
  <c r="C68" i="10"/>
  <c r="F68" i="10"/>
  <c r="G68" i="10"/>
  <c r="H68" i="10"/>
  <c r="I68" i="10"/>
  <c r="J68" i="10"/>
  <c r="K68" i="10"/>
  <c r="L68" i="10"/>
  <c r="M68" i="10"/>
  <c r="A69" i="10"/>
  <c r="B69" i="10"/>
  <c r="C69" i="10"/>
  <c r="F69" i="10"/>
  <c r="G69" i="10"/>
  <c r="H69" i="10"/>
  <c r="I69" i="10"/>
  <c r="J69" i="10"/>
  <c r="K69" i="10"/>
  <c r="L69" i="10"/>
  <c r="M69" i="10"/>
  <c r="A70" i="10"/>
  <c r="B70" i="10"/>
  <c r="C70" i="10"/>
  <c r="F70" i="10"/>
  <c r="G70" i="10"/>
  <c r="H70" i="10"/>
  <c r="I70" i="10"/>
  <c r="J70" i="10"/>
  <c r="K70" i="10"/>
  <c r="L70" i="10"/>
  <c r="M70" i="10"/>
  <c r="A71" i="10"/>
  <c r="B71" i="10"/>
  <c r="C71" i="10"/>
  <c r="D71" i="10" s="1"/>
  <c r="E71" i="10" s="1"/>
  <c r="F71" i="10"/>
  <c r="G71" i="10"/>
  <c r="H71" i="10"/>
  <c r="I71" i="10"/>
  <c r="J71" i="10"/>
  <c r="K71" i="10"/>
  <c r="L71" i="10"/>
  <c r="M71" i="10"/>
  <c r="A72" i="10"/>
  <c r="B72" i="10"/>
  <c r="C72" i="10"/>
  <c r="F72" i="10"/>
  <c r="G72" i="10"/>
  <c r="H72" i="10"/>
  <c r="I72" i="10"/>
  <c r="J72" i="10"/>
  <c r="K72" i="10"/>
  <c r="L72" i="10"/>
  <c r="M72" i="10"/>
  <c r="A73" i="10"/>
  <c r="B73" i="10"/>
  <c r="C73" i="10"/>
  <c r="F73" i="10"/>
  <c r="G73" i="10"/>
  <c r="H73" i="10"/>
  <c r="I73" i="10"/>
  <c r="J73" i="10"/>
  <c r="K73" i="10"/>
  <c r="L73" i="10"/>
  <c r="M73" i="10"/>
  <c r="A74" i="10"/>
  <c r="B74" i="10"/>
  <c r="C74" i="10"/>
  <c r="F74" i="10"/>
  <c r="G74" i="10"/>
  <c r="H74" i="10"/>
  <c r="I74" i="10"/>
  <c r="J74" i="10"/>
  <c r="K74" i="10"/>
  <c r="L74" i="10"/>
  <c r="M74" i="10"/>
  <c r="A75" i="10"/>
  <c r="B75" i="10"/>
  <c r="C75" i="10"/>
  <c r="F75" i="10"/>
  <c r="G75" i="10"/>
  <c r="H75" i="10"/>
  <c r="I75" i="10"/>
  <c r="J75" i="10"/>
  <c r="K75" i="10"/>
  <c r="L75" i="10"/>
  <c r="M75" i="10"/>
  <c r="A76" i="10"/>
  <c r="B76" i="10"/>
  <c r="C76" i="10"/>
  <c r="F76" i="10"/>
  <c r="G76" i="10"/>
  <c r="H76" i="10"/>
  <c r="I76" i="10"/>
  <c r="J76" i="10"/>
  <c r="K76" i="10"/>
  <c r="L76" i="10"/>
  <c r="M76" i="10"/>
  <c r="A77" i="10"/>
  <c r="B77" i="10"/>
  <c r="D77" i="10" s="1"/>
  <c r="E77" i="10" s="1"/>
  <c r="C77" i="10"/>
  <c r="F77" i="10"/>
  <c r="G77" i="10"/>
  <c r="H77" i="10"/>
  <c r="I77" i="10"/>
  <c r="J77" i="10"/>
  <c r="K77" i="10"/>
  <c r="L77" i="10"/>
  <c r="M77" i="10"/>
  <c r="A78" i="10"/>
  <c r="B78" i="10"/>
  <c r="C78" i="10"/>
  <c r="F78" i="10"/>
  <c r="G78" i="10"/>
  <c r="H78" i="10"/>
  <c r="I78" i="10"/>
  <c r="J78" i="10"/>
  <c r="K78" i="10"/>
  <c r="L78" i="10"/>
  <c r="M78" i="10"/>
  <c r="A79" i="10"/>
  <c r="B79" i="10"/>
  <c r="C79" i="10"/>
  <c r="F79" i="10"/>
  <c r="G79" i="10"/>
  <c r="H79" i="10"/>
  <c r="I79" i="10"/>
  <c r="J79" i="10"/>
  <c r="K79" i="10"/>
  <c r="L79" i="10"/>
  <c r="M79" i="10"/>
  <c r="A80" i="10"/>
  <c r="B80" i="10"/>
  <c r="C80" i="10"/>
  <c r="F80" i="10"/>
  <c r="G80" i="10"/>
  <c r="H80" i="10"/>
  <c r="I80" i="10"/>
  <c r="J80" i="10"/>
  <c r="K80" i="10"/>
  <c r="L80" i="10"/>
  <c r="M80" i="10"/>
  <c r="A81" i="10"/>
  <c r="B81" i="10"/>
  <c r="C81" i="10"/>
  <c r="D81" i="10" s="1"/>
  <c r="E81" i="10" s="1"/>
  <c r="F81" i="10"/>
  <c r="G81" i="10"/>
  <c r="H81" i="10"/>
  <c r="I81" i="10"/>
  <c r="J81" i="10"/>
  <c r="K81" i="10"/>
  <c r="L81" i="10"/>
  <c r="M81" i="10"/>
  <c r="A82" i="10"/>
  <c r="B82" i="10"/>
  <c r="C82" i="10"/>
  <c r="F82" i="10"/>
  <c r="G82" i="10"/>
  <c r="H82" i="10"/>
  <c r="I82" i="10"/>
  <c r="J82" i="10"/>
  <c r="K82" i="10"/>
  <c r="L82" i="10"/>
  <c r="M82" i="10"/>
  <c r="A83" i="10"/>
  <c r="B83" i="10"/>
  <c r="C83" i="10"/>
  <c r="F83" i="10"/>
  <c r="G83" i="10"/>
  <c r="H83" i="10"/>
  <c r="I83" i="10"/>
  <c r="J83" i="10"/>
  <c r="K83" i="10"/>
  <c r="L83" i="10"/>
  <c r="M83" i="10"/>
  <c r="A84" i="10"/>
  <c r="B84" i="10"/>
  <c r="C84" i="10"/>
  <c r="F84" i="10"/>
  <c r="G84" i="10"/>
  <c r="H84" i="10"/>
  <c r="I84" i="10"/>
  <c r="J84" i="10"/>
  <c r="K84" i="10"/>
  <c r="L84" i="10"/>
  <c r="M84" i="10"/>
  <c r="A85" i="10"/>
  <c r="B85" i="10"/>
  <c r="C85" i="10"/>
  <c r="F85" i="10"/>
  <c r="G85" i="10"/>
  <c r="H85" i="10"/>
  <c r="I85" i="10"/>
  <c r="J85" i="10"/>
  <c r="K85" i="10"/>
  <c r="L85" i="10"/>
  <c r="M85" i="10"/>
  <c r="A86" i="10"/>
  <c r="B86" i="10"/>
  <c r="C86" i="10"/>
  <c r="D86" i="10" s="1"/>
  <c r="E86" i="10" s="1"/>
  <c r="F86" i="10"/>
  <c r="G86" i="10"/>
  <c r="H86" i="10"/>
  <c r="I86" i="10"/>
  <c r="J86" i="10"/>
  <c r="K86" i="10"/>
  <c r="L86" i="10"/>
  <c r="M86" i="10"/>
  <c r="A87" i="10"/>
  <c r="B87" i="10"/>
  <c r="C87" i="10"/>
  <c r="F87" i="10"/>
  <c r="G87" i="10"/>
  <c r="H87" i="10"/>
  <c r="I87" i="10"/>
  <c r="J87" i="10"/>
  <c r="K87" i="10"/>
  <c r="L87" i="10"/>
  <c r="M87" i="10"/>
  <c r="A88" i="10"/>
  <c r="B88" i="10"/>
  <c r="C88" i="10"/>
  <c r="F88" i="10"/>
  <c r="G88" i="10"/>
  <c r="H88" i="10"/>
  <c r="I88" i="10"/>
  <c r="J88" i="10"/>
  <c r="K88" i="10"/>
  <c r="L88" i="10"/>
  <c r="M88" i="10"/>
  <c r="A89" i="10"/>
  <c r="B89" i="10"/>
  <c r="C89" i="10"/>
  <c r="F89" i="10"/>
  <c r="G89" i="10"/>
  <c r="H89" i="10"/>
  <c r="I89" i="10"/>
  <c r="J89" i="10"/>
  <c r="K89" i="10"/>
  <c r="L89" i="10"/>
  <c r="M89" i="10"/>
  <c r="A90" i="10"/>
  <c r="B90" i="10"/>
  <c r="C90" i="10"/>
  <c r="F90" i="10"/>
  <c r="G90" i="10"/>
  <c r="H90" i="10"/>
  <c r="I90" i="10"/>
  <c r="J90" i="10"/>
  <c r="K90" i="10"/>
  <c r="L90" i="10"/>
  <c r="M90" i="10"/>
  <c r="A91" i="10"/>
  <c r="B91" i="10"/>
  <c r="D91" i="10" s="1"/>
  <c r="E91" i="10" s="1"/>
  <c r="C91" i="10"/>
  <c r="F91" i="10"/>
  <c r="G91" i="10"/>
  <c r="H91" i="10"/>
  <c r="I91" i="10"/>
  <c r="J91" i="10"/>
  <c r="K91" i="10"/>
  <c r="L91" i="10"/>
  <c r="M91" i="10"/>
  <c r="A92" i="10"/>
  <c r="B92" i="10"/>
  <c r="C92" i="10"/>
  <c r="F92" i="10"/>
  <c r="G92" i="10"/>
  <c r="H92" i="10"/>
  <c r="I92" i="10"/>
  <c r="J92" i="10"/>
  <c r="K92" i="10"/>
  <c r="L92" i="10"/>
  <c r="M92" i="10"/>
  <c r="A93" i="10"/>
  <c r="B93" i="10"/>
  <c r="C93" i="10"/>
  <c r="F93" i="10"/>
  <c r="G93" i="10"/>
  <c r="H93" i="10"/>
  <c r="I93" i="10"/>
  <c r="J93" i="10"/>
  <c r="K93" i="10"/>
  <c r="L93" i="10"/>
  <c r="M93" i="10"/>
  <c r="A94" i="10"/>
  <c r="B94" i="10"/>
  <c r="C94" i="10"/>
  <c r="F94" i="10"/>
  <c r="G94" i="10"/>
  <c r="H94" i="10"/>
  <c r="I94" i="10"/>
  <c r="J94" i="10"/>
  <c r="K94" i="10"/>
  <c r="L94" i="10"/>
  <c r="M94" i="10"/>
  <c r="A95" i="10"/>
  <c r="B95" i="10"/>
  <c r="C95" i="10"/>
  <c r="F95" i="10"/>
  <c r="G95" i="10"/>
  <c r="H95" i="10"/>
  <c r="I95" i="10"/>
  <c r="J95" i="10"/>
  <c r="K95" i="10"/>
  <c r="L95" i="10"/>
  <c r="M95" i="10"/>
  <c r="A96" i="10"/>
  <c r="B96" i="10"/>
  <c r="C96" i="10"/>
  <c r="F96" i="10"/>
  <c r="G96" i="10"/>
  <c r="H96" i="10"/>
  <c r="I96" i="10"/>
  <c r="J96" i="10"/>
  <c r="K96" i="10"/>
  <c r="L96" i="10"/>
  <c r="M96" i="10"/>
  <c r="A97" i="10"/>
  <c r="B97" i="10"/>
  <c r="C97" i="10"/>
  <c r="F97" i="10"/>
  <c r="G97" i="10"/>
  <c r="H97" i="10"/>
  <c r="I97" i="10"/>
  <c r="J97" i="10"/>
  <c r="K97" i="10"/>
  <c r="L97" i="10"/>
  <c r="M97" i="10"/>
  <c r="A98" i="10"/>
  <c r="B98" i="10"/>
  <c r="C98" i="10"/>
  <c r="F98" i="10"/>
  <c r="G98" i="10"/>
  <c r="H98" i="10"/>
  <c r="I98" i="10"/>
  <c r="J98" i="10"/>
  <c r="K98" i="10"/>
  <c r="L98" i="10"/>
  <c r="M98" i="10"/>
  <c r="A99" i="10"/>
  <c r="B99" i="10"/>
  <c r="C99" i="10"/>
  <c r="F99" i="10"/>
  <c r="G99" i="10"/>
  <c r="H99" i="10"/>
  <c r="I99" i="10"/>
  <c r="J99" i="10"/>
  <c r="K99" i="10"/>
  <c r="L99" i="10"/>
  <c r="M99" i="10"/>
  <c r="A100" i="10"/>
  <c r="B100" i="10"/>
  <c r="C100" i="10"/>
  <c r="F100" i="10"/>
  <c r="G100" i="10"/>
  <c r="H100" i="10"/>
  <c r="I100" i="10"/>
  <c r="J100" i="10"/>
  <c r="K100" i="10"/>
  <c r="L100" i="10"/>
  <c r="M100" i="10"/>
  <c r="A101" i="10"/>
  <c r="B101" i="10"/>
  <c r="D101" i="10" s="1"/>
  <c r="E101" i="10" s="1"/>
  <c r="C101" i="10"/>
  <c r="F101" i="10"/>
  <c r="G101" i="10"/>
  <c r="H101" i="10"/>
  <c r="I101" i="10"/>
  <c r="J101" i="10"/>
  <c r="K101" i="10"/>
  <c r="L101" i="10"/>
  <c r="M101" i="10"/>
  <c r="A102" i="10"/>
  <c r="B102" i="10"/>
  <c r="C102" i="10"/>
  <c r="F102" i="10"/>
  <c r="G102" i="10"/>
  <c r="H102" i="10"/>
  <c r="I102" i="10"/>
  <c r="J102" i="10"/>
  <c r="K102" i="10"/>
  <c r="L102" i="10"/>
  <c r="M102" i="10"/>
  <c r="A103" i="10"/>
  <c r="B103" i="10"/>
  <c r="C103" i="10"/>
  <c r="D103" i="10" s="1"/>
  <c r="E103" i="10" s="1"/>
  <c r="F103" i="10"/>
  <c r="G103" i="10"/>
  <c r="H103" i="10"/>
  <c r="I103" i="10"/>
  <c r="J103" i="10"/>
  <c r="K103" i="10"/>
  <c r="L103" i="10"/>
  <c r="M103" i="10"/>
  <c r="A104" i="10"/>
  <c r="B104" i="10"/>
  <c r="C104" i="10"/>
  <c r="F104" i="10"/>
  <c r="G104" i="10"/>
  <c r="H104" i="10"/>
  <c r="I104" i="10"/>
  <c r="J104" i="10"/>
  <c r="K104" i="10"/>
  <c r="L104" i="10"/>
  <c r="M104" i="10"/>
  <c r="A105" i="10"/>
  <c r="B105" i="10"/>
  <c r="C105" i="10"/>
  <c r="F105" i="10"/>
  <c r="G105" i="10"/>
  <c r="H105" i="10"/>
  <c r="I105" i="10"/>
  <c r="J105" i="10"/>
  <c r="K105" i="10"/>
  <c r="L105" i="10"/>
  <c r="M105" i="10"/>
  <c r="A106" i="10"/>
  <c r="B106" i="10"/>
  <c r="C106" i="10"/>
  <c r="F106" i="10"/>
  <c r="G106" i="10"/>
  <c r="H106" i="10"/>
  <c r="I106" i="10"/>
  <c r="J106" i="10"/>
  <c r="K106" i="10"/>
  <c r="L106" i="10"/>
  <c r="M106" i="10"/>
  <c r="A107" i="10"/>
  <c r="B107" i="10"/>
  <c r="C107" i="10"/>
  <c r="F107" i="10"/>
  <c r="G107" i="10"/>
  <c r="H107" i="10"/>
  <c r="I107" i="10"/>
  <c r="J107" i="10"/>
  <c r="K107" i="10"/>
  <c r="L107" i="10"/>
  <c r="M107" i="10"/>
  <c r="A108" i="10"/>
  <c r="B108" i="10"/>
  <c r="C108" i="10"/>
  <c r="F108" i="10"/>
  <c r="G108" i="10"/>
  <c r="H108" i="10"/>
  <c r="I108" i="10"/>
  <c r="J108" i="10"/>
  <c r="K108" i="10"/>
  <c r="L108" i="10"/>
  <c r="M108" i="10"/>
  <c r="A109" i="10"/>
  <c r="B109" i="10"/>
  <c r="C109" i="10"/>
  <c r="F109" i="10"/>
  <c r="G109" i="10"/>
  <c r="H109" i="10"/>
  <c r="I109" i="10"/>
  <c r="J109" i="10"/>
  <c r="K109" i="10"/>
  <c r="L109" i="10"/>
  <c r="M109" i="10"/>
  <c r="A110" i="10"/>
  <c r="B110" i="10"/>
  <c r="C110" i="10"/>
  <c r="F110" i="10"/>
  <c r="G110" i="10"/>
  <c r="H110" i="10"/>
  <c r="I110" i="10"/>
  <c r="J110" i="10"/>
  <c r="K110" i="10"/>
  <c r="L110" i="10"/>
  <c r="M110" i="10"/>
  <c r="A111" i="10"/>
  <c r="B111" i="10"/>
  <c r="C111" i="10"/>
  <c r="D111" i="10" s="1"/>
  <c r="E111" i="10" s="1"/>
  <c r="F111" i="10"/>
  <c r="G111" i="10"/>
  <c r="H111" i="10"/>
  <c r="I111" i="10"/>
  <c r="J111" i="10"/>
  <c r="K111" i="10"/>
  <c r="L111" i="10"/>
  <c r="M111" i="10"/>
  <c r="A112" i="10"/>
  <c r="B112" i="10"/>
  <c r="C112" i="10"/>
  <c r="F112" i="10"/>
  <c r="G112" i="10"/>
  <c r="H112" i="10"/>
  <c r="I112" i="10"/>
  <c r="J112" i="10"/>
  <c r="K112" i="10"/>
  <c r="L112" i="10"/>
  <c r="M112" i="10"/>
  <c r="A113" i="10"/>
  <c r="B113" i="10"/>
  <c r="C113" i="10"/>
  <c r="F113" i="10"/>
  <c r="G113" i="10"/>
  <c r="H113" i="10"/>
  <c r="I113" i="10"/>
  <c r="J113" i="10"/>
  <c r="K113" i="10"/>
  <c r="L113" i="10"/>
  <c r="M113" i="10"/>
  <c r="A114" i="10"/>
  <c r="B114" i="10"/>
  <c r="C114" i="10"/>
  <c r="D114" i="10" s="1"/>
  <c r="E114" i="10" s="1"/>
  <c r="F114" i="10"/>
  <c r="G114" i="10"/>
  <c r="H114" i="10"/>
  <c r="I114" i="10"/>
  <c r="J114" i="10"/>
  <c r="K114" i="10"/>
  <c r="L114" i="10"/>
  <c r="M114" i="10"/>
  <c r="A115" i="10"/>
  <c r="B115" i="10"/>
  <c r="D115" i="10" s="1"/>
  <c r="E115" i="10" s="1"/>
  <c r="C115" i="10"/>
  <c r="F115" i="10"/>
  <c r="G115" i="10"/>
  <c r="H115" i="10"/>
  <c r="I115" i="10"/>
  <c r="J115" i="10"/>
  <c r="K115" i="10"/>
  <c r="L115" i="10"/>
  <c r="M115" i="10"/>
  <c r="A116" i="10"/>
  <c r="B116" i="10"/>
  <c r="C116" i="10"/>
  <c r="F116" i="10"/>
  <c r="G116" i="10"/>
  <c r="H116" i="10"/>
  <c r="I116" i="10"/>
  <c r="J116" i="10"/>
  <c r="K116" i="10"/>
  <c r="L116" i="10"/>
  <c r="M116" i="10"/>
  <c r="A117" i="10"/>
  <c r="B117" i="10"/>
  <c r="C117" i="10"/>
  <c r="F117" i="10"/>
  <c r="G117" i="10"/>
  <c r="H117" i="10"/>
  <c r="I117" i="10"/>
  <c r="J117" i="10"/>
  <c r="K117" i="10"/>
  <c r="L117" i="10"/>
  <c r="M117" i="10"/>
  <c r="A118" i="10"/>
  <c r="B118" i="10"/>
  <c r="C118" i="10"/>
  <c r="F118" i="10"/>
  <c r="G118" i="10"/>
  <c r="H118" i="10"/>
  <c r="I118" i="10"/>
  <c r="J118" i="10"/>
  <c r="K118" i="10"/>
  <c r="L118" i="10"/>
  <c r="M118" i="10"/>
  <c r="A119" i="10"/>
  <c r="B119" i="10"/>
  <c r="C119" i="10"/>
  <c r="F119" i="10"/>
  <c r="G119" i="10"/>
  <c r="H119" i="10"/>
  <c r="I119" i="10"/>
  <c r="J119" i="10"/>
  <c r="K119" i="10"/>
  <c r="L119" i="10"/>
  <c r="M119" i="10"/>
  <c r="A120" i="10"/>
  <c r="B120" i="10"/>
  <c r="C120" i="10"/>
  <c r="F120" i="10"/>
  <c r="G120" i="10"/>
  <c r="H120" i="10"/>
  <c r="I120" i="10"/>
  <c r="J120" i="10"/>
  <c r="K120" i="10"/>
  <c r="L120" i="10"/>
  <c r="M120" i="10"/>
  <c r="A121" i="10"/>
  <c r="B121" i="10"/>
  <c r="C121" i="10"/>
  <c r="D121" i="10" s="1"/>
  <c r="E121" i="10" s="1"/>
  <c r="F121" i="10"/>
  <c r="G121" i="10"/>
  <c r="H121" i="10"/>
  <c r="I121" i="10"/>
  <c r="J121" i="10"/>
  <c r="K121" i="10"/>
  <c r="L121" i="10"/>
  <c r="M121" i="10"/>
  <c r="A122" i="10"/>
  <c r="B122" i="10"/>
  <c r="C122" i="10"/>
  <c r="F122" i="10"/>
  <c r="G122" i="10"/>
  <c r="H122" i="10"/>
  <c r="I122" i="10"/>
  <c r="J122" i="10"/>
  <c r="K122" i="10"/>
  <c r="L122" i="10"/>
  <c r="M122" i="10"/>
  <c r="A123" i="10"/>
  <c r="B123" i="10"/>
  <c r="D123" i="10" s="1"/>
  <c r="E123" i="10" s="1"/>
  <c r="C123" i="10"/>
  <c r="F123" i="10"/>
  <c r="G123" i="10"/>
  <c r="H123" i="10"/>
  <c r="I123" i="10"/>
  <c r="J123" i="10"/>
  <c r="K123" i="10"/>
  <c r="L123" i="10"/>
  <c r="M123" i="10"/>
  <c r="A124" i="10"/>
  <c r="B124" i="10"/>
  <c r="C124" i="10"/>
  <c r="F124" i="10"/>
  <c r="G124" i="10"/>
  <c r="H124" i="10"/>
  <c r="I124" i="10"/>
  <c r="J124" i="10"/>
  <c r="K124" i="10"/>
  <c r="L124" i="10"/>
  <c r="M124" i="10"/>
  <c r="A125" i="10"/>
  <c r="B125" i="10"/>
  <c r="C125" i="10"/>
  <c r="F125" i="10"/>
  <c r="G125" i="10"/>
  <c r="H125" i="10"/>
  <c r="I125" i="10"/>
  <c r="J125" i="10"/>
  <c r="K125" i="10"/>
  <c r="L125" i="10"/>
  <c r="M125" i="10"/>
  <c r="A126" i="10"/>
  <c r="B126" i="10"/>
  <c r="C126" i="10"/>
  <c r="F126" i="10"/>
  <c r="G126" i="10"/>
  <c r="H126" i="10"/>
  <c r="I126" i="10"/>
  <c r="J126" i="10"/>
  <c r="K126" i="10"/>
  <c r="L126" i="10"/>
  <c r="M126" i="10"/>
  <c r="A127" i="10"/>
  <c r="B127" i="10"/>
  <c r="C127" i="10"/>
  <c r="F127" i="10"/>
  <c r="G127" i="10"/>
  <c r="H127" i="10"/>
  <c r="I127" i="10"/>
  <c r="J127" i="10"/>
  <c r="K127" i="10"/>
  <c r="L127" i="10"/>
  <c r="M127" i="10"/>
  <c r="A128" i="10"/>
  <c r="B128" i="10"/>
  <c r="C128" i="10"/>
  <c r="F128" i="10"/>
  <c r="G128" i="10"/>
  <c r="H128" i="10"/>
  <c r="I128" i="10"/>
  <c r="J128" i="10"/>
  <c r="K128" i="10"/>
  <c r="L128" i="10"/>
  <c r="M128" i="10"/>
  <c r="A129" i="10"/>
  <c r="B129" i="10"/>
  <c r="C129" i="10"/>
  <c r="D129" i="10" s="1"/>
  <c r="E129" i="10" s="1"/>
  <c r="F129" i="10"/>
  <c r="G129" i="10"/>
  <c r="H129" i="10"/>
  <c r="I129" i="10"/>
  <c r="J129" i="10"/>
  <c r="K129" i="10"/>
  <c r="L129" i="10"/>
  <c r="M129" i="10"/>
  <c r="A130" i="10"/>
  <c r="B130" i="10"/>
  <c r="C130" i="10"/>
  <c r="F130" i="10"/>
  <c r="G130" i="10"/>
  <c r="H130" i="10"/>
  <c r="I130" i="10"/>
  <c r="J130" i="10"/>
  <c r="K130" i="10"/>
  <c r="L130" i="10"/>
  <c r="M130" i="10"/>
  <c r="A131" i="10"/>
  <c r="B131" i="10"/>
  <c r="C131" i="10"/>
  <c r="F131" i="10"/>
  <c r="G131" i="10"/>
  <c r="H131" i="10"/>
  <c r="I131" i="10"/>
  <c r="J131" i="10"/>
  <c r="K131" i="10"/>
  <c r="L131" i="10"/>
  <c r="M131" i="10"/>
  <c r="A132" i="10"/>
  <c r="B132" i="10"/>
  <c r="C132" i="10"/>
  <c r="F132" i="10"/>
  <c r="G132" i="10"/>
  <c r="H132" i="10"/>
  <c r="I132" i="10"/>
  <c r="J132" i="10"/>
  <c r="K132" i="10"/>
  <c r="L132" i="10"/>
  <c r="M132" i="10"/>
  <c r="A133" i="10"/>
  <c r="B133" i="10"/>
  <c r="C133" i="10"/>
  <c r="F133" i="10"/>
  <c r="G133" i="10"/>
  <c r="H133" i="10"/>
  <c r="I133" i="10"/>
  <c r="J133" i="10"/>
  <c r="K133" i="10"/>
  <c r="L133" i="10"/>
  <c r="M133" i="10"/>
  <c r="A134" i="10"/>
  <c r="B134" i="10"/>
  <c r="C134" i="10"/>
  <c r="F134" i="10"/>
  <c r="G134" i="10"/>
  <c r="H134" i="10"/>
  <c r="I134" i="10"/>
  <c r="J134" i="10"/>
  <c r="K134" i="10"/>
  <c r="L134" i="10"/>
  <c r="M134" i="10"/>
  <c r="A135" i="10"/>
  <c r="B135" i="10"/>
  <c r="C135" i="10"/>
  <c r="D135" i="10" s="1"/>
  <c r="E135" i="10" s="1"/>
  <c r="F135" i="10"/>
  <c r="G135" i="10"/>
  <c r="H135" i="10"/>
  <c r="I135" i="10"/>
  <c r="J135" i="10"/>
  <c r="K135" i="10"/>
  <c r="L135" i="10"/>
  <c r="M135" i="10"/>
  <c r="A136" i="10"/>
  <c r="B136" i="10"/>
  <c r="C136" i="10"/>
  <c r="F136" i="10"/>
  <c r="G136" i="10"/>
  <c r="H136" i="10"/>
  <c r="I136" i="10"/>
  <c r="J136" i="10"/>
  <c r="K136" i="10"/>
  <c r="L136" i="10"/>
  <c r="M136" i="10"/>
  <c r="A137" i="10"/>
  <c r="B137" i="10"/>
  <c r="C137" i="10"/>
  <c r="D137" i="10" s="1"/>
  <c r="E137" i="10" s="1"/>
  <c r="F137" i="10"/>
  <c r="G137" i="10"/>
  <c r="H137" i="10"/>
  <c r="I137" i="10"/>
  <c r="J137" i="10"/>
  <c r="K137" i="10"/>
  <c r="L137" i="10"/>
  <c r="M137" i="10"/>
  <c r="A138" i="10"/>
  <c r="B138" i="10"/>
  <c r="C138" i="10"/>
  <c r="F138" i="10"/>
  <c r="G138" i="10"/>
  <c r="H138" i="10"/>
  <c r="I138" i="10"/>
  <c r="J138" i="10"/>
  <c r="K138" i="10"/>
  <c r="L138" i="10"/>
  <c r="M138" i="10"/>
  <c r="A139" i="10"/>
  <c r="B139" i="10"/>
  <c r="C139" i="10"/>
  <c r="F139" i="10"/>
  <c r="G139" i="10"/>
  <c r="H139" i="10"/>
  <c r="I139" i="10"/>
  <c r="J139" i="10"/>
  <c r="K139" i="10"/>
  <c r="L139" i="10"/>
  <c r="M139" i="10"/>
  <c r="A140" i="10"/>
  <c r="B140" i="10"/>
  <c r="C140" i="10"/>
  <c r="F140" i="10"/>
  <c r="G140" i="10"/>
  <c r="H140" i="10"/>
  <c r="I140" i="10"/>
  <c r="J140" i="10"/>
  <c r="K140" i="10"/>
  <c r="L140" i="10"/>
  <c r="M140" i="10"/>
  <c r="A141" i="10"/>
  <c r="B141" i="10"/>
  <c r="C141" i="10"/>
  <c r="F141" i="10"/>
  <c r="G141" i="10"/>
  <c r="H141" i="10"/>
  <c r="I141" i="10"/>
  <c r="J141" i="10"/>
  <c r="K141" i="10"/>
  <c r="L141" i="10"/>
  <c r="M141" i="10"/>
  <c r="A142" i="10"/>
  <c r="B142" i="10"/>
  <c r="C142" i="10"/>
  <c r="F142" i="10"/>
  <c r="G142" i="10"/>
  <c r="H142" i="10"/>
  <c r="I142" i="10"/>
  <c r="J142" i="10"/>
  <c r="K142" i="10"/>
  <c r="L142" i="10"/>
  <c r="M142" i="10"/>
  <c r="A143" i="10"/>
  <c r="B143" i="10"/>
  <c r="C143" i="10"/>
  <c r="F143" i="10"/>
  <c r="G143" i="10"/>
  <c r="H143" i="10"/>
  <c r="I143" i="10"/>
  <c r="J143" i="10"/>
  <c r="K143" i="10"/>
  <c r="L143" i="10"/>
  <c r="M143" i="10"/>
  <c r="A144" i="10"/>
  <c r="B144" i="10"/>
  <c r="C144" i="10"/>
  <c r="F144" i="10"/>
  <c r="G144" i="10"/>
  <c r="H144" i="10"/>
  <c r="I144" i="10"/>
  <c r="J144" i="10"/>
  <c r="K144" i="10"/>
  <c r="L144" i="10"/>
  <c r="M144" i="10"/>
  <c r="A145" i="10"/>
  <c r="B145" i="10"/>
  <c r="C145" i="10"/>
  <c r="F145" i="10"/>
  <c r="G145" i="10"/>
  <c r="H145" i="10"/>
  <c r="I145" i="10"/>
  <c r="J145" i="10"/>
  <c r="K145" i="10"/>
  <c r="L145" i="10"/>
  <c r="M145" i="10"/>
  <c r="A146" i="10"/>
  <c r="B146" i="10"/>
  <c r="C146" i="10"/>
  <c r="F146" i="10"/>
  <c r="G146" i="10"/>
  <c r="H146" i="10"/>
  <c r="I146" i="10"/>
  <c r="J146" i="10"/>
  <c r="K146" i="10"/>
  <c r="L146" i="10"/>
  <c r="M146" i="10"/>
  <c r="A147" i="10"/>
  <c r="B147" i="10"/>
  <c r="C147" i="10"/>
  <c r="F147" i="10"/>
  <c r="G147" i="10"/>
  <c r="H147" i="10"/>
  <c r="I147" i="10"/>
  <c r="J147" i="10"/>
  <c r="K147" i="10"/>
  <c r="L147" i="10"/>
  <c r="M147" i="10"/>
  <c r="A148" i="10"/>
  <c r="B148" i="10"/>
  <c r="C148" i="10"/>
  <c r="F148" i="10"/>
  <c r="G148" i="10"/>
  <c r="H148" i="10"/>
  <c r="I148" i="10"/>
  <c r="J148" i="10"/>
  <c r="K148" i="10"/>
  <c r="L148" i="10"/>
  <c r="M148" i="10"/>
  <c r="A149" i="10"/>
  <c r="B149" i="10"/>
  <c r="C149" i="10"/>
  <c r="F149" i="10"/>
  <c r="G149" i="10"/>
  <c r="H149" i="10"/>
  <c r="I149" i="10"/>
  <c r="J149" i="10"/>
  <c r="K149" i="10"/>
  <c r="L149" i="10"/>
  <c r="M149" i="10"/>
  <c r="A150" i="10"/>
  <c r="B150" i="10"/>
  <c r="C150" i="10"/>
  <c r="F150" i="10"/>
  <c r="G150" i="10"/>
  <c r="H150" i="10"/>
  <c r="I150" i="10"/>
  <c r="J150" i="10"/>
  <c r="K150" i="10"/>
  <c r="L150" i="10"/>
  <c r="M150" i="10"/>
  <c r="A151" i="10"/>
  <c r="B151" i="10"/>
  <c r="C151" i="10"/>
  <c r="F151" i="10"/>
  <c r="G151" i="10"/>
  <c r="H151" i="10"/>
  <c r="I151" i="10"/>
  <c r="J151" i="10"/>
  <c r="K151" i="10"/>
  <c r="L151" i="10"/>
  <c r="M151" i="10"/>
  <c r="A152" i="10"/>
  <c r="B152" i="10"/>
  <c r="C152" i="10"/>
  <c r="F152" i="10"/>
  <c r="G152" i="10"/>
  <c r="H152" i="10"/>
  <c r="I152" i="10"/>
  <c r="J152" i="10"/>
  <c r="K152" i="10"/>
  <c r="L152" i="10"/>
  <c r="M152" i="10"/>
  <c r="A153" i="10"/>
  <c r="B153" i="10"/>
  <c r="C153" i="10"/>
  <c r="F153" i="10"/>
  <c r="G153" i="10"/>
  <c r="H153" i="10"/>
  <c r="I153" i="10"/>
  <c r="J153" i="10"/>
  <c r="K153" i="10"/>
  <c r="L153" i="10"/>
  <c r="M153" i="10"/>
  <c r="A154" i="10"/>
  <c r="B154" i="10"/>
  <c r="C154" i="10"/>
  <c r="F154" i="10"/>
  <c r="G154" i="10"/>
  <c r="H154" i="10"/>
  <c r="I154" i="10"/>
  <c r="J154" i="10"/>
  <c r="K154" i="10"/>
  <c r="L154" i="10"/>
  <c r="M154" i="10"/>
  <c r="A155" i="10"/>
  <c r="B155" i="10"/>
  <c r="C155" i="10"/>
  <c r="F155" i="10"/>
  <c r="G155" i="10"/>
  <c r="H155" i="10"/>
  <c r="I155" i="10"/>
  <c r="J155" i="10"/>
  <c r="K155" i="10"/>
  <c r="L155" i="10"/>
  <c r="M155" i="10"/>
  <c r="A156" i="10"/>
  <c r="B156" i="10"/>
  <c r="C156" i="10"/>
  <c r="F156" i="10"/>
  <c r="G156" i="10"/>
  <c r="H156" i="10"/>
  <c r="I156" i="10"/>
  <c r="J156" i="10"/>
  <c r="K156" i="10"/>
  <c r="L156" i="10"/>
  <c r="M156" i="10"/>
  <c r="A157" i="10"/>
  <c r="B157" i="10"/>
  <c r="C157" i="10"/>
  <c r="F157" i="10"/>
  <c r="G157" i="10"/>
  <c r="H157" i="10"/>
  <c r="I157" i="10"/>
  <c r="J157" i="10"/>
  <c r="K157" i="10"/>
  <c r="L157" i="10"/>
  <c r="M157" i="10"/>
  <c r="A158" i="10"/>
  <c r="B158" i="10"/>
  <c r="C158" i="10"/>
  <c r="F158" i="10"/>
  <c r="G158" i="10"/>
  <c r="H158" i="10"/>
  <c r="I158" i="10"/>
  <c r="J158" i="10"/>
  <c r="K158" i="10"/>
  <c r="L158" i="10"/>
  <c r="M158" i="10"/>
  <c r="A159" i="10"/>
  <c r="B159" i="10"/>
  <c r="C159" i="10"/>
  <c r="D159" i="10" s="1"/>
  <c r="E159" i="10" s="1"/>
  <c r="F159" i="10"/>
  <c r="G159" i="10"/>
  <c r="H159" i="10"/>
  <c r="I159" i="10"/>
  <c r="J159" i="10"/>
  <c r="K159" i="10"/>
  <c r="L159" i="10"/>
  <c r="M159" i="10"/>
  <c r="A160" i="10"/>
  <c r="B160" i="10"/>
  <c r="C160" i="10"/>
  <c r="F160" i="10"/>
  <c r="G160" i="10"/>
  <c r="H160" i="10"/>
  <c r="I160" i="10"/>
  <c r="J160" i="10"/>
  <c r="K160" i="10"/>
  <c r="L160" i="10"/>
  <c r="M160" i="10"/>
  <c r="A161" i="10"/>
  <c r="B161" i="10"/>
  <c r="C161" i="10"/>
  <c r="F161" i="10"/>
  <c r="G161" i="10"/>
  <c r="H161" i="10"/>
  <c r="I161" i="10"/>
  <c r="J161" i="10"/>
  <c r="K161" i="10"/>
  <c r="L161" i="10"/>
  <c r="M161" i="10"/>
  <c r="A162" i="10"/>
  <c r="B162" i="10"/>
  <c r="C162" i="10"/>
  <c r="F162" i="10"/>
  <c r="G162" i="10"/>
  <c r="H162" i="10"/>
  <c r="I162" i="10"/>
  <c r="J162" i="10"/>
  <c r="K162" i="10"/>
  <c r="L162" i="10"/>
  <c r="M162" i="10"/>
  <c r="A163" i="10"/>
  <c r="B163" i="10"/>
  <c r="D163" i="10" s="1"/>
  <c r="E163" i="10" s="1"/>
  <c r="C163" i="10"/>
  <c r="F163" i="10"/>
  <c r="G163" i="10"/>
  <c r="H163" i="10"/>
  <c r="I163" i="10"/>
  <c r="J163" i="10"/>
  <c r="K163" i="10"/>
  <c r="L163" i="10"/>
  <c r="M163" i="10"/>
  <c r="A164" i="10"/>
  <c r="B164" i="10"/>
  <c r="C164" i="10"/>
  <c r="F164" i="10"/>
  <c r="G164" i="10"/>
  <c r="H164" i="10"/>
  <c r="I164" i="10"/>
  <c r="J164" i="10"/>
  <c r="K164" i="10"/>
  <c r="L164" i="10"/>
  <c r="M164" i="10"/>
  <c r="A165" i="10"/>
  <c r="B165" i="10"/>
  <c r="C165" i="10"/>
  <c r="F165" i="10"/>
  <c r="G165" i="10"/>
  <c r="H165" i="10"/>
  <c r="I165" i="10"/>
  <c r="J165" i="10"/>
  <c r="K165" i="10"/>
  <c r="L165" i="10"/>
  <c r="M165" i="10"/>
  <c r="A166" i="10"/>
  <c r="B166" i="10"/>
  <c r="C166" i="10"/>
  <c r="F166" i="10"/>
  <c r="G166" i="10"/>
  <c r="H166" i="10"/>
  <c r="I166" i="10"/>
  <c r="J166" i="10"/>
  <c r="K166" i="10"/>
  <c r="L166" i="10"/>
  <c r="M166" i="10"/>
  <c r="A167" i="10"/>
  <c r="B167" i="10"/>
  <c r="C167" i="10"/>
  <c r="D167" i="10" s="1"/>
  <c r="E167" i="10" s="1"/>
  <c r="F167" i="10"/>
  <c r="G167" i="10"/>
  <c r="H167" i="10"/>
  <c r="I167" i="10"/>
  <c r="J167" i="10"/>
  <c r="K167" i="10"/>
  <c r="L167" i="10"/>
  <c r="M167" i="10"/>
  <c r="A168" i="10"/>
  <c r="B168" i="10"/>
  <c r="C168" i="10"/>
  <c r="F168" i="10"/>
  <c r="G168" i="10"/>
  <c r="H168" i="10"/>
  <c r="I168" i="10"/>
  <c r="J168" i="10"/>
  <c r="K168" i="10"/>
  <c r="L168" i="10"/>
  <c r="M168" i="10"/>
  <c r="A169" i="10"/>
  <c r="B169" i="10"/>
  <c r="C169" i="10"/>
  <c r="F169" i="10"/>
  <c r="G169" i="10"/>
  <c r="H169" i="10"/>
  <c r="I169" i="10"/>
  <c r="J169" i="10"/>
  <c r="K169" i="10"/>
  <c r="L169" i="10"/>
  <c r="M169" i="10"/>
  <c r="A170" i="10"/>
  <c r="B170" i="10"/>
  <c r="C170" i="10"/>
  <c r="F170" i="10"/>
  <c r="G170" i="10"/>
  <c r="H170" i="10"/>
  <c r="I170" i="10"/>
  <c r="J170" i="10"/>
  <c r="K170" i="10"/>
  <c r="L170" i="10"/>
  <c r="M170" i="10"/>
  <c r="A171" i="10"/>
  <c r="B171" i="10"/>
  <c r="C171" i="10"/>
  <c r="F171" i="10"/>
  <c r="G171" i="10"/>
  <c r="H171" i="10"/>
  <c r="I171" i="10"/>
  <c r="J171" i="10"/>
  <c r="K171" i="10"/>
  <c r="L171" i="10"/>
  <c r="M171" i="10"/>
  <c r="A172" i="10"/>
  <c r="B172" i="10"/>
  <c r="D172" i="10" s="1"/>
  <c r="E172" i="10" s="1"/>
  <c r="C172" i="10"/>
  <c r="F172" i="10"/>
  <c r="G172" i="10"/>
  <c r="H172" i="10"/>
  <c r="I172" i="10"/>
  <c r="J172" i="10"/>
  <c r="K172" i="10"/>
  <c r="L172" i="10"/>
  <c r="M172" i="10"/>
  <c r="A173" i="10"/>
  <c r="B173" i="10"/>
  <c r="C173" i="10"/>
  <c r="F173" i="10"/>
  <c r="G173" i="10"/>
  <c r="H173" i="10"/>
  <c r="I173" i="10"/>
  <c r="J173" i="10"/>
  <c r="K173" i="10"/>
  <c r="L173" i="10"/>
  <c r="M173" i="10"/>
  <c r="A174" i="10"/>
  <c r="B174" i="10"/>
  <c r="C174" i="10"/>
  <c r="F174" i="10"/>
  <c r="G174" i="10"/>
  <c r="H174" i="10"/>
  <c r="I174" i="10"/>
  <c r="J174" i="10"/>
  <c r="K174" i="10"/>
  <c r="L174" i="10"/>
  <c r="M174" i="10"/>
  <c r="A175" i="10"/>
  <c r="B175" i="10"/>
  <c r="C175" i="10"/>
  <c r="F175" i="10"/>
  <c r="G175" i="10"/>
  <c r="H175" i="10"/>
  <c r="I175" i="10"/>
  <c r="J175" i="10"/>
  <c r="K175" i="10"/>
  <c r="L175" i="10"/>
  <c r="M175" i="10"/>
  <c r="A176" i="10"/>
  <c r="B176" i="10"/>
  <c r="C176" i="10"/>
  <c r="F176" i="10"/>
  <c r="G176" i="10"/>
  <c r="H176" i="10"/>
  <c r="I176" i="10"/>
  <c r="J176" i="10"/>
  <c r="K176" i="10"/>
  <c r="L176" i="10"/>
  <c r="M176" i="10"/>
  <c r="A177" i="10"/>
  <c r="B177" i="10"/>
  <c r="C177" i="10"/>
  <c r="F177" i="10"/>
  <c r="G177" i="10"/>
  <c r="H177" i="10"/>
  <c r="I177" i="10"/>
  <c r="J177" i="10"/>
  <c r="K177" i="10"/>
  <c r="L177" i="10"/>
  <c r="M177" i="10"/>
  <c r="A178" i="10"/>
  <c r="B178" i="10"/>
  <c r="C178" i="10"/>
  <c r="D178" i="10" s="1"/>
  <c r="E178" i="10" s="1"/>
  <c r="F178" i="10"/>
  <c r="G178" i="10"/>
  <c r="H178" i="10"/>
  <c r="I178" i="10"/>
  <c r="J178" i="10"/>
  <c r="K178" i="10"/>
  <c r="L178" i="10"/>
  <c r="M178" i="10"/>
  <c r="A179" i="10"/>
  <c r="B179" i="10"/>
  <c r="C179" i="10"/>
  <c r="F179" i="10"/>
  <c r="G179" i="10"/>
  <c r="H179" i="10"/>
  <c r="I179" i="10"/>
  <c r="J179" i="10"/>
  <c r="K179" i="10"/>
  <c r="L179" i="10"/>
  <c r="M179" i="10"/>
  <c r="A180" i="10"/>
  <c r="B180" i="10"/>
  <c r="C180" i="10"/>
  <c r="F180" i="10"/>
  <c r="G180" i="10"/>
  <c r="H180" i="10"/>
  <c r="I180" i="10"/>
  <c r="J180" i="10"/>
  <c r="K180" i="10"/>
  <c r="L180" i="10"/>
  <c r="M180" i="10"/>
  <c r="A181" i="10"/>
  <c r="B181" i="10"/>
  <c r="C181" i="10"/>
  <c r="F181" i="10"/>
  <c r="G181" i="10"/>
  <c r="H181" i="10"/>
  <c r="I181" i="10"/>
  <c r="J181" i="10"/>
  <c r="K181" i="10"/>
  <c r="L181" i="10"/>
  <c r="M181" i="10"/>
  <c r="A182" i="10"/>
  <c r="B182" i="10"/>
  <c r="C182" i="10"/>
  <c r="F182" i="10"/>
  <c r="G182" i="10"/>
  <c r="H182" i="10"/>
  <c r="I182" i="10"/>
  <c r="J182" i="10"/>
  <c r="K182" i="10"/>
  <c r="L182" i="10"/>
  <c r="M182" i="10"/>
  <c r="A183" i="10"/>
  <c r="B183" i="10"/>
  <c r="C183" i="10"/>
  <c r="F183" i="10"/>
  <c r="G183" i="10"/>
  <c r="H183" i="10"/>
  <c r="I183" i="10"/>
  <c r="J183" i="10"/>
  <c r="K183" i="10"/>
  <c r="L183" i="10"/>
  <c r="M183" i="10"/>
  <c r="A184" i="10"/>
  <c r="B184" i="10"/>
  <c r="C184" i="10"/>
  <c r="F184" i="10"/>
  <c r="G184" i="10"/>
  <c r="H184" i="10"/>
  <c r="I184" i="10"/>
  <c r="J184" i="10"/>
  <c r="K184" i="10"/>
  <c r="L184" i="10"/>
  <c r="M184" i="10"/>
  <c r="A185" i="10"/>
  <c r="B185" i="10"/>
  <c r="C185" i="10"/>
  <c r="D185" i="10" s="1"/>
  <c r="E185" i="10" s="1"/>
  <c r="F185" i="10"/>
  <c r="G185" i="10"/>
  <c r="H185" i="10"/>
  <c r="I185" i="10"/>
  <c r="J185" i="10"/>
  <c r="K185" i="10"/>
  <c r="L185" i="10"/>
  <c r="M185" i="10"/>
  <c r="A186" i="10"/>
  <c r="B186" i="10"/>
  <c r="C186" i="10"/>
  <c r="F186" i="10"/>
  <c r="G186" i="10"/>
  <c r="H186" i="10"/>
  <c r="I186" i="10"/>
  <c r="J186" i="10"/>
  <c r="K186" i="10"/>
  <c r="L186" i="10"/>
  <c r="M186" i="10"/>
  <c r="A187" i="10"/>
  <c r="B187" i="10"/>
  <c r="C187" i="10"/>
  <c r="F187" i="10"/>
  <c r="G187" i="10"/>
  <c r="H187" i="10"/>
  <c r="I187" i="10"/>
  <c r="J187" i="10"/>
  <c r="K187" i="10"/>
  <c r="L187" i="10"/>
  <c r="M187" i="10"/>
  <c r="A188" i="10"/>
  <c r="B188" i="10"/>
  <c r="C188" i="10"/>
  <c r="D188" i="10"/>
  <c r="E188" i="10" s="1"/>
  <c r="F188" i="10"/>
  <c r="G188" i="10"/>
  <c r="H188" i="10"/>
  <c r="I188" i="10"/>
  <c r="J188" i="10"/>
  <c r="K188" i="10"/>
  <c r="L188" i="10"/>
  <c r="M188" i="10"/>
  <c r="A189" i="10"/>
  <c r="B189" i="10"/>
  <c r="C189" i="10"/>
  <c r="F189" i="10"/>
  <c r="G189" i="10"/>
  <c r="H189" i="10"/>
  <c r="I189" i="10"/>
  <c r="J189" i="10"/>
  <c r="K189" i="10"/>
  <c r="L189" i="10"/>
  <c r="M189" i="10"/>
  <c r="A190" i="10"/>
  <c r="B190" i="10"/>
  <c r="C190" i="10"/>
  <c r="D190" i="10" s="1"/>
  <c r="E190" i="10" s="1"/>
  <c r="F190" i="10"/>
  <c r="G190" i="10"/>
  <c r="H190" i="10"/>
  <c r="I190" i="10"/>
  <c r="J190" i="10"/>
  <c r="K190" i="10"/>
  <c r="L190" i="10"/>
  <c r="M190" i="10"/>
  <c r="A191" i="10"/>
  <c r="B191" i="10"/>
  <c r="C191" i="10"/>
  <c r="F191" i="10"/>
  <c r="G191" i="10"/>
  <c r="H191" i="10"/>
  <c r="I191" i="10"/>
  <c r="J191" i="10"/>
  <c r="K191" i="10"/>
  <c r="L191" i="10"/>
  <c r="M191" i="10"/>
  <c r="A192" i="10"/>
  <c r="B192" i="10"/>
  <c r="C192" i="10"/>
  <c r="F192" i="10"/>
  <c r="G192" i="10"/>
  <c r="H192" i="10"/>
  <c r="I192" i="10"/>
  <c r="J192" i="10"/>
  <c r="K192" i="10"/>
  <c r="L192" i="10"/>
  <c r="M192" i="10"/>
  <c r="A193" i="10"/>
  <c r="B193" i="10"/>
  <c r="C193" i="10"/>
  <c r="F193" i="10"/>
  <c r="G193" i="10"/>
  <c r="H193" i="10"/>
  <c r="I193" i="10"/>
  <c r="J193" i="10"/>
  <c r="K193" i="10"/>
  <c r="L193" i="10"/>
  <c r="M193" i="10"/>
  <c r="A194" i="10"/>
  <c r="B194" i="10"/>
  <c r="C194" i="10"/>
  <c r="F194" i="10"/>
  <c r="G194" i="10"/>
  <c r="H194" i="10"/>
  <c r="I194" i="10"/>
  <c r="J194" i="10"/>
  <c r="K194" i="10"/>
  <c r="L194" i="10"/>
  <c r="M194" i="10"/>
  <c r="A195" i="10"/>
  <c r="B195" i="10"/>
  <c r="C195" i="10"/>
  <c r="F195" i="10"/>
  <c r="G195" i="10"/>
  <c r="H195" i="10"/>
  <c r="I195" i="10"/>
  <c r="J195" i="10"/>
  <c r="K195" i="10"/>
  <c r="L195" i="10"/>
  <c r="M195" i="10"/>
  <c r="A196" i="10"/>
  <c r="B196" i="10"/>
  <c r="C196" i="10"/>
  <c r="F196" i="10"/>
  <c r="G196" i="10"/>
  <c r="H196" i="10"/>
  <c r="I196" i="10"/>
  <c r="J196" i="10"/>
  <c r="K196" i="10"/>
  <c r="L196" i="10"/>
  <c r="M196" i="10"/>
  <c r="A197" i="10"/>
  <c r="B197" i="10"/>
  <c r="C197" i="10"/>
  <c r="F197" i="10"/>
  <c r="G197" i="10"/>
  <c r="H197" i="10"/>
  <c r="I197" i="10"/>
  <c r="J197" i="10"/>
  <c r="K197" i="10"/>
  <c r="L197" i="10"/>
  <c r="M197" i="10"/>
  <c r="A198" i="10"/>
  <c r="B198" i="10"/>
  <c r="C198" i="10"/>
  <c r="D198" i="10" s="1"/>
  <c r="E198" i="10" s="1"/>
  <c r="F198" i="10"/>
  <c r="G198" i="10"/>
  <c r="H198" i="10"/>
  <c r="I198" i="10"/>
  <c r="J198" i="10"/>
  <c r="K198" i="10"/>
  <c r="L198" i="10"/>
  <c r="M198" i="10"/>
  <c r="A199" i="10"/>
  <c r="B199" i="10"/>
  <c r="C199" i="10"/>
  <c r="F199" i="10"/>
  <c r="G199" i="10"/>
  <c r="H199" i="10"/>
  <c r="I199" i="10"/>
  <c r="J199" i="10"/>
  <c r="K199" i="10"/>
  <c r="L199" i="10"/>
  <c r="M199" i="10"/>
  <c r="A200" i="10"/>
  <c r="B200" i="10"/>
  <c r="C200" i="10"/>
  <c r="F200" i="10"/>
  <c r="G200" i="10"/>
  <c r="H200" i="10"/>
  <c r="I200" i="10"/>
  <c r="J200" i="10"/>
  <c r="K200" i="10"/>
  <c r="L200" i="10"/>
  <c r="M200" i="10"/>
  <c r="A201" i="10"/>
  <c r="B201" i="10"/>
  <c r="C201" i="10"/>
  <c r="F201" i="10"/>
  <c r="G201" i="10"/>
  <c r="H201" i="10"/>
  <c r="I201" i="10"/>
  <c r="J201" i="10"/>
  <c r="K201" i="10"/>
  <c r="L201" i="10"/>
  <c r="M201" i="10"/>
  <c r="A202" i="10"/>
  <c r="B202" i="10"/>
  <c r="C202" i="10"/>
  <c r="F202" i="10"/>
  <c r="G202" i="10"/>
  <c r="H202" i="10"/>
  <c r="I202" i="10"/>
  <c r="J202" i="10"/>
  <c r="K202" i="10"/>
  <c r="L202" i="10"/>
  <c r="M202" i="10"/>
  <c r="A203" i="10"/>
  <c r="B203" i="10"/>
  <c r="C203" i="10"/>
  <c r="F203" i="10"/>
  <c r="G203" i="10"/>
  <c r="H203" i="10"/>
  <c r="I203" i="10"/>
  <c r="J203" i="10"/>
  <c r="K203" i="10"/>
  <c r="L203" i="10"/>
  <c r="M203" i="10"/>
  <c r="A204" i="10"/>
  <c r="B204" i="10"/>
  <c r="C204" i="10"/>
  <c r="F204" i="10"/>
  <c r="G204" i="10"/>
  <c r="H204" i="10"/>
  <c r="I204" i="10"/>
  <c r="J204" i="10"/>
  <c r="K204" i="10"/>
  <c r="L204" i="10"/>
  <c r="M204" i="10"/>
  <c r="A205" i="10"/>
  <c r="B205" i="10"/>
  <c r="C205" i="10"/>
  <c r="F205" i="10"/>
  <c r="G205" i="10"/>
  <c r="H205" i="10"/>
  <c r="I205" i="10"/>
  <c r="J205" i="10"/>
  <c r="K205" i="10"/>
  <c r="L205" i="10"/>
  <c r="M205" i="10"/>
  <c r="A206" i="10"/>
  <c r="B206" i="10"/>
  <c r="C206" i="10"/>
  <c r="D206" i="10" s="1"/>
  <c r="E206" i="10" s="1"/>
  <c r="F206" i="10"/>
  <c r="G206" i="10"/>
  <c r="H206" i="10"/>
  <c r="I206" i="10"/>
  <c r="J206" i="10"/>
  <c r="K206" i="10"/>
  <c r="L206" i="10"/>
  <c r="M206" i="10"/>
  <c r="A207" i="10"/>
  <c r="B207" i="10"/>
  <c r="C207" i="10"/>
  <c r="F207" i="10"/>
  <c r="G207" i="10"/>
  <c r="H207" i="10"/>
  <c r="I207" i="10"/>
  <c r="J207" i="10"/>
  <c r="K207" i="10"/>
  <c r="L207" i="10"/>
  <c r="M207" i="10"/>
  <c r="A208" i="10"/>
  <c r="B208" i="10"/>
  <c r="C208" i="10"/>
  <c r="F208" i="10"/>
  <c r="G208" i="10"/>
  <c r="H208" i="10"/>
  <c r="I208" i="10"/>
  <c r="J208" i="10"/>
  <c r="K208" i="10"/>
  <c r="L208" i="10"/>
  <c r="M208" i="10"/>
  <c r="A209" i="10"/>
  <c r="B209" i="10"/>
  <c r="C209" i="10"/>
  <c r="F209" i="10"/>
  <c r="G209" i="10"/>
  <c r="H209" i="10"/>
  <c r="I209" i="10"/>
  <c r="J209" i="10"/>
  <c r="K209" i="10"/>
  <c r="L209" i="10"/>
  <c r="M209" i="10"/>
  <c r="A210" i="10"/>
  <c r="B210" i="10"/>
  <c r="C210" i="10"/>
  <c r="F210" i="10"/>
  <c r="G210" i="10"/>
  <c r="H210" i="10"/>
  <c r="I210" i="10"/>
  <c r="J210" i="10"/>
  <c r="K210" i="10"/>
  <c r="L210" i="10"/>
  <c r="M210" i="10"/>
  <c r="A211" i="10"/>
  <c r="B211" i="10"/>
  <c r="C211" i="10"/>
  <c r="F211" i="10"/>
  <c r="G211" i="10"/>
  <c r="H211" i="10"/>
  <c r="I211" i="10"/>
  <c r="J211" i="10"/>
  <c r="K211" i="10"/>
  <c r="L211" i="10"/>
  <c r="M211" i="10"/>
  <c r="A212" i="10"/>
  <c r="B212" i="10"/>
  <c r="C212" i="10"/>
  <c r="F212" i="10"/>
  <c r="G212" i="10"/>
  <c r="H212" i="10"/>
  <c r="I212" i="10"/>
  <c r="J212" i="10"/>
  <c r="K212" i="10"/>
  <c r="L212" i="10"/>
  <c r="M212" i="10"/>
  <c r="A213" i="10"/>
  <c r="B213" i="10"/>
  <c r="C213" i="10"/>
  <c r="F213" i="10"/>
  <c r="G213" i="10"/>
  <c r="H213" i="10"/>
  <c r="I213" i="10"/>
  <c r="J213" i="10"/>
  <c r="K213" i="10"/>
  <c r="L213" i="10"/>
  <c r="M213" i="10"/>
  <c r="A214" i="10"/>
  <c r="B214" i="10"/>
  <c r="C214" i="10"/>
  <c r="D214" i="10" s="1"/>
  <c r="E214" i="10" s="1"/>
  <c r="F214" i="10"/>
  <c r="G214" i="10"/>
  <c r="H214" i="10"/>
  <c r="I214" i="10"/>
  <c r="J214" i="10"/>
  <c r="K214" i="10"/>
  <c r="L214" i="10"/>
  <c r="M214" i="10"/>
  <c r="A215" i="10"/>
  <c r="B215" i="10"/>
  <c r="C215" i="10"/>
  <c r="F215" i="10"/>
  <c r="G215" i="10"/>
  <c r="H215" i="10"/>
  <c r="I215" i="10"/>
  <c r="J215" i="10"/>
  <c r="K215" i="10"/>
  <c r="L215" i="10"/>
  <c r="M215" i="10"/>
  <c r="A216" i="10"/>
  <c r="B216" i="10"/>
  <c r="C216" i="10"/>
  <c r="F216" i="10"/>
  <c r="G216" i="10"/>
  <c r="H216" i="10"/>
  <c r="I216" i="10"/>
  <c r="J216" i="10"/>
  <c r="K216" i="10"/>
  <c r="L216" i="10"/>
  <c r="M216" i="10"/>
  <c r="A217" i="10"/>
  <c r="B217" i="10"/>
  <c r="C217" i="10"/>
  <c r="F217" i="10"/>
  <c r="G217" i="10"/>
  <c r="H217" i="10"/>
  <c r="I217" i="10"/>
  <c r="J217" i="10"/>
  <c r="K217" i="10"/>
  <c r="L217" i="10"/>
  <c r="M217" i="10"/>
  <c r="A218" i="10"/>
  <c r="B218" i="10"/>
  <c r="C218" i="10"/>
  <c r="F218" i="10"/>
  <c r="G218" i="10"/>
  <c r="H218" i="10"/>
  <c r="I218" i="10"/>
  <c r="J218" i="10"/>
  <c r="K218" i="10"/>
  <c r="L218" i="10"/>
  <c r="M218" i="10"/>
  <c r="A219" i="10"/>
  <c r="B219" i="10"/>
  <c r="C219" i="10"/>
  <c r="F219" i="10"/>
  <c r="G219" i="10"/>
  <c r="H219" i="10"/>
  <c r="I219" i="10"/>
  <c r="J219" i="10"/>
  <c r="K219" i="10"/>
  <c r="L219" i="10"/>
  <c r="M219" i="10"/>
  <c r="A220" i="10"/>
  <c r="B220" i="10"/>
  <c r="C220" i="10"/>
  <c r="D220" i="10" s="1"/>
  <c r="E220" i="10" s="1"/>
  <c r="F220" i="10"/>
  <c r="G220" i="10"/>
  <c r="H220" i="10"/>
  <c r="I220" i="10"/>
  <c r="J220" i="10"/>
  <c r="K220" i="10"/>
  <c r="L220" i="10"/>
  <c r="M220" i="10"/>
  <c r="A221" i="10"/>
  <c r="B221" i="10"/>
  <c r="C221" i="10"/>
  <c r="F221" i="10"/>
  <c r="G221" i="10"/>
  <c r="H221" i="10"/>
  <c r="I221" i="10"/>
  <c r="J221" i="10"/>
  <c r="K221" i="10"/>
  <c r="L221" i="10"/>
  <c r="M221" i="10"/>
  <c r="A222" i="10"/>
  <c r="B222" i="10"/>
  <c r="C222" i="10"/>
  <c r="D222" i="10" s="1"/>
  <c r="E222" i="10" s="1"/>
  <c r="F222" i="10"/>
  <c r="G222" i="10"/>
  <c r="H222" i="10"/>
  <c r="I222" i="10"/>
  <c r="J222" i="10"/>
  <c r="K222" i="10"/>
  <c r="L222" i="10"/>
  <c r="M222" i="10"/>
  <c r="A223" i="10"/>
  <c r="B223" i="10"/>
  <c r="C223" i="10"/>
  <c r="F223" i="10"/>
  <c r="G223" i="10"/>
  <c r="H223" i="10"/>
  <c r="I223" i="10"/>
  <c r="J223" i="10"/>
  <c r="K223" i="10"/>
  <c r="L223" i="10"/>
  <c r="M223" i="10"/>
  <c r="A224" i="10"/>
  <c r="B224" i="10"/>
  <c r="C224" i="10"/>
  <c r="F224" i="10"/>
  <c r="G224" i="10"/>
  <c r="H224" i="10"/>
  <c r="I224" i="10"/>
  <c r="J224" i="10"/>
  <c r="K224" i="10"/>
  <c r="L224" i="10"/>
  <c r="M224" i="10"/>
  <c r="A225" i="10"/>
  <c r="B225" i="10"/>
  <c r="C225" i="10"/>
  <c r="F225" i="10"/>
  <c r="G225" i="10"/>
  <c r="H225" i="10"/>
  <c r="I225" i="10"/>
  <c r="J225" i="10"/>
  <c r="K225" i="10"/>
  <c r="L225" i="10"/>
  <c r="M225" i="10"/>
  <c r="A226" i="10"/>
  <c r="B226" i="10"/>
  <c r="C226" i="10"/>
  <c r="F226" i="10"/>
  <c r="G226" i="10"/>
  <c r="H226" i="10"/>
  <c r="I226" i="10"/>
  <c r="J226" i="10"/>
  <c r="K226" i="10"/>
  <c r="L226" i="10"/>
  <c r="M226" i="10"/>
  <c r="A227" i="10"/>
  <c r="B227" i="10"/>
  <c r="C227" i="10"/>
  <c r="F227" i="10"/>
  <c r="G227" i="10"/>
  <c r="H227" i="10"/>
  <c r="I227" i="10"/>
  <c r="J227" i="10"/>
  <c r="K227" i="10"/>
  <c r="L227" i="10"/>
  <c r="M227" i="10"/>
  <c r="A228" i="10"/>
  <c r="B228" i="10"/>
  <c r="C228" i="10"/>
  <c r="F228" i="10"/>
  <c r="G228" i="10"/>
  <c r="H228" i="10"/>
  <c r="I228" i="10"/>
  <c r="J228" i="10"/>
  <c r="K228" i="10"/>
  <c r="L228" i="10"/>
  <c r="M228" i="10"/>
  <c r="A229" i="10"/>
  <c r="B229" i="10"/>
  <c r="C229" i="10"/>
  <c r="F229" i="10"/>
  <c r="G229" i="10"/>
  <c r="H229" i="10"/>
  <c r="I229" i="10"/>
  <c r="J229" i="10"/>
  <c r="K229" i="10"/>
  <c r="L229" i="10"/>
  <c r="M229" i="10"/>
  <c r="A230" i="10"/>
  <c r="B230" i="10"/>
  <c r="C230" i="10"/>
  <c r="F230" i="10"/>
  <c r="G230" i="10"/>
  <c r="H230" i="10"/>
  <c r="I230" i="10"/>
  <c r="J230" i="10"/>
  <c r="K230" i="10"/>
  <c r="L230" i="10"/>
  <c r="M230" i="10"/>
  <c r="A231" i="10"/>
  <c r="B231" i="10"/>
  <c r="C231" i="10"/>
  <c r="F231" i="10"/>
  <c r="G231" i="10"/>
  <c r="H231" i="10"/>
  <c r="I231" i="10"/>
  <c r="J231" i="10"/>
  <c r="K231" i="10"/>
  <c r="L231" i="10"/>
  <c r="M231" i="10"/>
  <c r="A232" i="10"/>
  <c r="B232" i="10"/>
  <c r="C232" i="10"/>
  <c r="F232" i="10"/>
  <c r="G232" i="10"/>
  <c r="H232" i="10"/>
  <c r="I232" i="10"/>
  <c r="J232" i="10"/>
  <c r="K232" i="10"/>
  <c r="L232" i="10"/>
  <c r="M232" i="10"/>
  <c r="A233" i="10"/>
  <c r="B233" i="10"/>
  <c r="C233" i="10"/>
  <c r="F233" i="10"/>
  <c r="G233" i="10"/>
  <c r="H233" i="10"/>
  <c r="I233" i="10"/>
  <c r="J233" i="10"/>
  <c r="K233" i="10"/>
  <c r="L233" i="10"/>
  <c r="M233" i="10"/>
  <c r="A234" i="10"/>
  <c r="B234" i="10"/>
  <c r="C234" i="10"/>
  <c r="F234" i="10"/>
  <c r="G234" i="10"/>
  <c r="H234" i="10"/>
  <c r="I234" i="10"/>
  <c r="J234" i="10"/>
  <c r="K234" i="10"/>
  <c r="L234" i="10"/>
  <c r="M234" i="10"/>
  <c r="A235" i="10"/>
  <c r="B235" i="10"/>
  <c r="C235" i="10"/>
  <c r="F235" i="10"/>
  <c r="G235" i="10"/>
  <c r="H235" i="10"/>
  <c r="I235" i="10"/>
  <c r="J235" i="10"/>
  <c r="K235" i="10"/>
  <c r="L235" i="10"/>
  <c r="M235" i="10"/>
  <c r="A236" i="10"/>
  <c r="B236" i="10"/>
  <c r="C236" i="10"/>
  <c r="D236" i="10" s="1"/>
  <c r="E236" i="10" s="1"/>
  <c r="F236" i="10"/>
  <c r="G236" i="10"/>
  <c r="H236" i="10"/>
  <c r="I236" i="10"/>
  <c r="J236" i="10"/>
  <c r="K236" i="10"/>
  <c r="L236" i="10"/>
  <c r="M236" i="10"/>
  <c r="A237" i="10"/>
  <c r="B237" i="10"/>
  <c r="C237" i="10"/>
  <c r="F237" i="10"/>
  <c r="G237" i="10"/>
  <c r="H237" i="10"/>
  <c r="I237" i="10"/>
  <c r="J237" i="10"/>
  <c r="K237" i="10"/>
  <c r="L237" i="10"/>
  <c r="M237" i="10"/>
  <c r="A238" i="10"/>
  <c r="B238" i="10"/>
  <c r="C238" i="10"/>
  <c r="F238" i="10"/>
  <c r="G238" i="10"/>
  <c r="H238" i="10"/>
  <c r="I238" i="10"/>
  <c r="J238" i="10"/>
  <c r="K238" i="10"/>
  <c r="L238" i="10"/>
  <c r="M238" i="10"/>
  <c r="A239" i="10"/>
  <c r="B239" i="10"/>
  <c r="C239" i="10"/>
  <c r="F239" i="10"/>
  <c r="G239" i="10"/>
  <c r="H239" i="10"/>
  <c r="I239" i="10"/>
  <c r="J239" i="10"/>
  <c r="K239" i="10"/>
  <c r="L239" i="10"/>
  <c r="M239" i="10"/>
  <c r="A240" i="10"/>
  <c r="B240" i="10"/>
  <c r="C240" i="10"/>
  <c r="F240" i="10"/>
  <c r="G240" i="10"/>
  <c r="H240" i="10"/>
  <c r="I240" i="10"/>
  <c r="J240" i="10"/>
  <c r="K240" i="10"/>
  <c r="L240" i="10"/>
  <c r="M240" i="10"/>
  <c r="A241" i="10"/>
  <c r="B241" i="10"/>
  <c r="C241" i="10"/>
  <c r="F241" i="10"/>
  <c r="G241" i="10"/>
  <c r="H241" i="10"/>
  <c r="I241" i="10"/>
  <c r="J241" i="10"/>
  <c r="K241" i="10"/>
  <c r="L241" i="10"/>
  <c r="M241" i="10"/>
  <c r="A242" i="10"/>
  <c r="B242" i="10"/>
  <c r="C242" i="10"/>
  <c r="F242" i="10"/>
  <c r="G242" i="10"/>
  <c r="H242" i="10"/>
  <c r="I242" i="10"/>
  <c r="J242" i="10"/>
  <c r="K242" i="10"/>
  <c r="L242" i="10"/>
  <c r="M242" i="10"/>
  <c r="A243" i="10"/>
  <c r="B243" i="10"/>
  <c r="C243" i="10"/>
  <c r="F243" i="10"/>
  <c r="G243" i="10"/>
  <c r="H243" i="10"/>
  <c r="I243" i="10"/>
  <c r="J243" i="10"/>
  <c r="K243" i="10"/>
  <c r="L243" i="10"/>
  <c r="M243" i="10"/>
  <c r="A244" i="10"/>
  <c r="B244" i="10"/>
  <c r="C244" i="10"/>
  <c r="F244" i="10"/>
  <c r="G244" i="10"/>
  <c r="H244" i="10"/>
  <c r="I244" i="10"/>
  <c r="J244" i="10"/>
  <c r="K244" i="10"/>
  <c r="L244" i="10"/>
  <c r="M244" i="10"/>
  <c r="A245" i="10"/>
  <c r="B245" i="10"/>
  <c r="C245" i="10"/>
  <c r="F245" i="10"/>
  <c r="G245" i="10"/>
  <c r="H245" i="10"/>
  <c r="I245" i="10"/>
  <c r="J245" i="10"/>
  <c r="K245" i="10"/>
  <c r="L245" i="10"/>
  <c r="M245" i="10"/>
  <c r="A246" i="10"/>
  <c r="B246" i="10"/>
  <c r="C246" i="10"/>
  <c r="F246" i="10"/>
  <c r="G246" i="10"/>
  <c r="H246" i="10"/>
  <c r="I246" i="10"/>
  <c r="J246" i="10"/>
  <c r="K246" i="10"/>
  <c r="L246" i="10"/>
  <c r="M246" i="10"/>
  <c r="A247" i="10"/>
  <c r="B247" i="10"/>
  <c r="C247" i="10"/>
  <c r="F247" i="10"/>
  <c r="G247" i="10"/>
  <c r="H247" i="10"/>
  <c r="I247" i="10"/>
  <c r="J247" i="10"/>
  <c r="K247" i="10"/>
  <c r="L247" i="10"/>
  <c r="M247" i="10"/>
  <c r="A248" i="10"/>
  <c r="B248" i="10"/>
  <c r="C248" i="10"/>
  <c r="F248" i="10"/>
  <c r="G248" i="10"/>
  <c r="H248" i="10"/>
  <c r="I248" i="10"/>
  <c r="J248" i="10"/>
  <c r="K248" i="10"/>
  <c r="L248" i="10"/>
  <c r="M248" i="10"/>
  <c r="A249" i="10"/>
  <c r="B249" i="10"/>
  <c r="C249" i="10"/>
  <c r="F249" i="10"/>
  <c r="G249" i="10"/>
  <c r="H249" i="10"/>
  <c r="I249" i="10"/>
  <c r="J249" i="10"/>
  <c r="K249" i="10"/>
  <c r="L249" i="10"/>
  <c r="M249" i="10"/>
  <c r="A250" i="10"/>
  <c r="B250" i="10"/>
  <c r="C250" i="10"/>
  <c r="F250" i="10"/>
  <c r="G250" i="10"/>
  <c r="H250" i="10"/>
  <c r="I250" i="10"/>
  <c r="J250" i="10"/>
  <c r="K250" i="10"/>
  <c r="L250" i="10"/>
  <c r="M250" i="10"/>
  <c r="A251" i="10"/>
  <c r="B251" i="10"/>
  <c r="C251" i="10"/>
  <c r="F251" i="10"/>
  <c r="G251" i="10"/>
  <c r="H251" i="10"/>
  <c r="I251" i="10"/>
  <c r="J251" i="10"/>
  <c r="K251" i="10"/>
  <c r="L251" i="10"/>
  <c r="M251" i="10"/>
  <c r="A252" i="10"/>
  <c r="B252" i="10"/>
  <c r="C252" i="10"/>
  <c r="D252" i="10" s="1"/>
  <c r="E252" i="10" s="1"/>
  <c r="F252" i="10"/>
  <c r="G252" i="10"/>
  <c r="H252" i="10"/>
  <c r="I252" i="10"/>
  <c r="J252" i="10"/>
  <c r="K252" i="10"/>
  <c r="L252" i="10"/>
  <c r="M252" i="10"/>
  <c r="A253" i="10"/>
  <c r="B253" i="10"/>
  <c r="C253" i="10"/>
  <c r="F253" i="10"/>
  <c r="G253" i="10"/>
  <c r="H253" i="10"/>
  <c r="I253" i="10"/>
  <c r="J253" i="10"/>
  <c r="K253" i="10"/>
  <c r="L253" i="10"/>
  <c r="M253" i="10"/>
  <c r="A254" i="10"/>
  <c r="B254" i="10"/>
  <c r="C254" i="10"/>
  <c r="D254" i="10" s="1"/>
  <c r="E254" i="10" s="1"/>
  <c r="F254" i="10"/>
  <c r="G254" i="10"/>
  <c r="H254" i="10"/>
  <c r="I254" i="10"/>
  <c r="J254" i="10"/>
  <c r="K254" i="10"/>
  <c r="L254" i="10"/>
  <c r="M254" i="10"/>
  <c r="A255" i="10"/>
  <c r="B255" i="10"/>
  <c r="C255" i="10"/>
  <c r="F255" i="10"/>
  <c r="G255" i="10"/>
  <c r="H255" i="10"/>
  <c r="I255" i="10"/>
  <c r="J255" i="10"/>
  <c r="K255" i="10"/>
  <c r="L255" i="10"/>
  <c r="M255" i="10"/>
  <c r="A256" i="10"/>
  <c r="B256" i="10"/>
  <c r="C256" i="10"/>
  <c r="F256" i="10"/>
  <c r="G256" i="10"/>
  <c r="H256" i="10"/>
  <c r="I256" i="10"/>
  <c r="J256" i="10"/>
  <c r="K256" i="10"/>
  <c r="L256" i="10"/>
  <c r="M256" i="10"/>
  <c r="A257" i="10"/>
  <c r="B257" i="10"/>
  <c r="C257" i="10"/>
  <c r="F257" i="10"/>
  <c r="G257" i="10"/>
  <c r="H257" i="10"/>
  <c r="I257" i="10"/>
  <c r="J257" i="10"/>
  <c r="K257" i="10"/>
  <c r="L257" i="10"/>
  <c r="M257" i="10"/>
  <c r="A258" i="10"/>
  <c r="B258" i="10"/>
  <c r="C258" i="10"/>
  <c r="F258" i="10"/>
  <c r="G258" i="10"/>
  <c r="H258" i="10"/>
  <c r="I258" i="10"/>
  <c r="J258" i="10"/>
  <c r="K258" i="10"/>
  <c r="L258" i="10"/>
  <c r="M258" i="10"/>
  <c r="A259" i="10"/>
  <c r="B259" i="10"/>
  <c r="C259" i="10"/>
  <c r="F259" i="10"/>
  <c r="G259" i="10"/>
  <c r="H259" i="10"/>
  <c r="I259" i="10"/>
  <c r="J259" i="10"/>
  <c r="K259" i="10"/>
  <c r="L259" i="10"/>
  <c r="M259" i="10"/>
  <c r="A260" i="10"/>
  <c r="B260" i="10"/>
  <c r="C260" i="10"/>
  <c r="F260" i="10"/>
  <c r="G260" i="10"/>
  <c r="H260" i="10"/>
  <c r="I260" i="10"/>
  <c r="J260" i="10"/>
  <c r="K260" i="10"/>
  <c r="L260" i="10"/>
  <c r="M260" i="10"/>
  <c r="A261" i="10"/>
  <c r="B261" i="10"/>
  <c r="C261" i="10"/>
  <c r="F261" i="10"/>
  <c r="G261" i="10"/>
  <c r="H261" i="10"/>
  <c r="I261" i="10"/>
  <c r="J261" i="10"/>
  <c r="K261" i="10"/>
  <c r="L261" i="10"/>
  <c r="M261" i="10"/>
  <c r="A262" i="10"/>
  <c r="B262" i="10"/>
  <c r="C262" i="10"/>
  <c r="D262" i="10" s="1"/>
  <c r="E262" i="10" s="1"/>
  <c r="F262" i="10"/>
  <c r="G262" i="10"/>
  <c r="H262" i="10"/>
  <c r="I262" i="10"/>
  <c r="J262" i="10"/>
  <c r="K262" i="10"/>
  <c r="L262" i="10"/>
  <c r="M262" i="10"/>
  <c r="A263" i="10"/>
  <c r="B263" i="10"/>
  <c r="C263" i="10"/>
  <c r="D263" i="10" s="1"/>
  <c r="E263" i="10" s="1"/>
  <c r="F263" i="10"/>
  <c r="G263" i="10"/>
  <c r="H263" i="10"/>
  <c r="I263" i="10"/>
  <c r="J263" i="10"/>
  <c r="K263" i="10"/>
  <c r="L263" i="10"/>
  <c r="M263" i="10"/>
  <c r="A264" i="10"/>
  <c r="B264" i="10"/>
  <c r="C264" i="10"/>
  <c r="F264" i="10"/>
  <c r="G264" i="10"/>
  <c r="H264" i="10"/>
  <c r="I264" i="10"/>
  <c r="J264" i="10"/>
  <c r="K264" i="10"/>
  <c r="L264" i="10"/>
  <c r="M264" i="10"/>
  <c r="A265" i="10"/>
  <c r="B265" i="10"/>
  <c r="C265" i="10"/>
  <c r="F265" i="10"/>
  <c r="G265" i="10"/>
  <c r="H265" i="10"/>
  <c r="I265" i="10"/>
  <c r="J265" i="10"/>
  <c r="K265" i="10"/>
  <c r="L265" i="10"/>
  <c r="M265" i="10"/>
  <c r="A266" i="10"/>
  <c r="B266" i="10"/>
  <c r="C266" i="10"/>
  <c r="F266" i="10"/>
  <c r="G266" i="10"/>
  <c r="H266" i="10"/>
  <c r="I266" i="10"/>
  <c r="J266" i="10"/>
  <c r="K266" i="10"/>
  <c r="L266" i="10"/>
  <c r="M266" i="10"/>
  <c r="A267" i="10"/>
  <c r="B267" i="10"/>
  <c r="C267" i="10"/>
  <c r="F267" i="10"/>
  <c r="G267" i="10"/>
  <c r="H267" i="10"/>
  <c r="I267" i="10"/>
  <c r="J267" i="10"/>
  <c r="K267" i="10"/>
  <c r="L267" i="10"/>
  <c r="M267" i="10"/>
  <c r="A268" i="10"/>
  <c r="B268" i="10"/>
  <c r="C268" i="10"/>
  <c r="F268" i="10"/>
  <c r="G268" i="10"/>
  <c r="H268" i="10"/>
  <c r="I268" i="10"/>
  <c r="J268" i="10"/>
  <c r="K268" i="10"/>
  <c r="L268" i="10"/>
  <c r="M268" i="10"/>
  <c r="A269" i="10"/>
  <c r="B269" i="10"/>
  <c r="C269" i="10"/>
  <c r="F269" i="10"/>
  <c r="G269" i="10"/>
  <c r="H269" i="10"/>
  <c r="I269" i="10"/>
  <c r="J269" i="10"/>
  <c r="K269" i="10"/>
  <c r="L269" i="10"/>
  <c r="M269" i="10"/>
  <c r="A270" i="10"/>
  <c r="B270" i="10"/>
  <c r="C270" i="10"/>
  <c r="F270" i="10"/>
  <c r="G270" i="10"/>
  <c r="H270" i="10"/>
  <c r="I270" i="10"/>
  <c r="J270" i="10"/>
  <c r="K270" i="10"/>
  <c r="L270" i="10"/>
  <c r="M270" i="10"/>
  <c r="A271" i="10"/>
  <c r="B271" i="10"/>
  <c r="C271" i="10"/>
  <c r="F271" i="10"/>
  <c r="G271" i="10"/>
  <c r="H271" i="10"/>
  <c r="I271" i="10"/>
  <c r="J271" i="10"/>
  <c r="K271" i="10"/>
  <c r="L271" i="10"/>
  <c r="M271" i="10"/>
  <c r="A272" i="10"/>
  <c r="B272" i="10"/>
  <c r="C272" i="10"/>
  <c r="F272" i="10"/>
  <c r="G272" i="10"/>
  <c r="H272" i="10"/>
  <c r="I272" i="10"/>
  <c r="J272" i="10"/>
  <c r="K272" i="10"/>
  <c r="L272" i="10"/>
  <c r="M272" i="10"/>
  <c r="A273" i="10"/>
  <c r="B273" i="10"/>
  <c r="C273" i="10"/>
  <c r="F273" i="10"/>
  <c r="G273" i="10"/>
  <c r="H273" i="10"/>
  <c r="I273" i="10"/>
  <c r="J273" i="10"/>
  <c r="K273" i="10"/>
  <c r="L273" i="10"/>
  <c r="M273" i="10"/>
  <c r="A274" i="10"/>
  <c r="B274" i="10"/>
  <c r="C274" i="10"/>
  <c r="F274" i="10"/>
  <c r="G274" i="10"/>
  <c r="H274" i="10"/>
  <c r="I274" i="10"/>
  <c r="J274" i="10"/>
  <c r="K274" i="10"/>
  <c r="L274" i="10"/>
  <c r="M274" i="10"/>
  <c r="A275" i="10"/>
  <c r="B275" i="10"/>
  <c r="C275" i="10"/>
  <c r="F275" i="10"/>
  <c r="G275" i="10"/>
  <c r="H275" i="10"/>
  <c r="I275" i="10"/>
  <c r="J275" i="10"/>
  <c r="K275" i="10"/>
  <c r="L275" i="10"/>
  <c r="M275" i="10"/>
  <c r="A276" i="10"/>
  <c r="B276" i="10"/>
  <c r="C276" i="10"/>
  <c r="F276" i="10"/>
  <c r="G276" i="10"/>
  <c r="H276" i="10"/>
  <c r="I276" i="10"/>
  <c r="J276" i="10"/>
  <c r="K276" i="10"/>
  <c r="L276" i="10"/>
  <c r="M276" i="10"/>
  <c r="A277" i="10"/>
  <c r="B277" i="10"/>
  <c r="C277" i="10"/>
  <c r="F277" i="10"/>
  <c r="G277" i="10"/>
  <c r="H277" i="10"/>
  <c r="I277" i="10"/>
  <c r="J277" i="10"/>
  <c r="K277" i="10"/>
  <c r="L277" i="10"/>
  <c r="M277" i="10"/>
  <c r="A278" i="10"/>
  <c r="B278" i="10"/>
  <c r="C278" i="10"/>
  <c r="F278" i="10"/>
  <c r="G278" i="10"/>
  <c r="H278" i="10"/>
  <c r="I278" i="10"/>
  <c r="J278" i="10"/>
  <c r="K278" i="10"/>
  <c r="L278" i="10"/>
  <c r="M278" i="10"/>
  <c r="A279" i="10"/>
  <c r="B279" i="10"/>
  <c r="C279" i="10"/>
  <c r="F279" i="10"/>
  <c r="G279" i="10"/>
  <c r="H279" i="10"/>
  <c r="I279" i="10"/>
  <c r="J279" i="10"/>
  <c r="K279" i="10"/>
  <c r="L279" i="10"/>
  <c r="M279" i="10"/>
  <c r="A280" i="10"/>
  <c r="B280" i="10"/>
  <c r="C280" i="10"/>
  <c r="F280" i="10"/>
  <c r="G280" i="10"/>
  <c r="H280" i="10"/>
  <c r="I280" i="10"/>
  <c r="J280" i="10"/>
  <c r="K280" i="10"/>
  <c r="L280" i="10"/>
  <c r="M280" i="10"/>
  <c r="A281" i="10"/>
  <c r="B281" i="10"/>
  <c r="C281" i="10"/>
  <c r="F281" i="10"/>
  <c r="G281" i="10"/>
  <c r="H281" i="10"/>
  <c r="I281" i="10"/>
  <c r="J281" i="10"/>
  <c r="K281" i="10"/>
  <c r="L281" i="10"/>
  <c r="M281" i="10"/>
  <c r="A282" i="10"/>
  <c r="B282" i="10"/>
  <c r="C282" i="10"/>
  <c r="F282" i="10"/>
  <c r="G282" i="10"/>
  <c r="H282" i="10"/>
  <c r="I282" i="10"/>
  <c r="J282" i="10"/>
  <c r="K282" i="10"/>
  <c r="L282" i="10"/>
  <c r="M282" i="10"/>
  <c r="A283" i="10"/>
  <c r="B283" i="10"/>
  <c r="C283" i="10"/>
  <c r="F283" i="10"/>
  <c r="G283" i="10"/>
  <c r="H283" i="10"/>
  <c r="I283" i="10"/>
  <c r="J283" i="10"/>
  <c r="K283" i="10"/>
  <c r="L283" i="10"/>
  <c r="M283" i="10"/>
  <c r="A284" i="10"/>
  <c r="B284" i="10"/>
  <c r="C284" i="10"/>
  <c r="D284" i="10" s="1"/>
  <c r="E284" i="10" s="1"/>
  <c r="F284" i="10"/>
  <c r="G284" i="10"/>
  <c r="H284" i="10"/>
  <c r="I284" i="10"/>
  <c r="J284" i="10"/>
  <c r="K284" i="10"/>
  <c r="L284" i="10"/>
  <c r="M284" i="10"/>
  <c r="A285" i="10"/>
  <c r="B285" i="10"/>
  <c r="C285" i="10"/>
  <c r="F285" i="10"/>
  <c r="G285" i="10"/>
  <c r="H285" i="10"/>
  <c r="I285" i="10"/>
  <c r="J285" i="10"/>
  <c r="K285" i="10"/>
  <c r="L285" i="10"/>
  <c r="M285" i="10"/>
  <c r="A286" i="10"/>
  <c r="B286" i="10"/>
  <c r="C286" i="10"/>
  <c r="F286" i="10"/>
  <c r="G286" i="10"/>
  <c r="H286" i="10"/>
  <c r="I286" i="10"/>
  <c r="J286" i="10"/>
  <c r="K286" i="10"/>
  <c r="L286" i="10"/>
  <c r="M286" i="10"/>
  <c r="A287" i="10"/>
  <c r="B287" i="10"/>
  <c r="C287" i="10"/>
  <c r="F287" i="10"/>
  <c r="G287" i="10"/>
  <c r="H287" i="10"/>
  <c r="I287" i="10"/>
  <c r="J287" i="10"/>
  <c r="K287" i="10"/>
  <c r="L287" i="10"/>
  <c r="M287" i="10"/>
  <c r="A288" i="10"/>
  <c r="B288" i="10"/>
  <c r="C288" i="10"/>
  <c r="F288" i="10"/>
  <c r="G288" i="10"/>
  <c r="H288" i="10"/>
  <c r="I288" i="10"/>
  <c r="J288" i="10"/>
  <c r="K288" i="10"/>
  <c r="L288" i="10"/>
  <c r="M288" i="10"/>
  <c r="A289" i="10"/>
  <c r="B289" i="10"/>
  <c r="C289" i="10"/>
  <c r="F289" i="10"/>
  <c r="G289" i="10"/>
  <c r="H289" i="10"/>
  <c r="I289" i="10"/>
  <c r="J289" i="10"/>
  <c r="K289" i="10"/>
  <c r="L289" i="10"/>
  <c r="M289" i="10"/>
  <c r="A290" i="10"/>
  <c r="B290" i="10"/>
  <c r="C290" i="10"/>
  <c r="D290" i="10" s="1"/>
  <c r="E290" i="10" s="1"/>
  <c r="F290" i="10"/>
  <c r="G290" i="10"/>
  <c r="H290" i="10"/>
  <c r="I290" i="10"/>
  <c r="J290" i="10"/>
  <c r="K290" i="10"/>
  <c r="L290" i="10"/>
  <c r="M290" i="10"/>
  <c r="A291" i="10"/>
  <c r="B291" i="10"/>
  <c r="C291" i="10"/>
  <c r="F291" i="10"/>
  <c r="G291" i="10"/>
  <c r="H291" i="10"/>
  <c r="I291" i="10"/>
  <c r="J291" i="10"/>
  <c r="K291" i="10"/>
  <c r="L291" i="10"/>
  <c r="M291" i="10"/>
  <c r="A292" i="10"/>
  <c r="B292" i="10"/>
  <c r="C292" i="10"/>
  <c r="D292" i="10" s="1"/>
  <c r="E292" i="10" s="1"/>
  <c r="F292" i="10"/>
  <c r="G292" i="10"/>
  <c r="H292" i="10"/>
  <c r="I292" i="10"/>
  <c r="J292" i="10"/>
  <c r="K292" i="10"/>
  <c r="L292" i="10"/>
  <c r="M292" i="10"/>
  <c r="A293" i="10"/>
  <c r="B293" i="10"/>
  <c r="C293" i="10"/>
  <c r="F293" i="10"/>
  <c r="G293" i="10"/>
  <c r="H293" i="10"/>
  <c r="I293" i="10"/>
  <c r="J293" i="10"/>
  <c r="K293" i="10"/>
  <c r="L293" i="10"/>
  <c r="M293" i="10"/>
  <c r="A294" i="10"/>
  <c r="B294" i="10"/>
  <c r="C294" i="10"/>
  <c r="F294" i="10"/>
  <c r="G294" i="10"/>
  <c r="H294" i="10"/>
  <c r="I294" i="10"/>
  <c r="J294" i="10"/>
  <c r="K294" i="10"/>
  <c r="L294" i="10"/>
  <c r="M294" i="10"/>
  <c r="A295" i="10"/>
  <c r="B295" i="10"/>
  <c r="C295" i="10"/>
  <c r="F295" i="10"/>
  <c r="G295" i="10"/>
  <c r="H295" i="10"/>
  <c r="I295" i="10"/>
  <c r="J295" i="10"/>
  <c r="K295" i="10"/>
  <c r="L295" i="10"/>
  <c r="M295" i="10"/>
  <c r="A296" i="10"/>
  <c r="B296" i="10"/>
  <c r="C296" i="10"/>
  <c r="F296" i="10"/>
  <c r="G296" i="10"/>
  <c r="H296" i="10"/>
  <c r="I296" i="10"/>
  <c r="J296" i="10"/>
  <c r="K296" i="10"/>
  <c r="L296" i="10"/>
  <c r="M296" i="10"/>
  <c r="A297" i="10"/>
  <c r="B297" i="10"/>
  <c r="C297" i="10"/>
  <c r="D297" i="10" s="1"/>
  <c r="E297" i="10" s="1"/>
  <c r="F297" i="10"/>
  <c r="G297" i="10"/>
  <c r="H297" i="10"/>
  <c r="I297" i="10"/>
  <c r="J297" i="10"/>
  <c r="K297" i="10"/>
  <c r="L297" i="10"/>
  <c r="M297" i="10"/>
  <c r="A298" i="10"/>
  <c r="B298" i="10"/>
  <c r="D298" i="10" s="1"/>
  <c r="E298" i="10" s="1"/>
  <c r="C298" i="10"/>
  <c r="F298" i="10"/>
  <c r="G298" i="10"/>
  <c r="H298" i="10"/>
  <c r="I298" i="10"/>
  <c r="J298" i="10"/>
  <c r="K298" i="10"/>
  <c r="L298" i="10"/>
  <c r="M298" i="10"/>
  <c r="A299" i="10"/>
  <c r="B299" i="10"/>
  <c r="C299" i="10"/>
  <c r="F299" i="10"/>
  <c r="G299" i="10"/>
  <c r="H299" i="10"/>
  <c r="I299" i="10"/>
  <c r="J299" i="10"/>
  <c r="K299" i="10"/>
  <c r="L299" i="10"/>
  <c r="M299" i="10"/>
  <c r="A300" i="10"/>
  <c r="B300" i="10"/>
  <c r="C300" i="10"/>
  <c r="F300" i="10"/>
  <c r="G300" i="10"/>
  <c r="H300" i="10"/>
  <c r="I300" i="10"/>
  <c r="J300" i="10"/>
  <c r="K300" i="10"/>
  <c r="L300" i="10"/>
  <c r="M300" i="10"/>
  <c r="A301" i="10"/>
  <c r="B301" i="10"/>
  <c r="C301" i="10"/>
  <c r="F301" i="10"/>
  <c r="G301" i="10"/>
  <c r="H301" i="10"/>
  <c r="I301" i="10"/>
  <c r="J301" i="10"/>
  <c r="K301" i="10"/>
  <c r="L301" i="10"/>
  <c r="M301" i="10"/>
  <c r="A302" i="10"/>
  <c r="B302" i="10"/>
  <c r="C302" i="10"/>
  <c r="F302" i="10"/>
  <c r="G302" i="10"/>
  <c r="H302" i="10"/>
  <c r="I302" i="10"/>
  <c r="J302" i="10"/>
  <c r="K302" i="10"/>
  <c r="L302" i="10"/>
  <c r="M302" i="10"/>
  <c r="A303" i="10"/>
  <c r="B303" i="10"/>
  <c r="C303" i="10"/>
  <c r="F303" i="10"/>
  <c r="G303" i="10"/>
  <c r="H303" i="10"/>
  <c r="I303" i="10"/>
  <c r="J303" i="10"/>
  <c r="K303" i="10"/>
  <c r="L303" i="10"/>
  <c r="M303" i="10"/>
  <c r="A304" i="10"/>
  <c r="B304" i="10"/>
  <c r="C304" i="10"/>
  <c r="F304" i="10"/>
  <c r="G304" i="10"/>
  <c r="H304" i="10"/>
  <c r="I304" i="10"/>
  <c r="J304" i="10"/>
  <c r="K304" i="10"/>
  <c r="L304" i="10"/>
  <c r="M304" i="10"/>
  <c r="A305" i="10"/>
  <c r="B305" i="10"/>
  <c r="C305" i="10"/>
  <c r="F305" i="10"/>
  <c r="G305" i="10"/>
  <c r="H305" i="10"/>
  <c r="I305" i="10"/>
  <c r="J305" i="10"/>
  <c r="K305" i="10"/>
  <c r="L305" i="10"/>
  <c r="M305" i="10"/>
  <c r="A306" i="10"/>
  <c r="B306" i="10"/>
  <c r="C306" i="10"/>
  <c r="F306" i="10"/>
  <c r="G306" i="10"/>
  <c r="H306" i="10"/>
  <c r="I306" i="10"/>
  <c r="J306" i="10"/>
  <c r="K306" i="10"/>
  <c r="L306" i="10"/>
  <c r="M306" i="10"/>
  <c r="A307" i="10"/>
  <c r="B307" i="10"/>
  <c r="C307" i="10"/>
  <c r="F307" i="10"/>
  <c r="G307" i="10"/>
  <c r="H307" i="10"/>
  <c r="I307" i="10"/>
  <c r="J307" i="10"/>
  <c r="K307" i="10"/>
  <c r="L307" i="10"/>
  <c r="M307" i="10"/>
  <c r="A308" i="10"/>
  <c r="B308" i="10"/>
  <c r="C308" i="10"/>
  <c r="F308" i="10"/>
  <c r="G308" i="10"/>
  <c r="H308" i="10"/>
  <c r="I308" i="10"/>
  <c r="J308" i="10"/>
  <c r="K308" i="10"/>
  <c r="L308" i="10"/>
  <c r="M308" i="10"/>
  <c r="A309" i="10"/>
  <c r="B309" i="10"/>
  <c r="D309" i="10" s="1"/>
  <c r="E309" i="10" s="1"/>
  <c r="C309" i="10"/>
  <c r="F309" i="10"/>
  <c r="G309" i="10"/>
  <c r="H309" i="10"/>
  <c r="I309" i="10"/>
  <c r="J309" i="10"/>
  <c r="K309" i="10"/>
  <c r="L309" i="10"/>
  <c r="M309" i="10"/>
  <c r="A310" i="10"/>
  <c r="B310" i="10"/>
  <c r="C310" i="10"/>
  <c r="F310" i="10"/>
  <c r="G310" i="10"/>
  <c r="H310" i="10"/>
  <c r="I310" i="10"/>
  <c r="J310" i="10"/>
  <c r="K310" i="10"/>
  <c r="L310" i="10"/>
  <c r="M310" i="10"/>
  <c r="A311" i="10"/>
  <c r="B311" i="10"/>
  <c r="C311" i="10"/>
  <c r="F311" i="10"/>
  <c r="G311" i="10"/>
  <c r="H311" i="10"/>
  <c r="I311" i="10"/>
  <c r="J311" i="10"/>
  <c r="K311" i="10"/>
  <c r="L311" i="10"/>
  <c r="M311" i="10"/>
  <c r="A312" i="10"/>
  <c r="B312" i="10"/>
  <c r="C312" i="10"/>
  <c r="F312" i="10"/>
  <c r="G312" i="10"/>
  <c r="H312" i="10"/>
  <c r="I312" i="10"/>
  <c r="J312" i="10"/>
  <c r="K312" i="10"/>
  <c r="L312" i="10"/>
  <c r="M312" i="10"/>
  <c r="A313" i="10"/>
  <c r="B313" i="10"/>
  <c r="C313" i="10"/>
  <c r="F313" i="10"/>
  <c r="G313" i="10"/>
  <c r="H313" i="10"/>
  <c r="I313" i="10"/>
  <c r="J313" i="10"/>
  <c r="K313" i="10"/>
  <c r="L313" i="10"/>
  <c r="M313" i="10"/>
  <c r="A314" i="10"/>
  <c r="B314" i="10"/>
  <c r="C314" i="10"/>
  <c r="F314" i="10"/>
  <c r="G314" i="10"/>
  <c r="H314" i="10"/>
  <c r="I314" i="10"/>
  <c r="J314" i="10"/>
  <c r="K314" i="10"/>
  <c r="L314" i="10"/>
  <c r="M314" i="10"/>
  <c r="A315" i="10"/>
  <c r="B315" i="10"/>
  <c r="C315" i="10"/>
  <c r="F315" i="10"/>
  <c r="G315" i="10"/>
  <c r="H315" i="10"/>
  <c r="I315" i="10"/>
  <c r="J315" i="10"/>
  <c r="K315" i="10"/>
  <c r="L315" i="10"/>
  <c r="M315" i="10"/>
  <c r="A316" i="10"/>
  <c r="B316" i="10"/>
  <c r="C316" i="10"/>
  <c r="F316" i="10"/>
  <c r="G316" i="10"/>
  <c r="H316" i="10"/>
  <c r="I316" i="10"/>
  <c r="J316" i="10"/>
  <c r="K316" i="10"/>
  <c r="L316" i="10"/>
  <c r="M316" i="10"/>
  <c r="A317" i="10"/>
  <c r="B317" i="10"/>
  <c r="D317" i="10" s="1"/>
  <c r="E317" i="10" s="1"/>
  <c r="C317" i="10"/>
  <c r="F317" i="10"/>
  <c r="G317" i="10"/>
  <c r="H317" i="10"/>
  <c r="I317" i="10"/>
  <c r="J317" i="10"/>
  <c r="K317" i="10"/>
  <c r="L317" i="10"/>
  <c r="M317" i="10"/>
  <c r="A318" i="10"/>
  <c r="B318" i="10"/>
  <c r="C318" i="10"/>
  <c r="F318" i="10"/>
  <c r="G318" i="10"/>
  <c r="H318" i="10"/>
  <c r="I318" i="10"/>
  <c r="J318" i="10"/>
  <c r="K318" i="10"/>
  <c r="L318" i="10"/>
  <c r="M318" i="10"/>
  <c r="A319" i="10"/>
  <c r="B319" i="10"/>
  <c r="C319" i="10"/>
  <c r="F319" i="10"/>
  <c r="G319" i="10"/>
  <c r="H319" i="10"/>
  <c r="I319" i="10"/>
  <c r="J319" i="10"/>
  <c r="K319" i="10"/>
  <c r="L319" i="10"/>
  <c r="M319" i="10"/>
  <c r="A320" i="10"/>
  <c r="B320" i="10"/>
  <c r="C320" i="10"/>
  <c r="F320" i="10"/>
  <c r="G320" i="10"/>
  <c r="H320" i="10"/>
  <c r="I320" i="10"/>
  <c r="J320" i="10"/>
  <c r="K320" i="10"/>
  <c r="L320" i="10"/>
  <c r="M320" i="10"/>
  <c r="A321" i="10"/>
  <c r="B321" i="10"/>
  <c r="C321" i="10"/>
  <c r="F321" i="10"/>
  <c r="G321" i="10"/>
  <c r="H321" i="10"/>
  <c r="I321" i="10"/>
  <c r="J321" i="10"/>
  <c r="K321" i="10"/>
  <c r="L321" i="10"/>
  <c r="M321" i="10"/>
  <c r="A322" i="10"/>
  <c r="B322" i="10"/>
  <c r="C322" i="10"/>
  <c r="F322" i="10"/>
  <c r="G322" i="10"/>
  <c r="H322" i="10"/>
  <c r="I322" i="10"/>
  <c r="J322" i="10"/>
  <c r="K322" i="10"/>
  <c r="L322" i="10"/>
  <c r="M322" i="10"/>
  <c r="A323" i="10"/>
  <c r="B323" i="10"/>
  <c r="C323" i="10"/>
  <c r="D323" i="10" s="1"/>
  <c r="E323" i="10" s="1"/>
  <c r="F323" i="10"/>
  <c r="G323" i="10"/>
  <c r="H323" i="10"/>
  <c r="I323" i="10"/>
  <c r="J323" i="10"/>
  <c r="K323" i="10"/>
  <c r="L323" i="10"/>
  <c r="M323" i="10"/>
  <c r="A324" i="10"/>
  <c r="B324" i="10"/>
  <c r="C324" i="10"/>
  <c r="F324" i="10"/>
  <c r="G324" i="10"/>
  <c r="H324" i="10"/>
  <c r="I324" i="10"/>
  <c r="J324" i="10"/>
  <c r="K324" i="10"/>
  <c r="L324" i="10"/>
  <c r="M324" i="10"/>
  <c r="A325" i="10"/>
  <c r="B325" i="10"/>
  <c r="D325" i="10" s="1"/>
  <c r="E325" i="10" s="1"/>
  <c r="C325" i="10"/>
  <c r="F325" i="10"/>
  <c r="G325" i="10"/>
  <c r="H325" i="10"/>
  <c r="I325" i="10"/>
  <c r="J325" i="10"/>
  <c r="K325" i="10"/>
  <c r="L325" i="10"/>
  <c r="M325" i="10"/>
  <c r="A326" i="10"/>
  <c r="B326" i="10"/>
  <c r="C326" i="10"/>
  <c r="F326" i="10"/>
  <c r="G326" i="10"/>
  <c r="H326" i="10"/>
  <c r="I326" i="10"/>
  <c r="J326" i="10"/>
  <c r="K326" i="10"/>
  <c r="L326" i="10"/>
  <c r="M326" i="10"/>
  <c r="A327" i="10"/>
  <c r="B327" i="10"/>
  <c r="C327" i="10"/>
  <c r="F327" i="10"/>
  <c r="G327" i="10"/>
  <c r="H327" i="10"/>
  <c r="I327" i="10"/>
  <c r="J327" i="10"/>
  <c r="K327" i="10"/>
  <c r="L327" i="10"/>
  <c r="M327" i="10"/>
  <c r="A328" i="10"/>
  <c r="B328" i="10"/>
  <c r="C328" i="10"/>
  <c r="F328" i="10"/>
  <c r="G328" i="10"/>
  <c r="H328" i="10"/>
  <c r="I328" i="10"/>
  <c r="J328" i="10"/>
  <c r="K328" i="10"/>
  <c r="L328" i="10"/>
  <c r="M328" i="10"/>
  <c r="A329" i="10"/>
  <c r="B329" i="10"/>
  <c r="C329" i="10"/>
  <c r="D329" i="10"/>
  <c r="E329" i="10" s="1"/>
  <c r="F329" i="10"/>
  <c r="G329" i="10"/>
  <c r="H329" i="10"/>
  <c r="I329" i="10"/>
  <c r="J329" i="10"/>
  <c r="K329" i="10"/>
  <c r="L329" i="10"/>
  <c r="M329" i="10"/>
  <c r="A330" i="10"/>
  <c r="B330" i="10"/>
  <c r="C330" i="10"/>
  <c r="F330" i="10"/>
  <c r="G330" i="10"/>
  <c r="H330" i="10"/>
  <c r="I330" i="10"/>
  <c r="J330" i="10"/>
  <c r="K330" i="10"/>
  <c r="L330" i="10"/>
  <c r="M330" i="10"/>
  <c r="A331" i="10"/>
  <c r="B331" i="10"/>
  <c r="C331" i="10"/>
  <c r="F331" i="10"/>
  <c r="G331" i="10"/>
  <c r="H331" i="10"/>
  <c r="I331" i="10"/>
  <c r="J331" i="10"/>
  <c r="K331" i="10"/>
  <c r="L331" i="10"/>
  <c r="M331" i="10"/>
  <c r="A332" i="10"/>
  <c r="B332" i="10"/>
  <c r="C332" i="10"/>
  <c r="F332" i="10"/>
  <c r="G332" i="10"/>
  <c r="H332" i="10"/>
  <c r="I332" i="10"/>
  <c r="J332" i="10"/>
  <c r="K332" i="10"/>
  <c r="L332" i="10"/>
  <c r="M332" i="10"/>
  <c r="A333" i="10"/>
  <c r="B333" i="10"/>
  <c r="C333" i="10"/>
  <c r="F333" i="10"/>
  <c r="G333" i="10"/>
  <c r="H333" i="10"/>
  <c r="I333" i="10"/>
  <c r="J333" i="10"/>
  <c r="K333" i="10"/>
  <c r="L333" i="10"/>
  <c r="M333" i="10"/>
  <c r="A334" i="10"/>
  <c r="B334" i="10"/>
  <c r="C334" i="10"/>
  <c r="F334" i="10"/>
  <c r="G334" i="10"/>
  <c r="H334" i="10"/>
  <c r="I334" i="10"/>
  <c r="J334" i="10"/>
  <c r="K334" i="10"/>
  <c r="L334" i="10"/>
  <c r="M334" i="10"/>
  <c r="A335" i="10"/>
  <c r="B335" i="10"/>
  <c r="C335" i="10"/>
  <c r="F335" i="10"/>
  <c r="G335" i="10"/>
  <c r="H335" i="10"/>
  <c r="I335" i="10"/>
  <c r="J335" i="10"/>
  <c r="K335" i="10"/>
  <c r="L335" i="10"/>
  <c r="M335" i="10"/>
  <c r="A336" i="10"/>
  <c r="B336" i="10"/>
  <c r="C336" i="10"/>
  <c r="D336" i="10" s="1"/>
  <c r="E336" i="10" s="1"/>
  <c r="F336" i="10"/>
  <c r="G336" i="10"/>
  <c r="H336" i="10"/>
  <c r="I336" i="10"/>
  <c r="J336" i="10"/>
  <c r="K336" i="10"/>
  <c r="L336" i="10"/>
  <c r="M336" i="10"/>
  <c r="A337" i="10"/>
  <c r="B337" i="10"/>
  <c r="C337" i="10"/>
  <c r="F337" i="10"/>
  <c r="G337" i="10"/>
  <c r="H337" i="10"/>
  <c r="I337" i="10"/>
  <c r="J337" i="10"/>
  <c r="K337" i="10"/>
  <c r="L337" i="10"/>
  <c r="M337" i="10"/>
  <c r="A338" i="10"/>
  <c r="B338" i="10"/>
  <c r="C338" i="10"/>
  <c r="F338" i="10"/>
  <c r="G338" i="10"/>
  <c r="H338" i="10"/>
  <c r="I338" i="10"/>
  <c r="J338" i="10"/>
  <c r="K338" i="10"/>
  <c r="L338" i="10"/>
  <c r="M338" i="10"/>
  <c r="A339" i="10"/>
  <c r="B339" i="10"/>
  <c r="C339" i="10"/>
  <c r="F339" i="10"/>
  <c r="G339" i="10"/>
  <c r="H339" i="10"/>
  <c r="I339" i="10"/>
  <c r="J339" i="10"/>
  <c r="K339" i="10"/>
  <c r="L339" i="10"/>
  <c r="M339" i="10"/>
  <c r="A340" i="10"/>
  <c r="B340" i="10"/>
  <c r="C340" i="10"/>
  <c r="F340" i="10"/>
  <c r="G340" i="10"/>
  <c r="H340" i="10"/>
  <c r="I340" i="10"/>
  <c r="J340" i="10"/>
  <c r="K340" i="10"/>
  <c r="L340" i="10"/>
  <c r="M340" i="10"/>
  <c r="A341" i="10"/>
  <c r="B341" i="10"/>
  <c r="C341" i="10"/>
  <c r="D341" i="10"/>
  <c r="E341" i="10" s="1"/>
  <c r="F341" i="10"/>
  <c r="G341" i="10"/>
  <c r="H341" i="10"/>
  <c r="I341" i="10"/>
  <c r="J341" i="10"/>
  <c r="K341" i="10"/>
  <c r="L341" i="10"/>
  <c r="M341" i="10"/>
  <c r="A342" i="10"/>
  <c r="B342" i="10"/>
  <c r="C342" i="10"/>
  <c r="F342" i="10"/>
  <c r="G342" i="10"/>
  <c r="H342" i="10"/>
  <c r="I342" i="10"/>
  <c r="J342" i="10"/>
  <c r="K342" i="10"/>
  <c r="L342" i="10"/>
  <c r="M342" i="10"/>
  <c r="A343" i="10"/>
  <c r="B343" i="10"/>
  <c r="C343" i="10"/>
  <c r="F343" i="10"/>
  <c r="G343" i="10"/>
  <c r="H343" i="10"/>
  <c r="I343" i="10"/>
  <c r="J343" i="10"/>
  <c r="K343" i="10"/>
  <c r="L343" i="10"/>
  <c r="M343" i="10"/>
  <c r="A344" i="10"/>
  <c r="B344" i="10"/>
  <c r="C344" i="10"/>
  <c r="F344" i="10"/>
  <c r="G344" i="10"/>
  <c r="H344" i="10"/>
  <c r="I344" i="10"/>
  <c r="J344" i="10"/>
  <c r="K344" i="10"/>
  <c r="L344" i="10"/>
  <c r="M344" i="10"/>
  <c r="A345" i="10"/>
  <c r="B345" i="10"/>
  <c r="C345" i="10"/>
  <c r="F345" i="10"/>
  <c r="G345" i="10"/>
  <c r="H345" i="10"/>
  <c r="I345" i="10"/>
  <c r="J345" i="10"/>
  <c r="K345" i="10"/>
  <c r="L345" i="10"/>
  <c r="M345" i="10"/>
  <c r="A346" i="10"/>
  <c r="B346" i="10"/>
  <c r="C346" i="10"/>
  <c r="F346" i="10"/>
  <c r="G346" i="10"/>
  <c r="H346" i="10"/>
  <c r="I346" i="10"/>
  <c r="J346" i="10"/>
  <c r="K346" i="10"/>
  <c r="L346" i="10"/>
  <c r="M346" i="10"/>
  <c r="A347" i="10"/>
  <c r="B347" i="10"/>
  <c r="C347" i="10"/>
  <c r="D347" i="10" s="1"/>
  <c r="E347" i="10" s="1"/>
  <c r="F347" i="10"/>
  <c r="G347" i="10"/>
  <c r="H347" i="10"/>
  <c r="I347" i="10"/>
  <c r="J347" i="10"/>
  <c r="K347" i="10"/>
  <c r="L347" i="10"/>
  <c r="M347" i="10"/>
  <c r="A348" i="10"/>
  <c r="B348" i="10"/>
  <c r="C348" i="10"/>
  <c r="F348" i="10"/>
  <c r="G348" i="10"/>
  <c r="H348" i="10"/>
  <c r="I348" i="10"/>
  <c r="J348" i="10"/>
  <c r="K348" i="10"/>
  <c r="L348" i="10"/>
  <c r="M348" i="10"/>
  <c r="A349" i="10"/>
  <c r="B349" i="10"/>
  <c r="C349" i="10"/>
  <c r="D349" i="10" s="1"/>
  <c r="E349" i="10" s="1"/>
  <c r="F349" i="10"/>
  <c r="G349" i="10"/>
  <c r="H349" i="10"/>
  <c r="I349" i="10"/>
  <c r="J349" i="10"/>
  <c r="K349" i="10"/>
  <c r="L349" i="10"/>
  <c r="M349" i="10"/>
  <c r="A350" i="10"/>
  <c r="B350" i="10"/>
  <c r="C350" i="10"/>
  <c r="F350" i="10"/>
  <c r="G350" i="10"/>
  <c r="H350" i="10"/>
  <c r="I350" i="10"/>
  <c r="J350" i="10"/>
  <c r="K350" i="10"/>
  <c r="L350" i="10"/>
  <c r="M350" i="10"/>
  <c r="A351" i="10"/>
  <c r="B351" i="10"/>
  <c r="C351" i="10"/>
  <c r="F351" i="10"/>
  <c r="G351" i="10"/>
  <c r="H351" i="10"/>
  <c r="I351" i="10"/>
  <c r="J351" i="10"/>
  <c r="K351" i="10"/>
  <c r="L351" i="10"/>
  <c r="M351" i="10"/>
  <c r="A352" i="10"/>
  <c r="B352" i="10"/>
  <c r="C352" i="10"/>
  <c r="F352" i="10"/>
  <c r="G352" i="10"/>
  <c r="H352" i="10"/>
  <c r="I352" i="10"/>
  <c r="J352" i="10"/>
  <c r="K352" i="10"/>
  <c r="L352" i="10"/>
  <c r="M352" i="10"/>
  <c r="A353" i="10"/>
  <c r="B353" i="10"/>
  <c r="C353" i="10"/>
  <c r="F353" i="10"/>
  <c r="G353" i="10"/>
  <c r="H353" i="10"/>
  <c r="I353" i="10"/>
  <c r="J353" i="10"/>
  <c r="K353" i="10"/>
  <c r="L353" i="10"/>
  <c r="M353" i="10"/>
  <c r="A354" i="10"/>
  <c r="B354" i="10"/>
  <c r="C354" i="10"/>
  <c r="F354" i="10"/>
  <c r="G354" i="10"/>
  <c r="H354" i="10"/>
  <c r="I354" i="10"/>
  <c r="J354" i="10"/>
  <c r="K354" i="10"/>
  <c r="L354" i="10"/>
  <c r="M354" i="10"/>
  <c r="A355" i="10"/>
  <c r="B355" i="10"/>
  <c r="C355" i="10"/>
  <c r="F355" i="10"/>
  <c r="G355" i="10"/>
  <c r="H355" i="10"/>
  <c r="I355" i="10"/>
  <c r="J355" i="10"/>
  <c r="K355" i="10"/>
  <c r="L355" i="10"/>
  <c r="M355" i="10"/>
  <c r="A356" i="10"/>
  <c r="B356" i="10"/>
  <c r="C356" i="10"/>
  <c r="F356" i="10"/>
  <c r="G356" i="10"/>
  <c r="H356" i="10"/>
  <c r="I356" i="10"/>
  <c r="J356" i="10"/>
  <c r="K356" i="10"/>
  <c r="L356" i="10"/>
  <c r="M356" i="10"/>
  <c r="A357" i="10"/>
  <c r="B357" i="10"/>
  <c r="C357" i="10"/>
  <c r="F357" i="10"/>
  <c r="G357" i="10"/>
  <c r="H357" i="10"/>
  <c r="I357" i="10"/>
  <c r="J357" i="10"/>
  <c r="K357" i="10"/>
  <c r="L357" i="10"/>
  <c r="M357" i="10"/>
  <c r="A358" i="10"/>
  <c r="B358" i="10"/>
  <c r="C358" i="10"/>
  <c r="F358" i="10"/>
  <c r="G358" i="10"/>
  <c r="H358" i="10"/>
  <c r="I358" i="10"/>
  <c r="J358" i="10"/>
  <c r="K358" i="10"/>
  <c r="L358" i="10"/>
  <c r="M358" i="10"/>
  <c r="A359" i="10"/>
  <c r="B359" i="10"/>
  <c r="C359" i="10"/>
  <c r="F359" i="10"/>
  <c r="G359" i="10"/>
  <c r="H359" i="10"/>
  <c r="I359" i="10"/>
  <c r="J359" i="10"/>
  <c r="K359" i="10"/>
  <c r="L359" i="10"/>
  <c r="M359" i="10"/>
  <c r="A360" i="10"/>
  <c r="B360" i="10"/>
  <c r="C360" i="10"/>
  <c r="F360" i="10"/>
  <c r="G360" i="10"/>
  <c r="H360" i="10"/>
  <c r="I360" i="10"/>
  <c r="J360" i="10"/>
  <c r="K360" i="10"/>
  <c r="L360" i="10"/>
  <c r="M360" i="10"/>
  <c r="A361" i="10"/>
  <c r="B361" i="10"/>
  <c r="C361" i="10"/>
  <c r="F361" i="10"/>
  <c r="G361" i="10"/>
  <c r="H361" i="10"/>
  <c r="I361" i="10"/>
  <c r="J361" i="10"/>
  <c r="K361" i="10"/>
  <c r="L361" i="10"/>
  <c r="M361" i="10"/>
  <c r="A362" i="10"/>
  <c r="B362" i="10"/>
  <c r="C362" i="10"/>
  <c r="F362" i="10"/>
  <c r="G362" i="10"/>
  <c r="H362" i="10"/>
  <c r="I362" i="10"/>
  <c r="J362" i="10"/>
  <c r="K362" i="10"/>
  <c r="L362" i="10"/>
  <c r="M362" i="10"/>
  <c r="A363" i="10"/>
  <c r="B363" i="10"/>
  <c r="C363" i="10"/>
  <c r="F363" i="10"/>
  <c r="G363" i="10"/>
  <c r="H363" i="10"/>
  <c r="I363" i="10"/>
  <c r="J363" i="10"/>
  <c r="K363" i="10"/>
  <c r="L363" i="10"/>
  <c r="M363" i="10"/>
  <c r="A364" i="10"/>
  <c r="B364" i="10"/>
  <c r="C364" i="10"/>
  <c r="F364" i="10"/>
  <c r="G364" i="10"/>
  <c r="H364" i="10"/>
  <c r="I364" i="10"/>
  <c r="J364" i="10"/>
  <c r="K364" i="10"/>
  <c r="L364" i="10"/>
  <c r="M364" i="10"/>
  <c r="A365" i="10"/>
  <c r="B365" i="10"/>
  <c r="C365" i="10"/>
  <c r="F365" i="10"/>
  <c r="G365" i="10"/>
  <c r="H365" i="10"/>
  <c r="I365" i="10"/>
  <c r="J365" i="10"/>
  <c r="K365" i="10"/>
  <c r="L365" i="10"/>
  <c r="M365" i="10"/>
  <c r="A366" i="10"/>
  <c r="B366" i="10"/>
  <c r="C366" i="10"/>
  <c r="F366" i="10"/>
  <c r="G366" i="10"/>
  <c r="H366" i="10"/>
  <c r="I366" i="10"/>
  <c r="J366" i="10"/>
  <c r="K366" i="10"/>
  <c r="L366" i="10"/>
  <c r="M366" i="10"/>
  <c r="A367" i="10"/>
  <c r="B367" i="10"/>
  <c r="C367" i="10"/>
  <c r="F367" i="10"/>
  <c r="G367" i="10"/>
  <c r="H367" i="10"/>
  <c r="I367" i="10"/>
  <c r="J367" i="10"/>
  <c r="K367" i="10"/>
  <c r="L367" i="10"/>
  <c r="M367" i="10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G17" i="5"/>
  <c r="G16" i="5"/>
  <c r="G15" i="5"/>
  <c r="G14" i="5"/>
  <c r="G13" i="5"/>
  <c r="G12" i="5"/>
  <c r="G11" i="5"/>
  <c r="F12" i="5"/>
  <c r="F13" i="5"/>
  <c r="F14" i="5"/>
  <c r="F15" i="5"/>
  <c r="F16" i="5"/>
  <c r="F17" i="5"/>
  <c r="F11" i="5"/>
  <c r="AD265" i="2"/>
  <c r="G14" i="3"/>
  <c r="G13" i="3"/>
  <c r="G12" i="3"/>
  <c r="G11" i="3"/>
  <c r="G10" i="3"/>
  <c r="G9" i="3"/>
  <c r="G8" i="3"/>
  <c r="E14" i="3"/>
  <c r="E13" i="3"/>
  <c r="C13" i="3"/>
  <c r="E12" i="3"/>
  <c r="E11" i="3"/>
  <c r="E10" i="3"/>
  <c r="E9" i="3"/>
  <c r="E8" i="3"/>
  <c r="C14" i="3"/>
  <c r="C12" i="3"/>
  <c r="C11" i="3"/>
  <c r="C10" i="3"/>
  <c r="C9" i="3"/>
  <c r="C8" i="3"/>
  <c r="D331" i="10" l="1"/>
  <c r="E331" i="10" s="1"/>
  <c r="D326" i="10"/>
  <c r="E326" i="10" s="1"/>
  <c r="D318" i="10"/>
  <c r="E318" i="10" s="1"/>
  <c r="D310" i="10"/>
  <c r="E310" i="10" s="1"/>
  <c r="D268" i="10"/>
  <c r="E268" i="10" s="1"/>
  <c r="D260" i="10"/>
  <c r="E260" i="10" s="1"/>
  <c r="D249" i="10"/>
  <c r="E249" i="10" s="1"/>
  <c r="D119" i="10"/>
  <c r="E119" i="10" s="1"/>
  <c r="D87" i="10"/>
  <c r="E87" i="10" s="1"/>
  <c r="D55" i="10"/>
  <c r="E55" i="10" s="1"/>
  <c r="D33" i="10"/>
  <c r="E33" i="10" s="1"/>
  <c r="D362" i="10"/>
  <c r="E362" i="10" s="1"/>
  <c r="D354" i="10"/>
  <c r="E354" i="10" s="1"/>
  <c r="D346" i="10"/>
  <c r="E346" i="10" s="1"/>
  <c r="D283" i="10"/>
  <c r="E283" i="10" s="1"/>
  <c r="D142" i="10"/>
  <c r="E142" i="10" s="1"/>
  <c r="D105" i="10"/>
  <c r="E105" i="10" s="1"/>
  <c r="D97" i="10"/>
  <c r="E97" i="10" s="1"/>
  <c r="D73" i="10"/>
  <c r="E73" i="10" s="1"/>
  <c r="D338" i="10"/>
  <c r="E338" i="10" s="1"/>
  <c r="D107" i="10"/>
  <c r="E107" i="10" s="1"/>
  <c r="D356" i="10"/>
  <c r="E356" i="10" s="1"/>
  <c r="D306" i="10"/>
  <c r="E306" i="10" s="1"/>
  <c r="D285" i="10"/>
  <c r="E285" i="10" s="1"/>
  <c r="D229" i="10"/>
  <c r="E229" i="10" s="1"/>
  <c r="D221" i="10"/>
  <c r="E221" i="10" s="1"/>
  <c r="D96" i="10"/>
  <c r="E96" i="10" s="1"/>
  <c r="D8" i="10"/>
  <c r="E8" i="10" s="1"/>
  <c r="D295" i="10"/>
  <c r="E295" i="10" s="1"/>
  <c r="D242" i="10"/>
  <c r="E242" i="10" s="1"/>
  <c r="D165" i="10"/>
  <c r="E165" i="10" s="1"/>
  <c r="D157" i="10"/>
  <c r="E157" i="10" s="1"/>
  <c r="D133" i="10"/>
  <c r="E133" i="10" s="1"/>
  <c r="D125" i="10"/>
  <c r="E125" i="10" s="1"/>
  <c r="D109" i="10"/>
  <c r="E109" i="10" s="1"/>
  <c r="D93" i="10"/>
  <c r="E93" i="10" s="1"/>
  <c r="D61" i="10"/>
  <c r="E61" i="10" s="1"/>
  <c r="D53" i="10"/>
  <c r="E53" i="10" s="1"/>
  <c r="D29" i="10"/>
  <c r="E29" i="10" s="1"/>
  <c r="D363" i="10"/>
  <c r="E363" i="10" s="1"/>
  <c r="D350" i="10"/>
  <c r="E350" i="10" s="1"/>
  <c r="D345" i="10"/>
  <c r="E345" i="10" s="1"/>
  <c r="D314" i="10"/>
  <c r="E314" i="10" s="1"/>
  <c r="D228" i="10"/>
  <c r="E228" i="10" s="1"/>
  <c r="D217" i="10"/>
  <c r="E217" i="10" s="1"/>
  <c r="D204" i="10"/>
  <c r="E204" i="10" s="1"/>
  <c r="D201" i="10"/>
  <c r="E201" i="10" s="1"/>
  <c r="D196" i="10"/>
  <c r="E196" i="10" s="1"/>
  <c r="D193" i="10"/>
  <c r="E193" i="10" s="1"/>
  <c r="D183" i="10"/>
  <c r="E183" i="10" s="1"/>
  <c r="D175" i="10"/>
  <c r="E175" i="10" s="1"/>
  <c r="D170" i="10"/>
  <c r="E170" i="10" s="1"/>
  <c r="D162" i="10"/>
  <c r="E162" i="10" s="1"/>
  <c r="D149" i="10"/>
  <c r="E149" i="10" s="1"/>
  <c r="D43" i="10"/>
  <c r="E43" i="10" s="1"/>
  <c r="D35" i="10"/>
  <c r="E35" i="10" s="1"/>
  <c r="D251" i="10"/>
  <c r="E251" i="10" s="1"/>
  <c r="D243" i="10"/>
  <c r="E243" i="10" s="1"/>
  <c r="D164" i="10"/>
  <c r="E164" i="10" s="1"/>
  <c r="D143" i="10"/>
  <c r="E143" i="10" s="1"/>
  <c r="D140" i="10"/>
  <c r="E140" i="10" s="1"/>
  <c r="D83" i="10"/>
  <c r="E83" i="10" s="1"/>
  <c r="D68" i="10"/>
  <c r="E68" i="10" s="1"/>
  <c r="D187" i="10"/>
  <c r="E187" i="10" s="1"/>
  <c r="D153" i="10"/>
  <c r="E153" i="10" s="1"/>
  <c r="D75" i="10"/>
  <c r="E75" i="10" s="1"/>
  <c r="D65" i="10"/>
  <c r="E65" i="10" s="1"/>
  <c r="D328" i="10"/>
  <c r="E328" i="10" s="1"/>
  <c r="D299" i="10"/>
  <c r="E299" i="10" s="1"/>
  <c r="D281" i="10"/>
  <c r="E281" i="10" s="1"/>
  <c r="D247" i="10"/>
  <c r="E247" i="10" s="1"/>
  <c r="D239" i="10"/>
  <c r="E239" i="10" s="1"/>
  <c r="D234" i="10"/>
  <c r="E234" i="10" s="1"/>
  <c r="D226" i="10"/>
  <c r="E226" i="10" s="1"/>
  <c r="D179" i="10"/>
  <c r="E179" i="10" s="1"/>
  <c r="D155" i="10"/>
  <c r="E155" i="10" s="1"/>
  <c r="D139" i="10"/>
  <c r="E139" i="10" s="1"/>
  <c r="D131" i="10"/>
  <c r="E131" i="10" s="1"/>
  <c r="D59" i="10"/>
  <c r="E59" i="10" s="1"/>
  <c r="D31" i="10"/>
  <c r="E31" i="10" s="1"/>
  <c r="D21" i="10"/>
  <c r="E21" i="10" s="1"/>
  <c r="D18" i="10"/>
  <c r="E18" i="10" s="1"/>
  <c r="D10" i="10"/>
  <c r="E10" i="10" s="1"/>
  <c r="D348" i="10"/>
  <c r="E348" i="10" s="1"/>
  <c r="D278" i="10"/>
  <c r="E278" i="10" s="1"/>
  <c r="D270" i="10"/>
  <c r="E270" i="10" s="1"/>
  <c r="D265" i="10"/>
  <c r="E265" i="10" s="1"/>
  <c r="D257" i="10"/>
  <c r="E257" i="10" s="1"/>
  <c r="D231" i="10"/>
  <c r="E231" i="10" s="1"/>
  <c r="D199" i="10"/>
  <c r="E199" i="10" s="1"/>
  <c r="D152" i="10"/>
  <c r="E152" i="10" s="1"/>
  <c r="D74" i="10"/>
  <c r="E74" i="10" s="1"/>
  <c r="D64" i="10"/>
  <c r="E64" i="10" s="1"/>
  <c r="D28" i="10"/>
  <c r="E28" i="10" s="1"/>
  <c r="D23" i="10"/>
  <c r="E23" i="10" s="1"/>
  <c r="D15" i="10"/>
  <c r="E15" i="10" s="1"/>
  <c r="D300" i="10"/>
  <c r="E300" i="10" s="1"/>
  <c r="D127" i="10"/>
  <c r="E127" i="10" s="1"/>
  <c r="D305" i="10"/>
  <c r="E305" i="10" s="1"/>
  <c r="D275" i="10"/>
  <c r="E275" i="10" s="1"/>
  <c r="D211" i="10"/>
  <c r="E211" i="10" s="1"/>
  <c r="D147" i="10"/>
  <c r="E147" i="10" s="1"/>
  <c r="D219" i="10"/>
  <c r="E219" i="10" s="1"/>
  <c r="D357" i="10"/>
  <c r="E357" i="10" s="1"/>
  <c r="D355" i="10"/>
  <c r="E355" i="10" s="1"/>
  <c r="D333" i="10"/>
  <c r="E333" i="10" s="1"/>
  <c r="D330" i="10"/>
  <c r="E330" i="10" s="1"/>
  <c r="D320" i="10"/>
  <c r="E320" i="10" s="1"/>
  <c r="D312" i="10"/>
  <c r="E312" i="10" s="1"/>
  <c r="D302" i="10"/>
  <c r="E302" i="10" s="1"/>
  <c r="D287" i="10"/>
  <c r="E287" i="10" s="1"/>
  <c r="D282" i="10"/>
  <c r="E282" i="10" s="1"/>
  <c r="D277" i="10"/>
  <c r="E277" i="10" s="1"/>
  <c r="D269" i="10"/>
  <c r="E269" i="10" s="1"/>
  <c r="D267" i="10"/>
  <c r="E267" i="10" s="1"/>
  <c r="D259" i="10"/>
  <c r="E259" i="10" s="1"/>
  <c r="D244" i="10"/>
  <c r="E244" i="10" s="1"/>
  <c r="D241" i="10"/>
  <c r="E241" i="10" s="1"/>
  <c r="D223" i="10"/>
  <c r="E223" i="10" s="1"/>
  <c r="D218" i="10"/>
  <c r="E218" i="10" s="1"/>
  <c r="D213" i="10"/>
  <c r="E213" i="10" s="1"/>
  <c r="D205" i="10"/>
  <c r="E205" i="10" s="1"/>
  <c r="D203" i="10"/>
  <c r="E203" i="10" s="1"/>
  <c r="D195" i="10"/>
  <c r="E195" i="10" s="1"/>
  <c r="D180" i="10"/>
  <c r="E180" i="10" s="1"/>
  <c r="D177" i="10"/>
  <c r="E177" i="10" s="1"/>
  <c r="D141" i="10"/>
  <c r="E141" i="10" s="1"/>
  <c r="D136" i="10"/>
  <c r="E136" i="10" s="1"/>
  <c r="D126" i="10"/>
  <c r="E126" i="10" s="1"/>
  <c r="D113" i="10"/>
  <c r="E113" i="10" s="1"/>
  <c r="D108" i="10"/>
  <c r="E108" i="10" s="1"/>
  <c r="D95" i="10"/>
  <c r="E95" i="10" s="1"/>
  <c r="D85" i="10"/>
  <c r="E85" i="10" s="1"/>
  <c r="D60" i="10"/>
  <c r="E60" i="10" s="1"/>
  <c r="D40" i="10"/>
  <c r="E40" i="10" s="1"/>
  <c r="D30" i="10"/>
  <c r="E30" i="10" s="1"/>
  <c r="D20" i="10"/>
  <c r="E20" i="10" s="1"/>
  <c r="D321" i="10"/>
  <c r="E321" i="10" s="1"/>
  <c r="D313" i="10"/>
  <c r="E313" i="10" s="1"/>
  <c r="D41" i="10"/>
  <c r="E41" i="10" s="1"/>
  <c r="D13" i="10"/>
  <c r="E13" i="10" s="1"/>
  <c r="D353" i="10"/>
  <c r="E353" i="10" s="1"/>
  <c r="D364" i="10"/>
  <c r="E364" i="10" s="1"/>
  <c r="D352" i="10"/>
  <c r="E352" i="10" s="1"/>
  <c r="D340" i="10"/>
  <c r="E340" i="10" s="1"/>
  <c r="D304" i="10"/>
  <c r="E304" i="10" s="1"/>
  <c r="D274" i="10"/>
  <c r="E274" i="10" s="1"/>
  <c r="D261" i="10"/>
  <c r="E261" i="10" s="1"/>
  <c r="D246" i="10"/>
  <c r="E246" i="10" s="1"/>
  <c r="D238" i="10"/>
  <c r="E238" i="10" s="1"/>
  <c r="D233" i="10"/>
  <c r="E233" i="10" s="1"/>
  <c r="D225" i="10"/>
  <c r="E225" i="10" s="1"/>
  <c r="D210" i="10"/>
  <c r="E210" i="10" s="1"/>
  <c r="D197" i="10"/>
  <c r="E197" i="10" s="1"/>
  <c r="D182" i="10"/>
  <c r="E182" i="10" s="1"/>
  <c r="D174" i="10"/>
  <c r="E174" i="10" s="1"/>
  <c r="D169" i="10"/>
  <c r="E169" i="10" s="1"/>
  <c r="D146" i="10"/>
  <c r="E146" i="10" s="1"/>
  <c r="D118" i="10"/>
  <c r="E118" i="10" s="1"/>
  <c r="D100" i="10"/>
  <c r="E100" i="10" s="1"/>
  <c r="D90" i="10"/>
  <c r="E90" i="10" s="1"/>
  <c r="D80" i="10"/>
  <c r="E80" i="10" s="1"/>
  <c r="D70" i="10"/>
  <c r="E70" i="10" s="1"/>
  <c r="D62" i="10"/>
  <c r="E62" i="10" s="1"/>
  <c r="D57" i="10"/>
  <c r="E57" i="10" s="1"/>
  <c r="D50" i="10"/>
  <c r="E50" i="10" s="1"/>
  <c r="D45" i="10"/>
  <c r="E45" i="10" s="1"/>
  <c r="D37" i="10"/>
  <c r="E37" i="10" s="1"/>
  <c r="D27" i="10"/>
  <c r="E27" i="10" s="1"/>
  <c r="D22" i="10"/>
  <c r="E22" i="10" s="1"/>
  <c r="D17" i="10"/>
  <c r="E17" i="10" s="1"/>
  <c r="D366" i="10"/>
  <c r="E366" i="10" s="1"/>
  <c r="D359" i="10"/>
  <c r="E359" i="10" s="1"/>
  <c r="D342" i="10"/>
  <c r="E342" i="10" s="1"/>
  <c r="D332" i="10"/>
  <c r="E332" i="10" s="1"/>
  <c r="D322" i="10"/>
  <c r="E322" i="10" s="1"/>
  <c r="D301" i="10"/>
  <c r="E301" i="10" s="1"/>
  <c r="D289" i="10"/>
  <c r="E289" i="10" s="1"/>
  <c r="D279" i="10"/>
  <c r="E279" i="10" s="1"/>
  <c r="D271" i="10"/>
  <c r="E271" i="10" s="1"/>
  <c r="D266" i="10"/>
  <c r="E266" i="10" s="1"/>
  <c r="D258" i="10"/>
  <c r="E258" i="10" s="1"/>
  <c r="D253" i="10"/>
  <c r="E253" i="10" s="1"/>
  <c r="D230" i="10"/>
  <c r="E230" i="10" s="1"/>
  <c r="D215" i="10"/>
  <c r="E215" i="10" s="1"/>
  <c r="D207" i="10"/>
  <c r="E207" i="10" s="1"/>
  <c r="D202" i="10"/>
  <c r="E202" i="10" s="1"/>
  <c r="D194" i="10"/>
  <c r="E194" i="10" s="1"/>
  <c r="D189" i="10"/>
  <c r="E189" i="10" s="1"/>
  <c r="D166" i="10"/>
  <c r="E166" i="10" s="1"/>
  <c r="D161" i="10"/>
  <c r="E161" i="10" s="1"/>
  <c r="D156" i="10"/>
  <c r="E156" i="10" s="1"/>
  <c r="D151" i="10"/>
  <c r="E151" i="10" s="1"/>
  <c r="D110" i="10"/>
  <c r="E110" i="10" s="1"/>
  <c r="D82" i="10"/>
  <c r="E82" i="10" s="1"/>
  <c r="D67" i="10"/>
  <c r="E67" i="10" s="1"/>
  <c r="D42" i="10"/>
  <c r="E42" i="10" s="1"/>
  <c r="D34" i="10"/>
  <c r="E34" i="10" s="1"/>
  <c r="D361" i="10"/>
  <c r="E361" i="10" s="1"/>
  <c r="D344" i="10"/>
  <c r="E344" i="10" s="1"/>
  <c r="D337" i="10"/>
  <c r="E337" i="10" s="1"/>
  <c r="D334" i="10"/>
  <c r="E334" i="10" s="1"/>
  <c r="D324" i="10"/>
  <c r="E324" i="10" s="1"/>
  <c r="D316" i="10"/>
  <c r="E316" i="10" s="1"/>
  <c r="D308" i="10"/>
  <c r="E308" i="10" s="1"/>
  <c r="D293" i="10"/>
  <c r="E293" i="10" s="1"/>
  <c r="D291" i="10"/>
  <c r="E291" i="10" s="1"/>
  <c r="D276" i="10"/>
  <c r="E276" i="10" s="1"/>
  <c r="D273" i="10"/>
  <c r="E273" i="10" s="1"/>
  <c r="D255" i="10"/>
  <c r="E255" i="10" s="1"/>
  <c r="D250" i="10"/>
  <c r="E250" i="10" s="1"/>
  <c r="D245" i="10"/>
  <c r="E245" i="10" s="1"/>
  <c r="D237" i="10"/>
  <c r="E237" i="10" s="1"/>
  <c r="D235" i="10"/>
  <c r="E235" i="10" s="1"/>
  <c r="D227" i="10"/>
  <c r="E227" i="10" s="1"/>
  <c r="D212" i="10"/>
  <c r="E212" i="10" s="1"/>
  <c r="D209" i="10"/>
  <c r="E209" i="10" s="1"/>
  <c r="D191" i="10"/>
  <c r="E191" i="10" s="1"/>
  <c r="D186" i="10"/>
  <c r="E186" i="10" s="1"/>
  <c r="D181" i="10"/>
  <c r="E181" i="10" s="1"/>
  <c r="D173" i="10"/>
  <c r="E173" i="10" s="1"/>
  <c r="D171" i="10"/>
  <c r="E171" i="10" s="1"/>
  <c r="D158" i="10"/>
  <c r="E158" i="10" s="1"/>
  <c r="D145" i="10"/>
  <c r="E145" i="10" s="1"/>
  <c r="D130" i="10"/>
  <c r="E130" i="10" s="1"/>
  <c r="D122" i="10"/>
  <c r="E122" i="10" s="1"/>
  <c r="D117" i="10"/>
  <c r="E117" i="10" s="1"/>
  <c r="D104" i="10"/>
  <c r="E104" i="10" s="1"/>
  <c r="D99" i="10"/>
  <c r="E99" i="10" s="1"/>
  <c r="D89" i="10"/>
  <c r="E89" i="10" s="1"/>
  <c r="D84" i="10"/>
  <c r="E84" i="10" s="1"/>
  <c r="D79" i="10"/>
  <c r="E79" i="10" s="1"/>
  <c r="D69" i="10"/>
  <c r="E69" i="10" s="1"/>
  <c r="D56" i="10"/>
  <c r="E56" i="10" s="1"/>
  <c r="D49" i="10"/>
  <c r="E49" i="10" s="1"/>
  <c r="D296" i="10"/>
  <c r="E296" i="10" s="1"/>
  <c r="D288" i="10"/>
  <c r="E288" i="10" s="1"/>
  <c r="D144" i="10"/>
  <c r="E144" i="10" s="1"/>
  <c r="D124" i="10"/>
  <c r="E124" i="10" s="1"/>
  <c r="D106" i="10"/>
  <c r="E106" i="10" s="1"/>
  <c r="D88" i="10"/>
  <c r="E88" i="10" s="1"/>
  <c r="D66" i="10"/>
  <c r="E66" i="10" s="1"/>
  <c r="D48" i="10"/>
  <c r="E48" i="10" s="1"/>
  <c r="D26" i="10"/>
  <c r="E26" i="10" s="1"/>
  <c r="D358" i="10"/>
  <c r="E358" i="10" s="1"/>
  <c r="D311" i="10"/>
  <c r="E311" i="10" s="1"/>
  <c r="D303" i="10"/>
  <c r="E303" i="10" s="1"/>
  <c r="D150" i="10"/>
  <c r="E150" i="10" s="1"/>
  <c r="D148" i="10"/>
  <c r="E148" i="10" s="1"/>
  <c r="D128" i="10"/>
  <c r="E128" i="10" s="1"/>
  <c r="D112" i="10"/>
  <c r="E112" i="10" s="1"/>
  <c r="D94" i="10"/>
  <c r="E94" i="10" s="1"/>
  <c r="D92" i="10"/>
  <c r="E92" i="10" s="1"/>
  <c r="D72" i="10"/>
  <c r="E72" i="10" s="1"/>
  <c r="D54" i="10"/>
  <c r="E54" i="10" s="1"/>
  <c r="D52" i="10"/>
  <c r="E52" i="10" s="1"/>
  <c r="D32" i="10"/>
  <c r="E32" i="10" s="1"/>
  <c r="D360" i="10"/>
  <c r="E360" i="10" s="1"/>
  <c r="D335" i="10"/>
  <c r="E335" i="10" s="1"/>
  <c r="D327" i="10"/>
  <c r="E327" i="10" s="1"/>
  <c r="D319" i="10"/>
  <c r="E319" i="10" s="1"/>
  <c r="D315" i="10"/>
  <c r="E315" i="10" s="1"/>
  <c r="D307" i="10"/>
  <c r="E307" i="10" s="1"/>
  <c r="D154" i="10"/>
  <c r="E154" i="10" s="1"/>
  <c r="D134" i="10"/>
  <c r="E134" i="10" s="1"/>
  <c r="D132" i="10"/>
  <c r="E132" i="10" s="1"/>
  <c r="D116" i="10"/>
  <c r="E116" i="10" s="1"/>
  <c r="D98" i="10"/>
  <c r="E98" i="10" s="1"/>
  <c r="D78" i="10"/>
  <c r="E78" i="10" s="1"/>
  <c r="D76" i="10"/>
  <c r="E76" i="10" s="1"/>
  <c r="D58" i="10"/>
  <c r="E58" i="10" s="1"/>
  <c r="D38" i="10"/>
  <c r="E38" i="10" s="1"/>
  <c r="D36" i="10"/>
  <c r="E36" i="10" s="1"/>
  <c r="D16" i="10"/>
  <c r="E16" i="10" s="1"/>
  <c r="D367" i="10"/>
  <c r="E367" i="10" s="1"/>
  <c r="D365" i="10"/>
  <c r="E365" i="10" s="1"/>
  <c r="D351" i="10"/>
  <c r="E351" i="10" s="1"/>
  <c r="D343" i="10"/>
  <c r="E343" i="10" s="1"/>
  <c r="D339" i="10"/>
  <c r="E339" i="10" s="1"/>
  <c r="D294" i="10"/>
  <c r="E294" i="10" s="1"/>
  <c r="D286" i="10"/>
  <c r="E286" i="10" s="1"/>
  <c r="D280" i="10"/>
  <c r="E280" i="10" s="1"/>
  <c r="D272" i="10"/>
  <c r="E272" i="10" s="1"/>
  <c r="D264" i="10"/>
  <c r="E264" i="10" s="1"/>
  <c r="D256" i="10"/>
  <c r="E256" i="10" s="1"/>
  <c r="D248" i="10"/>
  <c r="E248" i="10" s="1"/>
  <c r="D240" i="10"/>
  <c r="E240" i="10" s="1"/>
  <c r="D232" i="10"/>
  <c r="E232" i="10" s="1"/>
  <c r="D224" i="10"/>
  <c r="E224" i="10" s="1"/>
  <c r="D216" i="10"/>
  <c r="E216" i="10" s="1"/>
  <c r="D208" i="10"/>
  <c r="E208" i="10" s="1"/>
  <c r="D200" i="10"/>
  <c r="E200" i="10" s="1"/>
  <c r="D192" i="10"/>
  <c r="E192" i="10" s="1"/>
  <c r="D184" i="10"/>
  <c r="E184" i="10" s="1"/>
  <c r="D176" i="10"/>
  <c r="E176" i="10" s="1"/>
  <c r="D168" i="10"/>
  <c r="E168" i="10" s="1"/>
  <c r="D160" i="10"/>
  <c r="E160" i="10" s="1"/>
  <c r="D138" i="10"/>
  <c r="E138" i="10" s="1"/>
  <c r="D120" i="10"/>
  <c r="E120" i="10" s="1"/>
  <c r="D102" i="10"/>
  <c r="E102" i="10" s="1"/>
  <c r="D46" i="10"/>
  <c r="E46" i="10" s="1"/>
  <c r="D44" i="10"/>
  <c r="E44" i="10" s="1"/>
  <c r="D24" i="10"/>
  <c r="E24" i="10" s="1"/>
  <c r="C15" i="3"/>
  <c r="D10" i="3" s="1"/>
  <c r="G15" i="3"/>
  <c r="H12" i="3" s="1"/>
  <c r="E15" i="3"/>
  <c r="F8" i="3" s="1"/>
  <c r="D14" i="3" l="1"/>
  <c r="D13" i="3"/>
  <c r="D9" i="3"/>
  <c r="D8" i="3"/>
  <c r="D11" i="3"/>
  <c r="F13" i="3"/>
  <c r="D12" i="3"/>
  <c r="H13" i="3"/>
  <c r="H8" i="3"/>
  <c r="H10" i="3"/>
  <c r="H11" i="3"/>
  <c r="H15" i="3"/>
  <c r="H9" i="3"/>
  <c r="H14" i="3"/>
  <c r="F12" i="3"/>
  <c r="F9" i="3"/>
  <c r="F15" i="3"/>
  <c r="F10" i="3"/>
  <c r="F11" i="3"/>
  <c r="F14" i="3"/>
  <c r="D15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7C1EA5-695F-497E-BA6E-CACE57148862}" keepAlive="1" name="Query - India CPI Inflation -CSV" description="Connection to the 'India CPI Inflation -CSV' query in the workbook." type="5" refreshedVersion="8" background="1" saveData="1">
    <dbPr connection="Provider=Microsoft.Mashup.OleDb.1;Data Source=$Workbook$;Location=&quot;India CPI Inflation -CSV&quot;;Extended Properties=&quot;&quot;" command="SELECT * FROM [India CPI Inflation -CSV]"/>
  </connection>
</connections>
</file>

<file path=xl/sharedStrings.xml><?xml version="1.0" encoding="utf-8"?>
<sst xmlns="http://schemas.openxmlformats.org/spreadsheetml/2006/main" count="1482" uniqueCount="252">
  <si>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</si>
  <si>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</si>
  <si>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</si>
  <si>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</si>
  <si>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</si>
  <si>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</si>
  <si>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</si>
  <si>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</si>
  <si>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</si>
  <si>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</si>
  <si>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</si>
  <si>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</si>
  <si>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</si>
  <si>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</si>
  <si>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</si>
  <si>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</si>
  <si>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</si>
  <si>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</si>
  <si>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</si>
  <si>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</si>
  <si>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</si>
  <si>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</si>
  <si>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</si>
  <si>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</si>
  <si>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</si>
  <si>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</si>
  <si>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</si>
  <si>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</si>
  <si>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</si>
  <si>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</si>
  <si>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</si>
  <si>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</si>
  <si>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</si>
  <si>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</si>
  <si>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</si>
  <si>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</si>
  <si>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</si>
  <si>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</si>
  <si>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</si>
  <si>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</si>
  <si>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</si>
  <si>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</si>
  <si>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</si>
  <si>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</si>
  <si>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</si>
  <si>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</si>
  <si>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</si>
  <si>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</si>
  <si>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</si>
  <si>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</si>
  <si>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</si>
  <si>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</si>
  <si>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</si>
  <si>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</si>
  <si>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</si>
  <si>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</si>
  <si>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</si>
  <si>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</si>
  <si>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</si>
  <si>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</si>
  <si>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</si>
  <si>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</si>
  <si>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</si>
  <si>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</si>
  <si>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</si>
  <si>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</si>
  <si>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</si>
  <si>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</si>
  <si>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</si>
  <si>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</si>
  <si>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</si>
  <si>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</si>
  <si>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</si>
  <si>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</si>
  <si>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</si>
  <si>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</si>
  <si>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</si>
  <si>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</si>
  <si>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</si>
  <si>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</si>
  <si>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</si>
  <si>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</si>
  <si>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</si>
  <si>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</si>
  <si>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</si>
  <si>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</si>
  <si>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</si>
  <si>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</si>
  <si>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</si>
  <si>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</si>
  <si>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</si>
  <si>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</si>
  <si>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</si>
  <si>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</si>
  <si>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</si>
  <si>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</si>
  <si>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</si>
  <si>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</si>
  <si>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</si>
  <si>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</si>
  <si>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</si>
  <si>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</si>
  <si>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</si>
  <si>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</si>
  <si>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</si>
  <si>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</si>
  <si>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</si>
  <si>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</si>
  <si>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</si>
  <si>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</si>
  <si>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</si>
  <si>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</si>
  <si>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</si>
  <si>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</si>
  <si>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</si>
  <si>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</si>
  <si>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</si>
  <si>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</si>
  <si>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</si>
  <si>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</si>
  <si>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</si>
  <si>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</si>
  <si>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</si>
  <si>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</si>
  <si>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</si>
  <si>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</si>
  <si>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</si>
  <si>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</si>
  <si>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</si>
  <si>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</si>
  <si>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</si>
  <si>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</si>
  <si>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</si>
  <si>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</si>
  <si>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</si>
  <si>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</si>
  <si>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</si>
  <si>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</si>
  <si>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</si>
  <si>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</si>
  <si>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</si>
  <si>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</si>
  <si>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</si>
  <si>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</si>
  <si>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</si>
  <si>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</si>
  <si>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</si>
  <si>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</si>
  <si>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</si>
  <si>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</si>
  <si>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</si>
  <si>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</si>
  <si>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</si>
  <si>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</si>
  <si>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</si>
  <si>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</si>
  <si>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</si>
  <si>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</si>
  <si>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</si>
  <si>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</si>
  <si>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</si>
  <si>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</si>
  <si>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</si>
  <si>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</si>
  <si>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Sub-category</t>
  </si>
  <si>
    <t>Category</t>
  </si>
  <si>
    <t>Food &amp; Beverages</t>
  </si>
  <si>
    <t>Clothing &amp; Footwear</t>
  </si>
  <si>
    <t>Transportation &amp; Comm</t>
  </si>
  <si>
    <t>Transportation &amp; Communication</t>
  </si>
  <si>
    <t xml:space="preserve">Fuel and light </t>
  </si>
  <si>
    <t>Recreation &amp; Misc</t>
  </si>
  <si>
    <t>Remarks</t>
  </si>
  <si>
    <t>Which sectors the data belongs to- Urban, Rural, Rural+ Urban</t>
  </si>
  <si>
    <t>2013-2023- Span of 10yrs(Jan to May)</t>
  </si>
  <si>
    <t>All sub categories which are defined in next category sheet</t>
  </si>
  <si>
    <t>Month-Year</t>
  </si>
  <si>
    <t>Datewise (Helper Coln)</t>
  </si>
  <si>
    <t>Food &amp; beverages</t>
  </si>
  <si>
    <t xml:space="preserve">Housing </t>
  </si>
  <si>
    <t>Transportation &amp; Communcation</t>
  </si>
  <si>
    <t xml:space="preserve">Education </t>
  </si>
  <si>
    <t>General Index</t>
  </si>
  <si>
    <t>Contribution of Broader Categories towards CPI Basket</t>
  </si>
  <si>
    <t xml:space="preserve">\\To get the highest contributor for last month we need to add all index values as specified in the category sheet for latest month </t>
  </si>
  <si>
    <t>Categories</t>
  </si>
  <si>
    <t>Contribution</t>
  </si>
  <si>
    <t>Total</t>
  </si>
  <si>
    <t>Food &amp; beverage is the highest contribution towards CPI calculation in all 3 sectors</t>
  </si>
  <si>
    <t xml:space="preserve">Clothing &amp; Footwear and housing are the mid contributors to CPI calculation </t>
  </si>
  <si>
    <t>whereas other category do contribute but not that much.</t>
  </si>
  <si>
    <t>Trend of Y-o-Y increase in CPI (Rural + Urban)  inflation starting from 2017  for the entire basket of products combined</t>
  </si>
  <si>
    <t>\\We have data from 2013 Jan to 2023 May</t>
  </si>
  <si>
    <t xml:space="preserve">\\So we will take 2017 May to 2023 May </t>
  </si>
  <si>
    <t>\\We will consider 2017 May also to get June data</t>
  </si>
  <si>
    <t>Y-o-Y Calculation</t>
  </si>
  <si>
    <t>Y-o-Y%</t>
  </si>
  <si>
    <t>For year 2022, inflation rate is highest at 7%</t>
  </si>
  <si>
    <t>As per research, due to Russia-Ukraine wars which disrupted the supply chains</t>
  </si>
  <si>
    <t>and because of that inflation rate is highest in 2022.</t>
  </si>
  <si>
    <t>Trends in prices of food bucket category(M-o-M)</t>
  </si>
  <si>
    <t>\\India's retail inflation reaching a 3-month high of 5.55% in November 2023, largely due to a sharp rise in food prices</t>
  </si>
  <si>
    <t>\\We have to take 12 months ending May'2023</t>
  </si>
  <si>
    <t>\\ Data from June'2022 to May'2023</t>
  </si>
  <si>
    <t>Food</t>
  </si>
  <si>
    <t>M-o-M</t>
  </si>
  <si>
    <t>M-o-M%</t>
  </si>
  <si>
    <t>Month with Highest Inflation</t>
  </si>
  <si>
    <t>June'2022 with 0.9%</t>
  </si>
  <si>
    <t>June'2022 with 1.1%</t>
  </si>
  <si>
    <t>June'2022 with 1.0%</t>
  </si>
  <si>
    <t>Month with Lowest Inflation</t>
  </si>
  <si>
    <t>February'2023 with -0.6%</t>
  </si>
  <si>
    <t>December'2022 with -0.7%</t>
  </si>
  <si>
    <t>December'2022 with -0.5%</t>
  </si>
  <si>
    <t xml:space="preserve">COVID-19 effects on India CPI </t>
  </si>
  <si>
    <t>\\As we have enough data, we will taking 3yrs back 2019 and 3yrs after 2019</t>
  </si>
  <si>
    <t>\\Consider Mar'20 as the onset of covid, and can compare the inflation trend before and after Mar'20 to see if there is a change in inflation % before and after</t>
  </si>
  <si>
    <t xml:space="preserve">\\We will be considering Healthcare,Food and Essential Service </t>
  </si>
  <si>
    <t xml:space="preserve">Healthcare </t>
  </si>
  <si>
    <t xml:space="preserve">Food </t>
  </si>
  <si>
    <t>Essential Service(Tran&amp;Comm)</t>
  </si>
  <si>
    <t>Metric</t>
  </si>
  <si>
    <t>Value</t>
  </si>
  <si>
    <t>Healthcare Avg (Pre-COVID 2017-2019)</t>
  </si>
  <si>
    <t>Healthcare Avg (Post-COVID 2020-2023)</t>
  </si>
  <si>
    <t>Food Avg (Pre-COVID 2017-2019)</t>
  </si>
  <si>
    <t>Food Avg (Post-COVID 2020-2023)</t>
  </si>
  <si>
    <t>Essential Svc Avg (Pre-COVID)</t>
  </si>
  <si>
    <t>Essential Svc Avg (Post-COVID)</t>
  </si>
  <si>
    <t>Healthcare Change %</t>
  </si>
  <si>
    <t>Food Change %</t>
  </si>
  <si>
    <t>Healthcare- Only a marginal increase of 0.78% post-COVID, indicating stable healthcare cost indices in rural areas</t>
  </si>
  <si>
    <t>Essential Svc Change %</t>
  </si>
  <si>
    <t>Food- Minimal increase of 0.14%, suggesting effective supply chain management despite pandemic disruptions</t>
  </si>
  <si>
    <t>Peak Healthcare Year</t>
  </si>
  <si>
    <t>Essential Service- 0.80% increase, likely due to increased fuel and transportation costs</t>
  </si>
  <si>
    <t>Peak Food Year</t>
  </si>
  <si>
    <t>Peak Essential Svc Year</t>
  </si>
  <si>
    <t>HealthCare- Unusual -0.24% decline post-COVID, possibly due to increased digital health adoption and competition</t>
  </si>
  <si>
    <t>Food- Near-zero change (0.004%), showing robust urban supply chains</t>
  </si>
  <si>
    <t>Essential Service- Dropped significantly  -1.24% decrease is notable, likely due to reduced travel demand during lockdowns and WFH culture</t>
  </si>
  <si>
    <t>Healthcare- Modest 0.24% rise reflects balanced national healthcare cost management</t>
  </si>
  <si>
    <t>Food- Modest 0.24% rise reflects balanced national healthcare cost management</t>
  </si>
  <si>
    <t>Essential Service- Marginal -0.08% decrease balances rural increases with urban decreases</t>
  </si>
  <si>
    <t xml:space="preserve">Trends in oil price change with change in inflation prices of all the categories </t>
  </si>
  <si>
    <t>\\Imported Crude oil data from PPAC site</t>
  </si>
  <si>
    <t>M-Y</t>
  </si>
  <si>
    <t>Imported Crude Oil price</t>
  </si>
  <si>
    <t>\\Correlating each category with Crude oil from different sectors to know the affect.</t>
  </si>
  <si>
    <t>Correl</t>
  </si>
  <si>
    <t>In all  sectors, Transportation &amp; Comm had the highest affect with change in crude oil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</si>
</sst>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[$-F800]dddd\,\ mmmm\ dd\,\ yyyy"/>
    <numFmt numFmtId="167" formatCode="0.0000"/>
    <numFmt numFmtId="168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color theme="0"/>
      <name val="Calibri"/>
      <family val="2"/>
      <scheme val="minor"/>
    </font>
    <font>
      <b/>
      <u/>
      <sz val="12"/>
      <color theme="0"/>
      <name val="Aptos"/>
      <family val="2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7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thin">
        <color theme="9" tint="0.3999755851924192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1"/>
      </left>
      <right/>
      <top style="thin">
        <color theme="9" tint="0.39997558519241921"/>
      </top>
      <bottom style="thin">
        <color theme="1"/>
      </bottom>
      <diagonal/>
    </border>
    <border>
      <left/>
      <right/>
      <top style="thin">
        <color theme="9" tint="0.3999755851924192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2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3" xfId="0" applyBorder="1"/>
    <xf numFmtId="0" fontId="4" fillId="0" borderId="0" xfId="0" applyFont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4" borderId="7" xfId="0" applyFill="1" applyBorder="1"/>
    <xf numFmtId="0" fontId="0" fillId="4" borderId="6" xfId="0" applyFill="1" applyBorder="1"/>
    <xf numFmtId="0" fontId="0" fillId="4" borderId="10" xfId="0" applyFill="1" applyBorder="1"/>
    <xf numFmtId="0" fontId="0" fillId="5" borderId="7" xfId="0" applyFill="1" applyBorder="1"/>
    <xf numFmtId="0" fontId="0" fillId="5" borderId="6" xfId="0" applyFill="1" applyBorder="1"/>
    <xf numFmtId="2" fontId="0" fillId="5" borderId="6" xfId="0" applyNumberFormat="1" applyFill="1" applyBorder="1"/>
    <xf numFmtId="0" fontId="0" fillId="5" borderId="10" xfId="0" applyFill="1" applyBorder="1"/>
    <xf numFmtId="2" fontId="0" fillId="5" borderId="10" xfId="0" applyNumberFormat="1" applyFill="1" applyBorder="1"/>
    <xf numFmtId="0" fontId="0" fillId="6" borderId="7" xfId="0" applyFill="1" applyBorder="1"/>
    <xf numFmtId="0" fontId="0" fillId="6" borderId="6" xfId="0" applyFill="1" applyBorder="1"/>
    <xf numFmtId="2" fontId="0" fillId="6" borderId="6" xfId="0" applyNumberFormat="1" applyFill="1" applyBorder="1"/>
    <xf numFmtId="0" fontId="0" fillId="6" borderId="10" xfId="0" applyFill="1" applyBorder="1"/>
    <xf numFmtId="2" fontId="0" fillId="6" borderId="10" xfId="0" applyNumberFormat="1" applyFill="1" applyBorder="1"/>
    <xf numFmtId="0" fontId="0" fillId="4" borderId="8" xfId="0" applyFill="1" applyBorder="1"/>
    <xf numFmtId="2" fontId="0" fillId="4" borderId="9" xfId="0" applyNumberFormat="1" applyFill="1" applyBorder="1"/>
    <xf numFmtId="2" fontId="0" fillId="4" borderId="11" xfId="0" applyNumberFormat="1" applyFill="1" applyBorder="1"/>
    <xf numFmtId="164" fontId="3" fillId="0" borderId="0" xfId="0" applyNumberFormat="1" applyFont="1"/>
    <xf numFmtId="164" fontId="3" fillId="3" borderId="3" xfId="0" applyNumberFormat="1" applyFont="1" applyFill="1" applyBorder="1"/>
    <xf numFmtId="0" fontId="4" fillId="0" borderId="13" xfId="0" applyFont="1" applyBorder="1"/>
    <xf numFmtId="0" fontId="4" fillId="0" borderId="14" xfId="0" applyFont="1" applyBorder="1"/>
    <xf numFmtId="165" fontId="4" fillId="0" borderId="14" xfId="0" applyNumberFormat="1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165" fontId="4" fillId="0" borderId="17" xfId="0" applyNumberFormat="1" applyFont="1" applyBorder="1"/>
    <xf numFmtId="0" fontId="4" fillId="0" borderId="18" xfId="0" applyFont="1" applyBorder="1"/>
    <xf numFmtId="0" fontId="2" fillId="2" borderId="12" xfId="0" applyFont="1" applyFill="1" applyBorder="1"/>
    <xf numFmtId="0" fontId="0" fillId="0" borderId="22" xfId="0" applyBorder="1"/>
    <xf numFmtId="0" fontId="0" fillId="0" borderId="23" xfId="0" applyBorder="1"/>
    <xf numFmtId="0" fontId="0" fillId="3" borderId="24" xfId="0" applyFill="1" applyBorder="1"/>
    <xf numFmtId="0" fontId="0" fillId="0" borderId="24" xfId="0" applyBorder="1"/>
    <xf numFmtId="165" fontId="0" fillId="0" borderId="23" xfId="1" applyNumberFormat="1" applyFont="1" applyBorder="1"/>
    <xf numFmtId="0" fontId="0" fillId="3" borderId="25" xfId="0" applyFill="1" applyBorder="1"/>
    <xf numFmtId="0" fontId="0" fillId="3" borderId="26" xfId="0" applyFill="1" applyBorder="1"/>
    <xf numFmtId="165" fontId="0" fillId="0" borderId="27" xfId="1" applyNumberFormat="1" applyFont="1" applyBorder="1"/>
    <xf numFmtId="166" fontId="0" fillId="0" borderId="4" xfId="0" applyNumberFormat="1" applyBorder="1"/>
    <xf numFmtId="0" fontId="0" fillId="7" borderId="4" xfId="0" applyFill="1" applyBorder="1" applyAlignment="1">
      <alignment wrapText="1"/>
    </xf>
    <xf numFmtId="2" fontId="0" fillId="0" borderId="4" xfId="0" applyNumberFormat="1" applyBorder="1"/>
    <xf numFmtId="0" fontId="0" fillId="4" borderId="28" xfId="0" applyFill="1" applyBorder="1"/>
    <xf numFmtId="3" fontId="7" fillId="0" borderId="4" xfId="0" applyNumberFormat="1" applyFont="1" applyBorder="1" applyAlignment="1">
      <alignment horizontal="right" vertical="center"/>
    </xf>
    <xf numFmtId="0" fontId="0" fillId="8" borderId="29" xfId="0" applyFill="1" applyBorder="1"/>
    <xf numFmtId="0" fontId="0" fillId="8" borderId="30" xfId="0" applyFill="1" applyBorder="1"/>
    <xf numFmtId="167" fontId="0" fillId="8" borderId="30" xfId="0" applyNumberFormat="1" applyFill="1" applyBorder="1"/>
    <xf numFmtId="167" fontId="3" fillId="8" borderId="30" xfId="0" applyNumberFormat="1" applyFont="1" applyFill="1" applyBorder="1"/>
    <xf numFmtId="0" fontId="0" fillId="0" borderId="33" xfId="0" applyBorder="1"/>
    <xf numFmtId="17" fontId="0" fillId="0" borderId="34" xfId="0" applyNumberFormat="1" applyBorder="1"/>
    <xf numFmtId="0" fontId="0" fillId="0" borderId="35" xfId="0" applyBorder="1"/>
    <xf numFmtId="17" fontId="0" fillId="0" borderId="36" xfId="0" applyNumberFormat="1" applyBorder="1"/>
    <xf numFmtId="3" fontId="7" fillId="0" borderId="37" xfId="0" applyNumberFormat="1" applyFont="1" applyBorder="1" applyAlignment="1">
      <alignment horizontal="right" vertical="center"/>
    </xf>
    <xf numFmtId="0" fontId="0" fillId="0" borderId="37" xfId="0" applyBorder="1"/>
    <xf numFmtId="0" fontId="0" fillId="0" borderId="38" xfId="0" applyBorder="1"/>
    <xf numFmtId="0" fontId="0" fillId="0" borderId="34" xfId="0" applyBorder="1"/>
    <xf numFmtId="0" fontId="0" fillId="0" borderId="32" xfId="0" applyBorder="1"/>
    <xf numFmtId="0" fontId="0" fillId="5" borderId="4" xfId="0" applyFill="1" applyBorder="1" applyAlignment="1">
      <alignment wrapText="1"/>
    </xf>
    <xf numFmtId="0" fontId="0" fillId="5" borderId="35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9" borderId="35" xfId="0" applyFill="1" applyBorder="1" applyAlignment="1">
      <alignment wrapText="1"/>
    </xf>
    <xf numFmtId="0" fontId="0" fillId="10" borderId="4" xfId="0" applyFill="1" applyBorder="1" applyAlignment="1">
      <alignment wrapText="1"/>
    </xf>
    <xf numFmtId="0" fontId="0" fillId="10" borderId="35" xfId="0" applyFill="1" applyBorder="1" applyAlignment="1">
      <alignment wrapText="1"/>
    </xf>
    <xf numFmtId="0" fontId="0" fillId="9" borderId="34" xfId="0" applyFill="1" applyBorder="1" applyAlignment="1">
      <alignment wrapText="1"/>
    </xf>
    <xf numFmtId="0" fontId="0" fillId="0" borderId="36" xfId="0" applyBorder="1"/>
    <xf numFmtId="0" fontId="0" fillId="10" borderId="34" xfId="0" applyFill="1" applyBorder="1" applyAlignment="1">
      <alignment wrapText="1"/>
    </xf>
    <xf numFmtId="0" fontId="0" fillId="11" borderId="34" xfId="0" applyFill="1" applyBorder="1"/>
    <xf numFmtId="167" fontId="0" fillId="8" borderId="44" xfId="0" applyNumberFormat="1" applyFill="1" applyBorder="1"/>
    <xf numFmtId="167" fontId="0" fillId="8" borderId="43" xfId="0" applyNumberFormat="1" applyFill="1" applyBorder="1"/>
    <xf numFmtId="0" fontId="0" fillId="0" borderId="0" xfId="0" applyAlignment="1">
      <alignment wrapText="1"/>
    </xf>
    <xf numFmtId="0" fontId="0" fillId="0" borderId="45" xfId="0" applyBorder="1"/>
    <xf numFmtId="0" fontId="0" fillId="12" borderId="4" xfId="0" applyFill="1" applyBorder="1" applyAlignment="1">
      <alignment wrapText="1"/>
    </xf>
    <xf numFmtId="0" fontId="0" fillId="0" borderId="48" xfId="0" applyBorder="1"/>
    <xf numFmtId="0" fontId="4" fillId="0" borderId="33" xfId="0" applyFon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2" fillId="2" borderId="55" xfId="0" applyFont="1" applyFill="1" applyBorder="1"/>
    <xf numFmtId="0" fontId="2" fillId="2" borderId="0" xfId="0" applyFont="1" applyFill="1"/>
    <xf numFmtId="0" fontId="0" fillId="3" borderId="55" xfId="0" applyFill="1" applyBorder="1"/>
    <xf numFmtId="0" fontId="0" fillId="0" borderId="55" xfId="0" applyBorder="1"/>
    <xf numFmtId="165" fontId="0" fillId="0" borderId="0" xfId="1" applyNumberFormat="1" applyFont="1" applyBorder="1"/>
    <xf numFmtId="0" fontId="0" fillId="0" borderId="46" xfId="0" applyBorder="1"/>
    <xf numFmtId="0" fontId="0" fillId="0" borderId="47" xfId="0" applyBorder="1"/>
    <xf numFmtId="0" fontId="2" fillId="2" borderId="58" xfId="0" applyFont="1" applyFill="1" applyBorder="1"/>
    <xf numFmtId="165" fontId="0" fillId="0" borderId="48" xfId="1" applyNumberFormat="1" applyFont="1" applyBorder="1"/>
    <xf numFmtId="10" fontId="0" fillId="0" borderId="48" xfId="1" applyNumberFormat="1" applyFont="1" applyBorder="1"/>
    <xf numFmtId="0" fontId="0" fillId="3" borderId="59" xfId="0" applyFill="1" applyBorder="1"/>
    <xf numFmtId="165" fontId="0" fillId="0" borderId="60" xfId="1" applyNumberFormat="1" applyFont="1" applyBorder="1"/>
    <xf numFmtId="0" fontId="4" fillId="0" borderId="61" xfId="0" applyFont="1" applyBorder="1"/>
    <xf numFmtId="0" fontId="4" fillId="0" borderId="62" xfId="0" applyFont="1" applyBorder="1"/>
    <xf numFmtId="0" fontId="4" fillId="0" borderId="63" xfId="0" applyFont="1" applyBorder="1"/>
    <xf numFmtId="0" fontId="4" fillId="0" borderId="64" xfId="0" applyFont="1" applyBorder="1"/>
    <xf numFmtId="0" fontId="0" fillId="4" borderId="65" xfId="0" applyFill="1" applyBorder="1"/>
    <xf numFmtId="2" fontId="0" fillId="0" borderId="0" xfId="0" applyNumberFormat="1"/>
    <xf numFmtId="2" fontId="0" fillId="0" borderId="37" xfId="0" applyNumberFormat="1" applyBorder="1"/>
    <xf numFmtId="0" fontId="0" fillId="4" borderId="66" xfId="0" applyFill="1" applyBorder="1"/>
    <xf numFmtId="0" fontId="0" fillId="0" borderId="67" xfId="0" applyBorder="1"/>
    <xf numFmtId="0" fontId="0" fillId="0" borderId="68" xfId="0" applyBorder="1"/>
    <xf numFmtId="0" fontId="4" fillId="0" borderId="72" xfId="0" applyFont="1" applyBorder="1"/>
    <xf numFmtId="0" fontId="4" fillId="0" borderId="73" xfId="0" applyFont="1" applyBorder="1"/>
    <xf numFmtId="2" fontId="0" fillId="0" borderId="35" xfId="0" applyNumberFormat="1" applyBorder="1"/>
    <xf numFmtId="168" fontId="0" fillId="0" borderId="35" xfId="0" applyNumberFormat="1" applyBorder="1"/>
    <xf numFmtId="0" fontId="10" fillId="0" borderId="33" xfId="0" applyFont="1" applyBorder="1"/>
    <xf numFmtId="0" fontId="9" fillId="0" borderId="33" xfId="0" applyFont="1" applyBorder="1"/>
    <xf numFmtId="167" fontId="0" fillId="8" borderId="31" xfId="0" applyNumberFormat="1" applyFill="1" applyBorder="1"/>
    <xf numFmtId="0" fontId="5" fillId="0" borderId="34" xfId="0" applyFont="1" applyBorder="1"/>
    <xf numFmtId="0" fontId="5" fillId="0" borderId="36" xfId="0" applyFont="1" applyBorder="1"/>
    <xf numFmtId="0" fontId="4" fillId="0" borderId="74" xfId="0" applyFont="1" applyBorder="1"/>
    <xf numFmtId="0" fontId="4" fillId="0" borderId="75" xfId="0" applyFont="1" applyBorder="1"/>
    <xf numFmtId="0" fontId="0" fillId="0" borderId="0" xfId="0" applyBorder="1"/>
    <xf numFmtId="0" fontId="2" fillId="0" borderId="33" xfId="0" applyFont="1" applyBorder="1"/>
    <xf numFmtId="0" fontId="2" fillId="0" borderId="0" xfId="0" applyFont="1" applyBorder="1"/>
    <xf numFmtId="0" fontId="0" fillId="0" borderId="35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5" xfId="0" applyBorder="1" applyAlignment="1">
      <alignment horizontal="center" vertical="center" wrapText="1"/>
    </xf>
    <xf numFmtId="0" fontId="8" fillId="13" borderId="32" xfId="0" applyFont="1" applyFill="1" applyBorder="1" applyAlignment="1">
      <alignment horizontal="center"/>
    </xf>
    <xf numFmtId="0" fontId="8" fillId="13" borderId="46" xfId="0" applyFont="1" applyFill="1" applyBorder="1" applyAlignment="1">
      <alignment horizontal="center"/>
    </xf>
    <xf numFmtId="0" fontId="8" fillId="13" borderId="47" xfId="0" applyFont="1" applyFill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9" fillId="13" borderId="32" xfId="0" applyFont="1" applyFill="1" applyBorder="1" applyAlignment="1">
      <alignment horizontal="center"/>
    </xf>
    <xf numFmtId="0" fontId="9" fillId="13" borderId="46" xfId="0" applyFont="1" applyFill="1" applyBorder="1" applyAlignment="1">
      <alignment horizontal="center"/>
    </xf>
    <xf numFmtId="0" fontId="9" fillId="13" borderId="47" xfId="0" applyFont="1" applyFill="1" applyBorder="1" applyAlignment="1">
      <alignment horizontal="center"/>
    </xf>
    <xf numFmtId="0" fontId="4" fillId="0" borderId="69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4" fillId="0" borderId="71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2">
    <cellStyle name="Normal" xfId="0" builtinId="0"/>
    <cellStyle name="Percent" xfId="1" builtinId="5"/>
  </cellStyles>
  <dxfs count="2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'DA-1'!$D$7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774-4DD4-A57F-4E2148FC69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774-4DD4-A57F-4E2148FC69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774-4DD4-A57F-4E2148FC69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774-4DD4-A57F-4E2148FC699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774-4DD4-A57F-4E2148FC699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774-4DD4-A57F-4E2148FC699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774-4DD4-A57F-4E2148FC69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'DA-1'!$B$8:$B$14</c:f>
              <c:strCache>
                <c:ptCount val="7"/>
                <c:pt idx="0">
                  <c:v>Food &amp; beverages</c:v>
                </c:pt>
                <c:pt idx="1">
                  <c:v>Clothing &amp; Footwear</c:v>
                </c:pt>
                <c:pt idx="2">
                  <c:v>Housing </c:v>
                </c:pt>
                <c:pt idx="3">
                  <c:v>Health</c:v>
                </c:pt>
                <c:pt idx="4">
                  <c:v>Transportation &amp; Communcation</c:v>
                </c:pt>
                <c:pt idx="5">
                  <c:v>Education </c:v>
                </c:pt>
                <c:pt idx="6">
                  <c:v>Recreation &amp; Misc</c:v>
                </c:pt>
              </c:strCache>
            </c:strRef>
          </c:cat>
          <c:val>
            <c:numRef>
              <c:f>'DA-1'!$D$8:$D$14</c:f>
              <c:numCache>
                <c:formatCode>0.00</c:formatCode>
                <c:ptCount val="7"/>
                <c:pt idx="0">
                  <c:v>55.361429714590557</c:v>
                </c:pt>
                <c:pt idx="1">
                  <c:v>12.667822530452563</c:v>
                </c:pt>
                <c:pt idx="2">
                  <c:v>3.9966213212412192</c:v>
                </c:pt>
                <c:pt idx="3">
                  <c:v>8.2844314039299363</c:v>
                </c:pt>
                <c:pt idx="4">
                  <c:v>7.8287543344891946</c:v>
                </c:pt>
                <c:pt idx="5">
                  <c:v>4.0077353961056268</c:v>
                </c:pt>
                <c:pt idx="6">
                  <c:v>7.8532052991908934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7-4D57-999F-D9396735847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'DA-1'!$F$7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0C-4999-A455-4430714B3B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0C-4999-A455-4430714B3B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0C-4999-A455-4430714B3B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0C-4999-A455-4430714B3B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0C-4999-A455-4430714B3B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D0C-4999-A455-4430714B3B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D0C-4999-A455-4430714B3B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'DA-1'!$F$8:$F$14</c:f>
              <c:numCache>
                <c:formatCode>0.00</c:formatCode>
                <c:ptCount val="7"/>
                <c:pt idx="0">
                  <c:v>57.347726913435245</c:v>
                </c:pt>
                <c:pt idx="1">
                  <c:v>11.940197384764787</c:v>
                </c:pt>
                <c:pt idx="2">
                  <c:v>3.8415501705097221</c:v>
                </c:pt>
                <c:pt idx="3">
                  <c:v>7.4617764628830807</c:v>
                </c:pt>
                <c:pt idx="4">
                  <c:v>7.7644029901307619</c:v>
                </c:pt>
                <c:pt idx="5">
                  <c:v>3.9476952957383862</c:v>
                </c:pt>
                <c:pt idx="6">
                  <c:v>7.6966507825379962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0-4CC0-8145-F2EB1271DE9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Rural</a:t>
            </a:r>
            <a:r>
              <a:rPr lang="en-US" baseline="0"/>
              <a:t> + Urban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'DA-1'!$H$7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90-4C54-A44E-5243AD50D2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90-4C54-A44E-5243AD50D2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90-4C54-A44E-5243AD50D2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90-4C54-A44E-5243AD50D2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90-4C54-A44E-5243AD50D2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90-4C54-A44E-5243AD50D2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90-4C54-A44E-5243AD50D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'DA-1'!$H$8:$H$14</c:f>
              <c:numCache>
                <c:formatCode>0.00</c:formatCode>
                <c:ptCount val="7"/>
                <c:pt idx="0">
                  <c:v>56.510962392122408</c:v>
                </c:pt>
                <c:pt idx="1">
                  <c:v>12.465355235584399</c:v>
                </c:pt>
                <c:pt idx="2">
                  <c:v>3.9478131548705471</c:v>
                </c:pt>
                <c:pt idx="3">
                  <c:v>7.4359494355438382</c:v>
                </c:pt>
                <c:pt idx="4">
                  <c:v>7.832533405439511</c:v>
                </c:pt>
                <c:pt idx="5">
                  <c:v>3.9906261970751937</c:v>
                </c:pt>
                <c:pt idx="6">
                  <c:v>7.8167601793641142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F-4F0B-8EA8-EE9C2029E67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Y-o-Y% </a:t>
            </a:r>
          </a:p>
        </c:rich>
      </c:tx>
      <c:layout>
        <c:manualLayout>
          <c:xMode val="edge"/>
          <c:yMode val="edge"/>
          <c:x val="0.4321353580802399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'DA-2'!$G$9</c:f>
              <c:strCache>
                <c:ptCount val="1"/>
                <c:pt idx="0">
                  <c:v>Y-o-Y%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'DA-2'!$C$10:$C$17</c15:sqref>
                  </c15:fullRef>
                </c:ext>
              </c:extLst>
              <c:f>'DA-2'!$C$11:$C$17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'DA-2'!$G$10:$G$17</c15:sqref>
                  </c15:fullRef>
                </c:ext>
              </c:extLst>
              <c:f>'DA-2'!$G$11:$G$17</c:f>
              <c:numCache>
                <c:formatCode>0.0%</c:formatCode>
                <c:ptCount val="7"/>
                <c:pt idx="0">
                  <c:v>2.1772939346811911E-2</c:v>
                </c:pt>
                <c:pt idx="1">
                  <c:v>4.8706240487062444E-2</c:v>
                </c:pt>
                <c:pt idx="2">
                  <c:v>3.0478955007256808E-2</c:v>
                </c:pt>
                <c:pt idx="3">
                  <c:v>6.4377934272300569E-2</c:v>
                </c:pt>
                <c:pt idx="4">
                  <c:v>6.1255996030214421E-2</c:v>
                </c:pt>
                <c:pt idx="5">
                  <c:v>7.0448877805486171E-2</c:v>
                </c:pt>
                <c:pt idx="6">
                  <c:v>4.3098427489807842E-2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D-4CF1-BA60-51776F9AE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5423967"/>
        <c:axId val="1905426847"/>
      </c:lineChart>
      <c:catAx>
        <c:axId val="19054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26847"/>
        <c:crosses val="autoZero"/>
        <c:auto val="1"/>
        <c:lblAlgn val="ctr"/>
        <c:lblOffset val="100"/>
        <c:noMultiLvlLbl val="0"/>
      </c:catAx>
      <c:valAx>
        <c:axId val="190542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423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Sum of M-o-M% by Month(Rural)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2.8710068742419585E-3</c:v>
              </c:pt>
              <c:pt idx="1">
                <c:v>-6.4916737228339029E-3</c:v>
              </c:pt>
              <c:pt idx="2">
                <c:v>8.1168831168941906E-5</c:v>
              </c:pt>
              <c:pt idx="3">
                <c:v>3.8552065579090756E-3</c:v>
              </c:pt>
              <c:pt idx="4">
                <c:v>6.8318712859283667E-3</c:v>
              </c:pt>
              <c:pt idx="5">
                <c:v>8.8853990164069908E-3</c:v>
              </c:pt>
              <c:pt idx="6">
                <c:v>1.8433557266916045E-3</c:v>
              </c:pt>
              <c:pt idx="7">
                <c:v>1.5537473933841957E-3</c:v>
              </c:pt>
              <c:pt idx="8">
                <c:v>5.2255562359667844E-3</c:v>
              </c:pt>
              <c:pt idx="9">
                <c:v>6.9447264752466832E-3</c:v>
              </c:pt>
              <c:pt idx="10">
                <c:v>1.5326288618212982E-3</c:v>
              </c:pt>
              <c:pt idx="11">
                <c:v>-4.1076030927834324E-3</c:v>
              </c:pt>
            </c:numLit>
          </c:val>
          <c:extLst>
            <c:ext xmlns:c16="http://schemas.microsoft.com/office/drawing/2014/chart" uri="{C3380CC4-5D6E-409C-BE32-E72D297353CC}">
              <c16:uniqueId val="{00000000-53C6-46B0-A274-934AD8350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538863"/>
        <c:axId val="1474530223"/>
      </c:barChart>
      <c:catAx>
        <c:axId val="147453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30223"/>
        <c:crosses val="autoZero"/>
        <c:auto val="1"/>
        <c:lblAlgn val="ctr"/>
        <c:lblOffset val="100"/>
        <c:noMultiLvlLbl val="0"/>
      </c:catAx>
      <c:valAx>
        <c:axId val="14745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53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Sum of M-o-M% by Month(Urban)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5.9673995754738066E-3</c:v>
              </c:pt>
              <c:pt idx="1">
                <c:v>-2.3489131300264933E-3</c:v>
              </c:pt>
              <c:pt idx="2">
                <c:v>7.9811644519044213E-5</c:v>
              </c:pt>
              <c:pt idx="3">
                <c:v>6.0252982722159391E-3</c:v>
              </c:pt>
              <c:pt idx="4">
                <c:v>7.1791210534663859E-3</c:v>
              </c:pt>
              <c:pt idx="5">
                <c:v>1.061105012806436E-2</c:v>
              </c:pt>
              <c:pt idx="6">
                <c:v>1.7700539061869965E-3</c:v>
              </c:pt>
              <c:pt idx="7">
                <c:v>8.8346317564846932E-4</c:v>
              </c:pt>
              <c:pt idx="8">
                <c:v>5.4967099983952317E-3</c:v>
              </c:pt>
              <c:pt idx="9">
                <c:v>6.504129922987982E-3</c:v>
              </c:pt>
              <c:pt idx="10">
                <c:v>-2.9337139232477366E-3</c:v>
              </c:pt>
              <c:pt idx="11">
                <c:v>-7.1968190854872225E-3</c:v>
              </c:pt>
            </c:numLit>
          </c:val>
          <c:extLst>
            <c:ext xmlns:c16="http://schemas.microsoft.com/office/drawing/2014/chart" uri="{C3380CC4-5D6E-409C-BE32-E72D297353CC}">
              <c16:uniqueId val="{00000000-4E1D-453A-8441-D0CAE7C0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0868303"/>
        <c:axId val="1440869263"/>
      </c:barChart>
      <c:catAx>
        <c:axId val="144086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869263"/>
        <c:crosses val="autoZero"/>
        <c:auto val="1"/>
        <c:lblAlgn val="ctr"/>
        <c:lblOffset val="100"/>
        <c:noMultiLvlLbl val="0"/>
      </c:catAx>
      <c:valAx>
        <c:axId val="144086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86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Sum of M-o-M% by Month(Rural+Urban)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4.1117426532830906E-3</c:v>
              </c:pt>
              <c:pt idx="1">
                <c:v>-4.9379742261831984E-3</c:v>
              </c:pt>
              <c:pt idx="2">
                <c:v>4.034535624945899E-5</c:v>
              </c:pt>
              <c:pt idx="3">
                <c:v>4.6395287852505169E-3</c:v>
              </c:pt>
              <c:pt idx="4">
                <c:v>7.107862822263198E-3</c:v>
              </c:pt>
              <c:pt idx="5">
                <c:v>9.5355528154540958E-3</c:v>
              </c:pt>
              <c:pt idx="6">
                <c:v>1.9135249572509638E-3</c:v>
              </c:pt>
              <c:pt idx="7">
                <c:v>1.3409728148239188E-3</c:v>
              </c:pt>
              <c:pt idx="8">
                <c:v>5.1132213294375079E-3</c:v>
              </c:pt>
              <c:pt idx="9">
                <c:v>6.7829457364341813E-3</c:v>
              </c:pt>
              <c:pt idx="10">
                <c:v>4.010266281677456E-5</c:v>
              </c:pt>
              <c:pt idx="11">
                <c:v>-5.2131371055058745E-3</c:v>
              </c:pt>
            </c:numLit>
          </c:val>
          <c:extLst>
            <c:ext xmlns:c16="http://schemas.microsoft.com/office/drawing/2014/chart" uri="{C3380CC4-5D6E-409C-BE32-E72D297353CC}">
              <c16:uniqueId val="{00000000-C748-4DB9-9F4A-B699D9A59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0856735"/>
        <c:axId val="1370850495"/>
      </c:barChart>
      <c:catAx>
        <c:axId val="137085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50495"/>
        <c:crosses val="autoZero"/>
        <c:auto val="1"/>
        <c:lblAlgn val="ctr"/>
        <c:lblOffset val="100"/>
        <c:noMultiLvlLbl val="0"/>
      </c:catAx>
      <c:valAx>
        <c:axId val="13708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85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paperSize="5" orientation="landscape"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'DA-4'!$C$8:$C$9</c:f>
              <c:strCache>
                <c:ptCount val="2"/>
                <c:pt idx="0">
                  <c:v>Rural</c:v>
                </c:pt>
                <c:pt idx="1">
                  <c:v>Healthcare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'DA-4'!$A$10:$B$16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'DA-4'!$C$10:$C$16</c:f>
              <c:numCache>
                <c:formatCode>General</c:formatCode>
                <c:ptCount val="7"/>
                <c:pt idx="0">
                  <c:v>126.94999999999999</c:v>
                </c:pt>
                <c:pt idx="1">
                  <c:v>122.4</c:v>
                </c:pt>
                <c:pt idx="2">
                  <c:v>125.19999999999999</c:v>
                </c:pt>
                <c:pt idx="3">
                  <c:v>127.35</c:v>
                </c:pt>
                <c:pt idx="4">
                  <c:v>122.80000000000001</c:v>
                </c:pt>
                <c:pt idx="5">
                  <c:v>125.6</c:v>
                </c:pt>
                <c:pt idx="6">
                  <c:v>127.55000000000001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3-4BD0-A7BF-66590E2DCA5B}"/>
            </c:ext>
          </c:extLst>
        </c:ser>
        <c:ser>
          <c:idx val="1"/>
          <c:order val="1"/>
          <c:tx>
            <c:strRef>
              <c:f>'DA-4'!$D$8:$D$9</c:f>
              <c:strCache>
                <c:ptCount val="2"/>
                <c:pt idx="0">
                  <c:v>Rural</c:v>
                </c:pt>
                <c:pt idx="1">
                  <c:v>Food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'DA-4'!$A$10:$B$16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'DA-4'!$D$10:$D$16</c:f>
              <c:numCache>
                <c:formatCode>0.00</c:formatCode>
                <c:ptCount val="7"/>
                <c:pt idx="0">
                  <c:v>133.76428571428573</c:v>
                </c:pt>
                <c:pt idx="1">
                  <c:v>132.37142857142857</c:v>
                </c:pt>
                <c:pt idx="2">
                  <c:v>133.14285714285714</c:v>
                </c:pt>
                <c:pt idx="3">
                  <c:v>133.62142857142857</c:v>
                </c:pt>
                <c:pt idx="4">
                  <c:v>132.57857142857142</c:v>
                </c:pt>
                <c:pt idx="5">
                  <c:v>133.12857142857143</c:v>
                </c:pt>
                <c:pt idx="6">
                  <c:v>133.78571428571425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3-4BD0-A7BF-66590E2DCA5B}"/>
            </c:ext>
          </c:extLst>
        </c:ser>
        <c:ser>
          <c:idx val="2"/>
          <c:order val="2"/>
          <c:tx>
            <c:strRef>
              <c:f>'DA-4'!$E$8:$E$9</c:f>
              <c:strCache>
                <c:ptCount val="2"/>
                <c:pt idx="0">
                  <c:v>Rural</c:v>
                </c:pt>
                <c:pt idx="1">
                  <c:v>Essential Service(Tran&amp;Comm)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'DA-4'!$A$10:$B$16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'DA-4'!$E$10:$E$16</c:f>
              <c:numCache>
                <c:formatCode>General</c:formatCode>
                <c:ptCount val="7"/>
                <c:pt idx="0">
                  <c:v>127</c:v>
                </c:pt>
                <c:pt idx="1">
                  <c:v>118.19999999999999</c:v>
                </c:pt>
                <c:pt idx="2">
                  <c:v>123.35</c:v>
                </c:pt>
                <c:pt idx="3">
                  <c:v>127.1</c:v>
                </c:pt>
                <c:pt idx="4">
                  <c:v>117.85</c:v>
                </c:pt>
                <c:pt idx="5">
                  <c:v>123.2</c:v>
                </c:pt>
                <c:pt idx="6">
                  <c:v>127.2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3-4BD0-A7BF-66590E2D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1613055"/>
        <c:axId val="147508815"/>
      </c:barChart>
      <c:catAx>
        <c:axId val="171161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08815"/>
        <c:crosses val="autoZero"/>
        <c:auto val="1"/>
        <c:lblAlgn val="ctr"/>
        <c:lblOffset val="100"/>
        <c:noMultiLvlLbl val="0"/>
      </c:catAx>
      <c:valAx>
        <c:axId val="14750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61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'DA-4'!$C$25:$C$26</c:f>
              <c:strCache>
                <c:ptCount val="2"/>
                <c:pt idx="0">
                  <c:v>Urban</c:v>
                </c:pt>
                <c:pt idx="1">
                  <c:v>Healthcare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'DA-4'!$A$27:$B$33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'DA-4'!$C$27:$C$33</c:f>
              <c:numCache>
                <c:formatCode>General</c:formatCode>
                <c:ptCount val="7"/>
                <c:pt idx="0">
                  <c:v>122.4</c:v>
                </c:pt>
                <c:pt idx="1">
                  <c:v>125.19999999999999</c:v>
                </c:pt>
                <c:pt idx="2">
                  <c:v>127.35</c:v>
                </c:pt>
                <c:pt idx="3">
                  <c:v>122.80000000000001</c:v>
                </c:pt>
                <c:pt idx="4">
                  <c:v>125.6</c:v>
                </c:pt>
                <c:pt idx="5">
                  <c:v>127.55000000000001</c:v>
                </c:pt>
                <c:pt idx="6">
                  <c:v>122.8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98-464C-86FF-2E4BC35D287B}"/>
            </c:ext>
          </c:extLst>
        </c:ser>
        <c:ser>
          <c:idx val="1"/>
          <c:order val="1"/>
          <c:tx>
            <c:strRef>
              <c:f>'DA-4'!$D$25:$D$26</c:f>
              <c:strCache>
                <c:ptCount val="2"/>
                <c:pt idx="0">
                  <c:v>Urban</c:v>
                </c:pt>
                <c:pt idx="1">
                  <c:v>Food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'DA-4'!$A$27:$B$33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'DA-4'!$D$27:$D$33</c:f>
              <c:numCache>
                <c:formatCode>0.00</c:formatCode>
                <c:ptCount val="7"/>
                <c:pt idx="0">
                  <c:v>132.37142857142857</c:v>
                </c:pt>
                <c:pt idx="1">
                  <c:v>133.14285714285714</c:v>
                </c:pt>
                <c:pt idx="2">
                  <c:v>133.62142857142857</c:v>
                </c:pt>
                <c:pt idx="3">
                  <c:v>132.57857142857142</c:v>
                </c:pt>
                <c:pt idx="4">
                  <c:v>133.12857142857143</c:v>
                </c:pt>
                <c:pt idx="5">
                  <c:v>133.78571428571425</c:v>
                </c:pt>
                <c:pt idx="6">
                  <c:v>132.70714285714286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98-464C-86FF-2E4BC35D287B}"/>
            </c:ext>
          </c:extLst>
        </c:ser>
        <c:ser>
          <c:idx val="2"/>
          <c:order val="2"/>
          <c:tx>
            <c:strRef>
              <c:f>'DA-4'!$E$25:$E$26</c:f>
              <c:strCache>
                <c:ptCount val="2"/>
                <c:pt idx="0">
                  <c:v>Urban</c:v>
                </c:pt>
                <c:pt idx="1">
                  <c:v>Essential Service(Tran&amp;Comm)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'DA-4'!$A$27:$B$33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'DA-4'!$E$27:$E$33</c:f>
              <c:numCache>
                <c:formatCode>General</c:formatCode>
                <c:ptCount val="7"/>
                <c:pt idx="0">
                  <c:v>118.19999999999999</c:v>
                </c:pt>
                <c:pt idx="1">
                  <c:v>123.35</c:v>
                </c:pt>
                <c:pt idx="2">
                  <c:v>127.1</c:v>
                </c:pt>
                <c:pt idx="3">
                  <c:v>117.85</c:v>
                </c:pt>
                <c:pt idx="4">
                  <c:v>123.2</c:v>
                </c:pt>
                <c:pt idx="5">
                  <c:v>127.2</c:v>
                </c:pt>
                <c:pt idx="6">
                  <c:v>117.19999999999999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98-464C-86FF-2E4BC35D2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812432"/>
        <c:axId val="1710816272"/>
      </c:barChart>
      <c:catAx>
        <c:axId val="171081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16272"/>
        <c:crosses val="autoZero"/>
        <c:auto val="1"/>
        <c:lblAlgn val="ctr"/>
        <c:lblOffset val="100"/>
        <c:noMultiLvlLbl val="0"/>
      </c:catAx>
      <c:valAx>
        <c:axId val="1710816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1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'DA-4'!$C$42:$C$43</c:f>
              <c:strCache>
                <c:ptCount val="2"/>
                <c:pt idx="0">
                  <c:v>Rural+Urban</c:v>
                </c:pt>
                <c:pt idx="1">
                  <c:v>Healthcare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'DA-4'!$A$44:$B$50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'DA-4'!$C$44:$C$50</c:f>
              <c:numCache>
                <c:formatCode>General</c:formatCode>
                <c:ptCount val="7"/>
                <c:pt idx="0">
                  <c:v>125.19999999999999</c:v>
                </c:pt>
                <c:pt idx="1">
                  <c:v>127.35</c:v>
                </c:pt>
                <c:pt idx="2">
                  <c:v>122.80000000000001</c:v>
                </c:pt>
                <c:pt idx="3">
                  <c:v>125.6</c:v>
                </c:pt>
                <c:pt idx="4">
                  <c:v>127.55000000000001</c:v>
                </c:pt>
                <c:pt idx="5">
                  <c:v>122.8</c:v>
                </c:pt>
                <c:pt idx="6">
                  <c:v>125.7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A-459D-9781-7221099B8137}"/>
            </c:ext>
          </c:extLst>
        </c:ser>
        <c:ser>
          <c:idx val="1"/>
          <c:order val="1"/>
          <c:tx>
            <c:strRef>
              <c:f>'DA-4'!$D$42:$D$43</c:f>
              <c:strCache>
                <c:ptCount val="2"/>
                <c:pt idx="0">
                  <c:v>Rural+Urban</c:v>
                </c:pt>
                <c:pt idx="1">
                  <c:v>Food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'DA-4'!$A$44:$B$50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'DA-4'!$D$44:$D$50</c:f>
              <c:numCache>
                <c:formatCode>0.00</c:formatCode>
                <c:ptCount val="7"/>
                <c:pt idx="0">
                  <c:v>133.14285714285714</c:v>
                </c:pt>
                <c:pt idx="1">
                  <c:v>133.62142857142857</c:v>
                </c:pt>
                <c:pt idx="2">
                  <c:v>132.57857142857142</c:v>
                </c:pt>
                <c:pt idx="3">
                  <c:v>133.12857142857143</c:v>
                </c:pt>
                <c:pt idx="4">
                  <c:v>133.78571428571425</c:v>
                </c:pt>
                <c:pt idx="5">
                  <c:v>132.70714285714286</c:v>
                </c:pt>
                <c:pt idx="6">
                  <c:v>133.27142857142857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A-459D-9781-7221099B8137}"/>
            </c:ext>
          </c:extLst>
        </c:ser>
        <c:ser>
          <c:idx val="2"/>
          <c:order val="2"/>
          <c:tx>
            <c:strRef>
              <c:f>'DA-4'!$E$42:$E$43</c:f>
              <c:strCache>
                <c:ptCount val="2"/>
                <c:pt idx="0">
                  <c:v>Rural+Urban</c:v>
                </c:pt>
                <c:pt idx="1">
                  <c:v>Essential Service(Tran&amp;Comm)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'DA-4'!$A$44:$B$50</c:f>
              <c:multiLvlStrCache>
                <c:ptCount val="7"/>
                <c:lvl>
                  <c:pt idx="0">
                    <c:v>March</c:v>
                  </c:pt>
                  <c:pt idx="1">
                    <c:v>March</c:v>
                  </c:pt>
                  <c:pt idx="2">
                    <c:v>March</c:v>
                  </c:pt>
                  <c:pt idx="3">
                    <c:v>March</c:v>
                  </c:pt>
                  <c:pt idx="4">
                    <c:v>March</c:v>
                  </c:pt>
                  <c:pt idx="5">
                    <c:v>March</c:v>
                  </c:pt>
                  <c:pt idx="6">
                    <c:v>March</c:v>
                  </c:pt>
                </c:lvl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</c:lvl>
              </c:multiLvlStrCache>
            </c:multiLvlStrRef>
          </c:cat>
          <c:val>
            <c:numRef>
              <c:f>'DA-4'!$E$44:$E$50</c:f>
              <c:numCache>
                <c:formatCode>General</c:formatCode>
                <c:ptCount val="7"/>
                <c:pt idx="0">
                  <c:v>123.35</c:v>
                </c:pt>
                <c:pt idx="1">
                  <c:v>127.1</c:v>
                </c:pt>
                <c:pt idx="2">
                  <c:v>117.85</c:v>
                </c:pt>
                <c:pt idx="3">
                  <c:v>123.2</c:v>
                </c:pt>
                <c:pt idx="4">
                  <c:v>127.2</c:v>
                </c:pt>
                <c:pt idx="5">
                  <c:v>117.19999999999999</c:v>
                </c:pt>
                <c:pt idx="6">
                  <c:v>123.05000000000001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A-459D-9781-7221099B8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0463359"/>
        <c:axId val="1690468639"/>
      </c:barChart>
      <c:catAx>
        <c:axId val="169046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468639"/>
        <c:crosses val="autoZero"/>
        <c:auto val="1"/>
        <c:lblAlgn val="ctr"/>
        <c:lblOffset val="100"/>
        <c:noMultiLvlLbl val="0"/>
      </c:catAx>
      <c:valAx>
        <c:axId val="169046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46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17</xdr:row>
      <xdr:rowOff>15240</xdr:rowOff>
    </xdr:from>
    <xdr:to>
      <xdr:col>4</xdr:col>
      <xdr:colOff>60960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6CAE8A-DE34-7F5B-0EF8-BA8BD7F56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17</xdr:row>
      <xdr:rowOff>3810</xdr:rowOff>
    </xdr:from>
    <xdr:to>
      <xdr:col>9</xdr:col>
      <xdr:colOff>29340</xdr:colOff>
      <xdr:row>30</xdr:row>
      <xdr:rowOff>171570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A6C789-6755-7507-FBAB-239CB502D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45720</xdr:colOff>
      <xdr:row>17</xdr:row>
      <xdr:rowOff>3810</xdr:rowOff>
    </xdr:from>
    <xdr:to>
      <xdr:col>14</xdr:col>
      <xdr:colOff>478920</xdr:colOff>
      <xdr:row>30</xdr:row>
      <xdr:rowOff>171570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62D868-5B40-8E0D-E282-C117B3848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7</xdr:row>
      <xdr:rowOff>175260</xdr:rowOff>
    </xdr:from>
    <xdr:to>
      <xdr:col>15</xdr:col>
      <xdr:colOff>7620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15918-EA9E-4FE8-93F7-CAFB9A208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26</xdr:row>
      <xdr:rowOff>0</xdr:rowOff>
    </xdr:from>
    <xdr:to>
      <xdr:col>6</xdr:col>
      <xdr:colOff>45720</xdr:colOff>
      <xdr:row>40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708FF-F699-4034-A907-30D915A55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12</xdr:col>
      <xdr:colOff>30480</xdr:colOff>
      <xdr:row>40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74C06F-57A0-4D00-8654-2F9C94504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7620</xdr:colOff>
      <xdr:row>26</xdr:row>
      <xdr:rowOff>15240</xdr:rowOff>
    </xdr:from>
    <xdr:to>
      <xdr:col>17</xdr:col>
      <xdr:colOff>678180</xdr:colOff>
      <xdr:row>40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5BA721-46EE-4A49-9109-12E53D34C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7</xdr:row>
      <xdr:rowOff>3810</xdr:rowOff>
    </xdr:from>
    <xdr:to>
      <xdr:col>10</xdr:col>
      <xdr:colOff>1295400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B6E2E-524B-871E-155B-F555E052B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754380</xdr:colOff>
      <xdr:row>24</xdr:row>
      <xdr:rowOff>163830</xdr:rowOff>
    </xdr:from>
    <xdr:to>
      <xdr:col>10</xdr:col>
      <xdr:colOff>1325880</xdr:colOff>
      <xdr:row>39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6CC121-7669-F281-F6CE-870C65B51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762000</xdr:colOff>
      <xdr:row>41</xdr:row>
      <xdr:rowOff>11430</xdr:rowOff>
    </xdr:from>
    <xdr:to>
      <xdr:col>10</xdr:col>
      <xdr:colOff>1325880</xdr:colOff>
      <xdr:row>56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14F597-A547-3348-18F8-4F28AFCF1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IY/Excel/India%20CPI%20inflation/India%20CPI%20Inflation.xlsx" TargetMode="External"/><Relationship Id="rId2" Type="http://schemas.openxmlformats.org/officeDocument/2006/relationships/externalLinkPath" Target="https://d.docs.live.net/e0bf5cae351361fa/Coding%20Ninja/DIY/Excel/India%20CPI%20inflation/India%20CPI%20Inflation.xlsx" TargetMode="External"/><Relationship Id="rId1" Type="http://schemas.openxmlformats.org/officeDocument/2006/relationships/externalLinkPath" Target="/e0bf5cae351361fa/Coding%20Ninja/DIY/Excel/India%20CPI%20inflation/India%20CPI%20Inf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4- All_India_Index_Upto_April2"/>
      <sheetName val="Collated sheet Category wise"/>
      <sheetName val="Data Dictionary"/>
      <sheetName val="Missing values"/>
      <sheetName val="DA-1"/>
      <sheetName val="DA-2"/>
      <sheetName val="DA-3"/>
      <sheetName val="DA-4"/>
      <sheetName val="DA-5"/>
      <sheetName val="India CPI Inflation"/>
    </sheetNames>
    <sheetDataSet>
      <sheetData sheetId="0">
        <row r="2">
          <cell r="A2" t="str">
            <v>Rural</v>
          </cell>
          <cell r="B2">
            <v>2013</v>
          </cell>
          <cell r="C2" t="str">
            <v>January</v>
          </cell>
          <cell r="F2">
            <v>107.5</v>
          </cell>
          <cell r="G2">
            <v>106.3</v>
          </cell>
          <cell r="H2">
            <v>108.1</v>
          </cell>
          <cell r="I2">
            <v>104.9</v>
          </cell>
          <cell r="J2">
            <v>106.1</v>
          </cell>
          <cell r="K2">
            <v>103.9</v>
          </cell>
          <cell r="L2">
            <v>101.9</v>
          </cell>
          <cell r="M2">
            <v>106.1</v>
          </cell>
          <cell r="N2">
            <v>106.8</v>
          </cell>
          <cell r="O2">
            <v>103.1</v>
          </cell>
          <cell r="P2">
            <v>104.8</v>
          </cell>
          <cell r="Q2">
            <v>106.7</v>
          </cell>
          <cell r="R2">
            <v>105.5</v>
          </cell>
          <cell r="S2">
            <v>105.1</v>
          </cell>
          <cell r="T2">
            <v>106.5</v>
          </cell>
          <cell r="U2">
            <v>105.8</v>
          </cell>
          <cell r="V2">
            <v>106.4</v>
          </cell>
          <cell r="Z2">
            <v>104</v>
          </cell>
          <cell r="AA2">
            <v>103.3</v>
          </cell>
          <cell r="AB2">
            <v>103.4</v>
          </cell>
          <cell r="AC2">
            <v>103.8</v>
          </cell>
          <cell r="AD2">
            <v>104.7</v>
          </cell>
          <cell r="AE2">
            <v>104</v>
          </cell>
          <cell r="AF2">
            <v>105.1</v>
          </cell>
        </row>
        <row r="3">
          <cell r="A3" t="str">
            <v>Urban</v>
          </cell>
          <cell r="B3">
            <v>2013</v>
          </cell>
          <cell r="C3" t="str">
            <v>January</v>
          </cell>
          <cell r="F3">
            <v>110.5</v>
          </cell>
          <cell r="G3">
            <v>109.1</v>
          </cell>
          <cell r="H3">
            <v>113</v>
          </cell>
          <cell r="I3">
            <v>103.6</v>
          </cell>
          <cell r="J3">
            <v>103.4</v>
          </cell>
          <cell r="K3">
            <v>102.3</v>
          </cell>
          <cell r="L3">
            <v>102.9</v>
          </cell>
          <cell r="M3">
            <v>105.8</v>
          </cell>
          <cell r="N3">
            <v>105.1</v>
          </cell>
          <cell r="O3">
            <v>101.8</v>
          </cell>
          <cell r="P3">
            <v>105.1</v>
          </cell>
          <cell r="Q3">
            <v>107.9</v>
          </cell>
          <cell r="R3">
            <v>105.9</v>
          </cell>
          <cell r="S3">
            <v>105.2</v>
          </cell>
          <cell r="T3">
            <v>105.9</v>
          </cell>
          <cell r="U3">
            <v>105</v>
          </cell>
          <cell r="V3">
            <v>105.8</v>
          </cell>
          <cell r="Z3">
            <v>104.1</v>
          </cell>
          <cell r="AA3">
            <v>103.2</v>
          </cell>
          <cell r="AB3">
            <v>102.9</v>
          </cell>
          <cell r="AC3">
            <v>103.5</v>
          </cell>
          <cell r="AD3">
            <v>104.3</v>
          </cell>
          <cell r="AE3">
            <v>103.7</v>
          </cell>
          <cell r="AF3">
            <v>104</v>
          </cell>
        </row>
        <row r="4">
          <cell r="A4" t="str">
            <v>Rural+Urban</v>
          </cell>
          <cell r="B4">
            <v>2013</v>
          </cell>
          <cell r="C4" t="str">
            <v>January</v>
          </cell>
          <cell r="F4">
            <v>108.4</v>
          </cell>
          <cell r="G4">
            <v>107.3</v>
          </cell>
          <cell r="H4">
            <v>110</v>
          </cell>
          <cell r="I4">
            <v>104.4</v>
          </cell>
          <cell r="J4">
            <v>105.1</v>
          </cell>
          <cell r="K4">
            <v>103.2</v>
          </cell>
          <cell r="L4">
            <v>102.2</v>
          </cell>
          <cell r="M4">
            <v>106</v>
          </cell>
          <cell r="N4">
            <v>106.2</v>
          </cell>
          <cell r="O4">
            <v>102.7</v>
          </cell>
          <cell r="P4">
            <v>104.9</v>
          </cell>
          <cell r="Q4">
            <v>107.3</v>
          </cell>
          <cell r="R4">
            <v>105.6</v>
          </cell>
          <cell r="S4">
            <v>105.1</v>
          </cell>
          <cell r="T4">
            <v>106.3</v>
          </cell>
          <cell r="U4">
            <v>105.5</v>
          </cell>
          <cell r="V4">
            <v>106.2</v>
          </cell>
          <cell r="Z4">
            <v>104</v>
          </cell>
          <cell r="AA4">
            <v>103.2</v>
          </cell>
          <cell r="AB4">
            <v>103.1</v>
          </cell>
          <cell r="AC4">
            <v>103.6</v>
          </cell>
          <cell r="AD4">
            <v>104.5</v>
          </cell>
          <cell r="AE4">
            <v>103.9</v>
          </cell>
          <cell r="AF4">
            <v>104.6</v>
          </cell>
        </row>
        <row r="5">
          <cell r="A5" t="str">
            <v>Rural</v>
          </cell>
          <cell r="B5">
            <v>2013</v>
          </cell>
          <cell r="C5" t="str">
            <v>February</v>
          </cell>
          <cell r="F5">
            <v>109.2</v>
          </cell>
          <cell r="G5">
            <v>108.7</v>
          </cell>
          <cell r="H5">
            <v>110.2</v>
          </cell>
          <cell r="I5">
            <v>105.4</v>
          </cell>
          <cell r="J5">
            <v>106.7</v>
          </cell>
          <cell r="K5">
            <v>104</v>
          </cell>
          <cell r="L5">
            <v>102.4</v>
          </cell>
          <cell r="M5">
            <v>105.9</v>
          </cell>
          <cell r="N5">
            <v>105.7</v>
          </cell>
          <cell r="O5">
            <v>103.1</v>
          </cell>
          <cell r="P5">
            <v>105.1</v>
          </cell>
          <cell r="Q5">
            <v>107.7</v>
          </cell>
          <cell r="R5">
            <v>106.3</v>
          </cell>
          <cell r="S5">
            <v>105.6</v>
          </cell>
          <cell r="T5">
            <v>107.1</v>
          </cell>
          <cell r="U5">
            <v>106.3</v>
          </cell>
          <cell r="V5">
            <v>107</v>
          </cell>
          <cell r="Z5">
            <v>104.4</v>
          </cell>
          <cell r="AA5">
            <v>103.9</v>
          </cell>
          <cell r="AB5">
            <v>104</v>
          </cell>
          <cell r="AC5">
            <v>104.1</v>
          </cell>
          <cell r="AD5">
            <v>104.6</v>
          </cell>
          <cell r="AE5">
            <v>104.4</v>
          </cell>
          <cell r="AF5">
            <v>105.8</v>
          </cell>
        </row>
        <row r="6">
          <cell r="A6" t="str">
            <v>Urban</v>
          </cell>
          <cell r="B6">
            <v>2013</v>
          </cell>
          <cell r="C6" t="str">
            <v>February</v>
          </cell>
          <cell r="F6">
            <v>112.9</v>
          </cell>
          <cell r="G6">
            <v>112.9</v>
          </cell>
          <cell r="H6">
            <v>116.9</v>
          </cell>
          <cell r="I6">
            <v>104</v>
          </cell>
          <cell r="J6">
            <v>103.5</v>
          </cell>
          <cell r="K6">
            <v>103.1</v>
          </cell>
          <cell r="L6">
            <v>104.9</v>
          </cell>
          <cell r="M6">
            <v>104.1</v>
          </cell>
          <cell r="N6">
            <v>103.8</v>
          </cell>
          <cell r="O6">
            <v>102.3</v>
          </cell>
          <cell r="P6">
            <v>106</v>
          </cell>
          <cell r="Q6">
            <v>109</v>
          </cell>
          <cell r="R6">
            <v>107.2</v>
          </cell>
          <cell r="S6">
            <v>106</v>
          </cell>
          <cell r="T6">
            <v>106.6</v>
          </cell>
          <cell r="U6">
            <v>105.5</v>
          </cell>
          <cell r="V6">
            <v>106.4</v>
          </cell>
          <cell r="Z6">
            <v>104.7</v>
          </cell>
          <cell r="AA6">
            <v>104.4</v>
          </cell>
          <cell r="AB6">
            <v>103.3</v>
          </cell>
          <cell r="AC6">
            <v>103.7</v>
          </cell>
          <cell r="AD6">
            <v>104.3</v>
          </cell>
          <cell r="AE6">
            <v>104.3</v>
          </cell>
          <cell r="AF6">
            <v>104.7</v>
          </cell>
        </row>
        <row r="7">
          <cell r="A7" t="str">
            <v>Rural+Urban</v>
          </cell>
          <cell r="B7">
            <v>2013</v>
          </cell>
          <cell r="C7" t="str">
            <v>February</v>
          </cell>
          <cell r="F7">
            <v>110.4</v>
          </cell>
          <cell r="G7">
            <v>110.2</v>
          </cell>
          <cell r="H7">
            <v>112.8</v>
          </cell>
          <cell r="I7">
            <v>104.9</v>
          </cell>
          <cell r="J7">
            <v>105.5</v>
          </cell>
          <cell r="K7">
            <v>103.6</v>
          </cell>
          <cell r="L7">
            <v>103.2</v>
          </cell>
          <cell r="M7">
            <v>105.3</v>
          </cell>
          <cell r="N7">
            <v>105.1</v>
          </cell>
          <cell r="O7">
            <v>102.8</v>
          </cell>
          <cell r="P7">
            <v>105.5</v>
          </cell>
          <cell r="Q7">
            <v>108.3</v>
          </cell>
          <cell r="R7">
            <v>106.6</v>
          </cell>
          <cell r="S7">
            <v>105.7</v>
          </cell>
          <cell r="T7">
            <v>106.9</v>
          </cell>
          <cell r="U7">
            <v>106</v>
          </cell>
          <cell r="V7">
            <v>106.8</v>
          </cell>
          <cell r="Z7">
            <v>104.5</v>
          </cell>
          <cell r="AA7">
            <v>104.2</v>
          </cell>
          <cell r="AB7">
            <v>103.6</v>
          </cell>
          <cell r="AC7">
            <v>103.9</v>
          </cell>
          <cell r="AD7">
            <v>104.5</v>
          </cell>
          <cell r="AE7">
            <v>104.4</v>
          </cell>
          <cell r="AF7">
            <v>105.3</v>
          </cell>
        </row>
        <row r="8">
          <cell r="A8" t="str">
            <v>Rural</v>
          </cell>
          <cell r="B8">
            <v>2013</v>
          </cell>
          <cell r="C8" t="str">
            <v>March</v>
          </cell>
          <cell r="F8">
            <v>110.2</v>
          </cell>
          <cell r="G8">
            <v>108.8</v>
          </cell>
          <cell r="H8">
            <v>109.9</v>
          </cell>
          <cell r="I8">
            <v>105.6</v>
          </cell>
          <cell r="J8">
            <v>106.2</v>
          </cell>
          <cell r="K8">
            <v>105.7</v>
          </cell>
          <cell r="L8">
            <v>101.4</v>
          </cell>
          <cell r="M8">
            <v>105.7</v>
          </cell>
          <cell r="N8">
            <v>105</v>
          </cell>
          <cell r="O8">
            <v>103.3</v>
          </cell>
          <cell r="P8">
            <v>105.6</v>
          </cell>
          <cell r="Q8">
            <v>108.2</v>
          </cell>
          <cell r="R8">
            <v>106.6</v>
          </cell>
          <cell r="S8">
            <v>106.5</v>
          </cell>
          <cell r="T8">
            <v>107.6</v>
          </cell>
          <cell r="U8">
            <v>106.8</v>
          </cell>
          <cell r="V8">
            <v>107.5</v>
          </cell>
          <cell r="Z8">
            <v>104.7</v>
          </cell>
          <cell r="AA8">
            <v>104.6</v>
          </cell>
          <cell r="AB8">
            <v>104</v>
          </cell>
          <cell r="AC8">
            <v>104.3</v>
          </cell>
          <cell r="AD8">
            <v>104.3</v>
          </cell>
          <cell r="AE8">
            <v>104.6</v>
          </cell>
          <cell r="AF8">
            <v>106</v>
          </cell>
        </row>
        <row r="9">
          <cell r="A9" t="str">
            <v>Urban</v>
          </cell>
          <cell r="B9">
            <v>2013</v>
          </cell>
          <cell r="C9" t="str">
            <v>March</v>
          </cell>
          <cell r="F9">
            <v>113.9</v>
          </cell>
          <cell r="G9">
            <v>111.4</v>
          </cell>
          <cell r="H9">
            <v>113.2</v>
          </cell>
          <cell r="I9">
            <v>104.3</v>
          </cell>
          <cell r="J9">
            <v>102.7</v>
          </cell>
          <cell r="K9">
            <v>104.9</v>
          </cell>
          <cell r="L9">
            <v>103.8</v>
          </cell>
          <cell r="M9">
            <v>103.5</v>
          </cell>
          <cell r="N9">
            <v>102.6</v>
          </cell>
          <cell r="O9">
            <v>102.4</v>
          </cell>
          <cell r="P9">
            <v>107</v>
          </cell>
          <cell r="Q9">
            <v>109.8</v>
          </cell>
          <cell r="R9">
            <v>107.3</v>
          </cell>
          <cell r="S9">
            <v>106.8</v>
          </cell>
          <cell r="T9">
            <v>107.2</v>
          </cell>
          <cell r="U9">
            <v>106</v>
          </cell>
          <cell r="V9">
            <v>107</v>
          </cell>
          <cell r="Z9">
            <v>105.2</v>
          </cell>
          <cell r="AA9">
            <v>105.5</v>
          </cell>
          <cell r="AB9">
            <v>103.5</v>
          </cell>
          <cell r="AC9">
            <v>103.8</v>
          </cell>
          <cell r="AD9">
            <v>104.2</v>
          </cell>
          <cell r="AE9">
            <v>104.9</v>
          </cell>
          <cell r="AF9">
            <v>105</v>
          </cell>
        </row>
        <row r="10">
          <cell r="A10" t="str">
            <v>Rural+Urban</v>
          </cell>
          <cell r="B10">
            <v>2013</v>
          </cell>
          <cell r="C10" t="str">
            <v>March</v>
          </cell>
          <cell r="F10">
            <v>111.4</v>
          </cell>
          <cell r="G10">
            <v>109.7</v>
          </cell>
          <cell r="H10">
            <v>111.2</v>
          </cell>
          <cell r="I10">
            <v>105.1</v>
          </cell>
          <cell r="J10">
            <v>104.9</v>
          </cell>
          <cell r="K10">
            <v>105.3</v>
          </cell>
          <cell r="L10">
            <v>102.2</v>
          </cell>
          <cell r="M10">
            <v>105</v>
          </cell>
          <cell r="N10">
            <v>104.2</v>
          </cell>
          <cell r="O10">
            <v>103</v>
          </cell>
          <cell r="P10">
            <v>106.2</v>
          </cell>
          <cell r="Q10">
            <v>108.9</v>
          </cell>
          <cell r="R10">
            <v>106.9</v>
          </cell>
          <cell r="S10">
            <v>106.6</v>
          </cell>
          <cell r="T10">
            <v>107.4</v>
          </cell>
          <cell r="U10">
            <v>106.5</v>
          </cell>
          <cell r="V10">
            <v>107.3</v>
          </cell>
          <cell r="Z10">
            <v>104.9</v>
          </cell>
          <cell r="AA10">
            <v>105.1</v>
          </cell>
          <cell r="AB10">
            <v>103.7</v>
          </cell>
          <cell r="AC10">
            <v>104</v>
          </cell>
          <cell r="AD10">
            <v>104.3</v>
          </cell>
          <cell r="AE10">
            <v>104.7</v>
          </cell>
          <cell r="AF10">
            <v>105.5</v>
          </cell>
        </row>
        <row r="11">
          <cell r="A11" t="str">
            <v>Rural</v>
          </cell>
          <cell r="B11">
            <v>2013</v>
          </cell>
          <cell r="C11" t="str">
            <v>April</v>
          </cell>
          <cell r="F11">
            <v>110.2</v>
          </cell>
          <cell r="G11">
            <v>109.5</v>
          </cell>
          <cell r="H11">
            <v>106.9</v>
          </cell>
          <cell r="I11">
            <v>106.3</v>
          </cell>
          <cell r="J11">
            <v>105.7</v>
          </cell>
          <cell r="K11">
            <v>108.3</v>
          </cell>
          <cell r="L11">
            <v>103.4</v>
          </cell>
          <cell r="M11">
            <v>105.7</v>
          </cell>
          <cell r="N11">
            <v>104.2</v>
          </cell>
          <cell r="O11">
            <v>103.2</v>
          </cell>
          <cell r="P11">
            <v>106.5</v>
          </cell>
          <cell r="Q11">
            <v>108.8</v>
          </cell>
          <cell r="R11">
            <v>107.1</v>
          </cell>
          <cell r="S11">
            <v>107.1</v>
          </cell>
          <cell r="T11">
            <v>108.1</v>
          </cell>
          <cell r="U11">
            <v>107.4</v>
          </cell>
          <cell r="V11">
            <v>108</v>
          </cell>
          <cell r="Z11">
            <v>105.1</v>
          </cell>
          <cell r="AA11">
            <v>104.4</v>
          </cell>
          <cell r="AB11">
            <v>104.5</v>
          </cell>
          <cell r="AC11">
            <v>104.8</v>
          </cell>
          <cell r="AD11">
            <v>102.7</v>
          </cell>
          <cell r="AE11">
            <v>104.6</v>
          </cell>
          <cell r="AF11">
            <v>106.4</v>
          </cell>
        </row>
        <row r="12">
          <cell r="A12" t="str">
            <v>Urban</v>
          </cell>
          <cell r="B12">
            <v>2013</v>
          </cell>
          <cell r="C12" t="str">
            <v>April</v>
          </cell>
          <cell r="F12">
            <v>114.6</v>
          </cell>
          <cell r="G12">
            <v>113.4</v>
          </cell>
          <cell r="H12">
            <v>106</v>
          </cell>
          <cell r="I12">
            <v>104.7</v>
          </cell>
          <cell r="J12">
            <v>102.1</v>
          </cell>
          <cell r="K12">
            <v>109.5</v>
          </cell>
          <cell r="L12">
            <v>109.7</v>
          </cell>
          <cell r="M12">
            <v>104.6</v>
          </cell>
          <cell r="N12">
            <v>102</v>
          </cell>
          <cell r="O12">
            <v>103.5</v>
          </cell>
          <cell r="P12">
            <v>108.2</v>
          </cell>
          <cell r="Q12">
            <v>110.6</v>
          </cell>
          <cell r="R12">
            <v>108.8</v>
          </cell>
          <cell r="S12">
            <v>108.5</v>
          </cell>
          <cell r="T12">
            <v>107.9</v>
          </cell>
          <cell r="U12">
            <v>106.4</v>
          </cell>
          <cell r="V12">
            <v>107.7</v>
          </cell>
          <cell r="Z12">
            <v>105.7</v>
          </cell>
          <cell r="AA12">
            <v>105</v>
          </cell>
          <cell r="AB12">
            <v>104</v>
          </cell>
          <cell r="AC12">
            <v>105.2</v>
          </cell>
          <cell r="AD12">
            <v>103.2</v>
          </cell>
          <cell r="AE12">
            <v>105.1</v>
          </cell>
          <cell r="AF12">
            <v>105.7</v>
          </cell>
        </row>
        <row r="13">
          <cell r="A13" t="str">
            <v>Rural+Urban</v>
          </cell>
          <cell r="B13">
            <v>2013</v>
          </cell>
          <cell r="C13" t="str">
            <v>April</v>
          </cell>
          <cell r="F13">
            <v>111.6</v>
          </cell>
          <cell r="G13">
            <v>110.9</v>
          </cell>
          <cell r="H13">
            <v>106.6</v>
          </cell>
          <cell r="I13">
            <v>105.7</v>
          </cell>
          <cell r="J13">
            <v>104.4</v>
          </cell>
          <cell r="K13">
            <v>108.9</v>
          </cell>
          <cell r="L13">
            <v>105.5</v>
          </cell>
          <cell r="M13">
            <v>105.3</v>
          </cell>
          <cell r="N13">
            <v>103.5</v>
          </cell>
          <cell r="O13">
            <v>103.3</v>
          </cell>
          <cell r="P13">
            <v>107.2</v>
          </cell>
          <cell r="Q13">
            <v>109.6</v>
          </cell>
          <cell r="R13">
            <v>107.7</v>
          </cell>
          <cell r="S13">
            <v>107.5</v>
          </cell>
          <cell r="T13">
            <v>108</v>
          </cell>
          <cell r="U13">
            <v>107</v>
          </cell>
          <cell r="V13">
            <v>107.9</v>
          </cell>
          <cell r="Z13">
            <v>105.3</v>
          </cell>
          <cell r="AA13">
            <v>104.7</v>
          </cell>
          <cell r="AB13">
            <v>104.2</v>
          </cell>
          <cell r="AC13">
            <v>105</v>
          </cell>
          <cell r="AD13">
            <v>102.9</v>
          </cell>
          <cell r="AE13">
            <v>104.8</v>
          </cell>
          <cell r="AF13">
            <v>106.1</v>
          </cell>
        </row>
        <row r="14">
          <cell r="A14" t="str">
            <v>Rural</v>
          </cell>
          <cell r="B14">
            <v>2013</v>
          </cell>
          <cell r="C14" t="str">
            <v>May</v>
          </cell>
          <cell r="F14">
            <v>110.9</v>
          </cell>
          <cell r="G14">
            <v>109.8</v>
          </cell>
          <cell r="H14">
            <v>105.9</v>
          </cell>
          <cell r="I14">
            <v>107.5</v>
          </cell>
          <cell r="J14">
            <v>105.3</v>
          </cell>
          <cell r="K14">
            <v>108.1</v>
          </cell>
          <cell r="L14">
            <v>107.3</v>
          </cell>
          <cell r="M14">
            <v>106.1</v>
          </cell>
          <cell r="N14">
            <v>103.7</v>
          </cell>
          <cell r="O14">
            <v>104</v>
          </cell>
          <cell r="P14">
            <v>107.4</v>
          </cell>
          <cell r="Q14">
            <v>109.9</v>
          </cell>
          <cell r="R14">
            <v>108.1</v>
          </cell>
          <cell r="S14">
            <v>108.1</v>
          </cell>
          <cell r="T14">
            <v>108.8</v>
          </cell>
          <cell r="U14">
            <v>107.9</v>
          </cell>
          <cell r="V14">
            <v>108.6</v>
          </cell>
          <cell r="Z14">
            <v>105.7</v>
          </cell>
          <cell r="AA14">
            <v>104.1</v>
          </cell>
          <cell r="AB14">
            <v>105</v>
          </cell>
          <cell r="AC14">
            <v>105.5</v>
          </cell>
          <cell r="AD14">
            <v>102.1</v>
          </cell>
          <cell r="AE14">
            <v>104.8</v>
          </cell>
          <cell r="AF14">
            <v>107.2</v>
          </cell>
        </row>
        <row r="15">
          <cell r="A15" t="str">
            <v>Urban</v>
          </cell>
          <cell r="B15">
            <v>2013</v>
          </cell>
          <cell r="C15" t="str">
            <v>May</v>
          </cell>
          <cell r="F15">
            <v>115.4</v>
          </cell>
          <cell r="G15">
            <v>114.2</v>
          </cell>
          <cell r="H15">
            <v>102.7</v>
          </cell>
          <cell r="I15">
            <v>105.5</v>
          </cell>
          <cell r="J15">
            <v>101.5</v>
          </cell>
          <cell r="K15">
            <v>110.6</v>
          </cell>
          <cell r="L15">
            <v>123.7</v>
          </cell>
          <cell r="M15">
            <v>105.2</v>
          </cell>
          <cell r="N15">
            <v>101.9</v>
          </cell>
          <cell r="O15">
            <v>105</v>
          </cell>
          <cell r="P15">
            <v>109.1</v>
          </cell>
          <cell r="Q15">
            <v>111.3</v>
          </cell>
          <cell r="R15">
            <v>111.1</v>
          </cell>
          <cell r="S15">
            <v>109.8</v>
          </cell>
          <cell r="T15">
            <v>108.5</v>
          </cell>
          <cell r="U15">
            <v>106.7</v>
          </cell>
          <cell r="V15">
            <v>108.3</v>
          </cell>
          <cell r="Z15">
            <v>106.2</v>
          </cell>
          <cell r="AA15">
            <v>103.9</v>
          </cell>
          <cell r="AB15">
            <v>104.6</v>
          </cell>
          <cell r="AC15">
            <v>105.7</v>
          </cell>
          <cell r="AD15">
            <v>102.6</v>
          </cell>
          <cell r="AE15">
            <v>104.9</v>
          </cell>
          <cell r="AF15">
            <v>106.6</v>
          </cell>
        </row>
        <row r="16">
          <cell r="A16" t="str">
            <v>Rural+Urban</v>
          </cell>
          <cell r="B16">
            <v>2013</v>
          </cell>
          <cell r="C16" t="str">
            <v>May</v>
          </cell>
          <cell r="F16">
            <v>112.3</v>
          </cell>
          <cell r="G16">
            <v>111.3</v>
          </cell>
          <cell r="H16">
            <v>104.7</v>
          </cell>
          <cell r="I16">
            <v>106.8</v>
          </cell>
          <cell r="J16">
            <v>103.9</v>
          </cell>
          <cell r="K16">
            <v>109.3</v>
          </cell>
          <cell r="L16">
            <v>112.9</v>
          </cell>
          <cell r="M16">
            <v>105.8</v>
          </cell>
          <cell r="N16">
            <v>103.1</v>
          </cell>
          <cell r="O16">
            <v>104.3</v>
          </cell>
          <cell r="P16">
            <v>108.1</v>
          </cell>
          <cell r="Q16">
            <v>110.5</v>
          </cell>
          <cell r="R16">
            <v>109.2</v>
          </cell>
          <cell r="S16">
            <v>108.6</v>
          </cell>
          <cell r="T16">
            <v>108.7</v>
          </cell>
          <cell r="U16">
            <v>107.4</v>
          </cell>
          <cell r="V16">
            <v>108.5</v>
          </cell>
          <cell r="Z16">
            <v>105.9</v>
          </cell>
          <cell r="AA16">
            <v>104</v>
          </cell>
          <cell r="AB16">
            <v>104.8</v>
          </cell>
          <cell r="AC16">
            <v>105.6</v>
          </cell>
          <cell r="AD16">
            <v>102.3</v>
          </cell>
          <cell r="AE16">
            <v>104.8</v>
          </cell>
          <cell r="AF16">
            <v>106.9</v>
          </cell>
        </row>
        <row r="17">
          <cell r="A17" t="str">
            <v>Rural</v>
          </cell>
          <cell r="B17">
            <v>2013</v>
          </cell>
          <cell r="C17" t="str">
            <v>June</v>
          </cell>
          <cell r="F17">
            <v>112.3</v>
          </cell>
          <cell r="G17">
            <v>112.1</v>
          </cell>
          <cell r="H17">
            <v>108.1</v>
          </cell>
          <cell r="I17">
            <v>108.3</v>
          </cell>
          <cell r="J17">
            <v>105.9</v>
          </cell>
          <cell r="K17">
            <v>109.2</v>
          </cell>
          <cell r="L17">
            <v>118</v>
          </cell>
          <cell r="M17">
            <v>106.8</v>
          </cell>
          <cell r="N17">
            <v>104.1</v>
          </cell>
          <cell r="O17">
            <v>105.4</v>
          </cell>
          <cell r="P17">
            <v>108.2</v>
          </cell>
          <cell r="Q17">
            <v>111</v>
          </cell>
          <cell r="R17">
            <v>110.6</v>
          </cell>
          <cell r="S17">
            <v>109</v>
          </cell>
          <cell r="T17">
            <v>109.7</v>
          </cell>
          <cell r="U17">
            <v>108.8</v>
          </cell>
          <cell r="V17">
            <v>109.5</v>
          </cell>
          <cell r="Z17">
            <v>106.3</v>
          </cell>
          <cell r="AA17">
            <v>105</v>
          </cell>
          <cell r="AB17">
            <v>105.6</v>
          </cell>
          <cell r="AC17">
            <v>106.5</v>
          </cell>
          <cell r="AD17">
            <v>102.5</v>
          </cell>
          <cell r="AE17">
            <v>105.5</v>
          </cell>
          <cell r="AF17">
            <v>108.9</v>
          </cell>
        </row>
        <row r="18">
          <cell r="A18" t="str">
            <v>Urban</v>
          </cell>
          <cell r="B18">
            <v>2013</v>
          </cell>
          <cell r="C18" t="str">
            <v>June</v>
          </cell>
          <cell r="F18">
            <v>117</v>
          </cell>
          <cell r="G18">
            <v>120.1</v>
          </cell>
          <cell r="H18">
            <v>112.5</v>
          </cell>
          <cell r="I18">
            <v>107.3</v>
          </cell>
          <cell r="J18">
            <v>101.3</v>
          </cell>
          <cell r="K18">
            <v>112.4</v>
          </cell>
          <cell r="L18">
            <v>143.6</v>
          </cell>
          <cell r="M18">
            <v>105.4</v>
          </cell>
          <cell r="N18">
            <v>101.4</v>
          </cell>
          <cell r="O18">
            <v>106.4</v>
          </cell>
          <cell r="P18">
            <v>110</v>
          </cell>
          <cell r="Q18">
            <v>112.2</v>
          </cell>
          <cell r="R18">
            <v>115</v>
          </cell>
          <cell r="S18">
            <v>110.9</v>
          </cell>
          <cell r="T18">
            <v>109.2</v>
          </cell>
          <cell r="U18">
            <v>107.2</v>
          </cell>
          <cell r="V18">
            <v>108.9</v>
          </cell>
          <cell r="Z18">
            <v>106.5</v>
          </cell>
          <cell r="AA18">
            <v>105.2</v>
          </cell>
          <cell r="AB18">
            <v>105.2</v>
          </cell>
          <cell r="AC18">
            <v>108.1</v>
          </cell>
          <cell r="AD18">
            <v>103.3</v>
          </cell>
          <cell r="AE18">
            <v>106.1</v>
          </cell>
          <cell r="AF18">
            <v>109.7</v>
          </cell>
        </row>
        <row r="19">
          <cell r="A19" t="str">
            <v>Rural+Urban</v>
          </cell>
          <cell r="B19">
            <v>2013</v>
          </cell>
          <cell r="C19" t="str">
            <v>June</v>
          </cell>
          <cell r="F19">
            <v>113.8</v>
          </cell>
          <cell r="G19">
            <v>114.9</v>
          </cell>
          <cell r="H19">
            <v>109.8</v>
          </cell>
          <cell r="I19">
            <v>107.9</v>
          </cell>
          <cell r="J19">
            <v>104.2</v>
          </cell>
          <cell r="K19">
            <v>110.7</v>
          </cell>
          <cell r="L19">
            <v>126.7</v>
          </cell>
          <cell r="M19">
            <v>106.3</v>
          </cell>
          <cell r="N19">
            <v>103.2</v>
          </cell>
          <cell r="O19">
            <v>105.7</v>
          </cell>
          <cell r="P19">
            <v>109</v>
          </cell>
          <cell r="Q19">
            <v>111.6</v>
          </cell>
          <cell r="R19">
            <v>112.2</v>
          </cell>
          <cell r="S19">
            <v>109.5</v>
          </cell>
          <cell r="T19">
            <v>109.5</v>
          </cell>
          <cell r="U19">
            <v>108.1</v>
          </cell>
          <cell r="V19">
            <v>109.3</v>
          </cell>
          <cell r="Z19">
            <v>106.4</v>
          </cell>
          <cell r="AA19">
            <v>105.1</v>
          </cell>
          <cell r="AB19">
            <v>105.4</v>
          </cell>
          <cell r="AC19">
            <v>107.4</v>
          </cell>
          <cell r="AD19">
            <v>102.8</v>
          </cell>
          <cell r="AE19">
            <v>105.8</v>
          </cell>
          <cell r="AF19">
            <v>109.3</v>
          </cell>
        </row>
        <row r="20">
          <cell r="A20" t="str">
            <v>Rural</v>
          </cell>
          <cell r="B20">
            <v>2013</v>
          </cell>
          <cell r="C20" t="str">
            <v>July</v>
          </cell>
          <cell r="F20">
            <v>113.4</v>
          </cell>
          <cell r="G20">
            <v>114.9</v>
          </cell>
          <cell r="H20">
            <v>110.5</v>
          </cell>
          <cell r="I20">
            <v>109.3</v>
          </cell>
          <cell r="J20">
            <v>106.2</v>
          </cell>
          <cell r="K20">
            <v>110.3</v>
          </cell>
          <cell r="L20">
            <v>129.19999999999999</v>
          </cell>
          <cell r="M20">
            <v>107.1</v>
          </cell>
          <cell r="N20">
            <v>104.3</v>
          </cell>
          <cell r="O20">
            <v>106.4</v>
          </cell>
          <cell r="P20">
            <v>109.1</v>
          </cell>
          <cell r="Q20">
            <v>112.1</v>
          </cell>
          <cell r="R20">
            <v>113.1</v>
          </cell>
          <cell r="S20">
            <v>109.8</v>
          </cell>
          <cell r="T20">
            <v>110.5</v>
          </cell>
          <cell r="U20">
            <v>109.5</v>
          </cell>
          <cell r="V20">
            <v>110.3</v>
          </cell>
          <cell r="Z20">
            <v>106.9</v>
          </cell>
          <cell r="AA20">
            <v>106.8</v>
          </cell>
          <cell r="AB20">
            <v>106.4</v>
          </cell>
          <cell r="AC20">
            <v>107.8</v>
          </cell>
          <cell r="AD20">
            <v>102.5</v>
          </cell>
          <cell r="AE20">
            <v>106.5</v>
          </cell>
          <cell r="AF20">
            <v>110.7</v>
          </cell>
        </row>
        <row r="21">
          <cell r="A21" t="str">
            <v>Urban</v>
          </cell>
          <cell r="B21">
            <v>2013</v>
          </cell>
          <cell r="C21" t="str">
            <v>July</v>
          </cell>
          <cell r="F21">
            <v>117.8</v>
          </cell>
          <cell r="G21">
            <v>119.2</v>
          </cell>
          <cell r="H21">
            <v>114</v>
          </cell>
          <cell r="I21">
            <v>108.3</v>
          </cell>
          <cell r="J21">
            <v>101.1</v>
          </cell>
          <cell r="K21">
            <v>113.2</v>
          </cell>
          <cell r="L21">
            <v>160.9</v>
          </cell>
          <cell r="M21">
            <v>105.1</v>
          </cell>
          <cell r="N21">
            <v>101.3</v>
          </cell>
          <cell r="O21">
            <v>107.5</v>
          </cell>
          <cell r="P21">
            <v>110.4</v>
          </cell>
          <cell r="Q21">
            <v>113.1</v>
          </cell>
          <cell r="R21">
            <v>117.5</v>
          </cell>
          <cell r="S21">
            <v>111.7</v>
          </cell>
          <cell r="T21">
            <v>109.8</v>
          </cell>
          <cell r="U21">
            <v>107.8</v>
          </cell>
          <cell r="V21">
            <v>109.5</v>
          </cell>
          <cell r="Z21">
            <v>107.1</v>
          </cell>
          <cell r="AA21">
            <v>107.3</v>
          </cell>
          <cell r="AB21">
            <v>105.9</v>
          </cell>
          <cell r="AC21">
            <v>110.1</v>
          </cell>
          <cell r="AD21">
            <v>103.2</v>
          </cell>
          <cell r="AE21">
            <v>107.3</v>
          </cell>
          <cell r="AF21">
            <v>111.4</v>
          </cell>
        </row>
        <row r="22">
          <cell r="A22" t="str">
            <v>Rural+Urban</v>
          </cell>
          <cell r="B22">
            <v>2013</v>
          </cell>
          <cell r="C22" t="str">
            <v>July</v>
          </cell>
          <cell r="F22">
            <v>114.8</v>
          </cell>
          <cell r="G22">
            <v>116.4</v>
          </cell>
          <cell r="H22">
            <v>111.9</v>
          </cell>
          <cell r="I22">
            <v>108.9</v>
          </cell>
          <cell r="J22">
            <v>104.3</v>
          </cell>
          <cell r="K22">
            <v>111.7</v>
          </cell>
          <cell r="L22">
            <v>140</v>
          </cell>
          <cell r="M22">
            <v>106.4</v>
          </cell>
          <cell r="N22">
            <v>103.3</v>
          </cell>
          <cell r="O22">
            <v>106.8</v>
          </cell>
          <cell r="P22">
            <v>109.6</v>
          </cell>
          <cell r="Q22">
            <v>112.6</v>
          </cell>
          <cell r="R22">
            <v>114.7</v>
          </cell>
          <cell r="S22">
            <v>110.3</v>
          </cell>
          <cell r="T22">
            <v>110.2</v>
          </cell>
          <cell r="U22">
            <v>108.8</v>
          </cell>
          <cell r="V22">
            <v>110</v>
          </cell>
          <cell r="Z22">
            <v>107</v>
          </cell>
          <cell r="AA22">
            <v>107.1</v>
          </cell>
          <cell r="AB22">
            <v>106.1</v>
          </cell>
          <cell r="AC22">
            <v>109.1</v>
          </cell>
          <cell r="AD22">
            <v>102.8</v>
          </cell>
          <cell r="AE22">
            <v>106.9</v>
          </cell>
          <cell r="AF22">
            <v>111</v>
          </cell>
        </row>
        <row r="23">
          <cell r="A23" t="str">
            <v>Rural</v>
          </cell>
          <cell r="B23">
            <v>2013</v>
          </cell>
          <cell r="C23" t="str">
            <v>August</v>
          </cell>
          <cell r="F23">
            <v>114.3</v>
          </cell>
          <cell r="G23">
            <v>115.4</v>
          </cell>
          <cell r="H23">
            <v>111.1</v>
          </cell>
          <cell r="I23">
            <v>110</v>
          </cell>
          <cell r="J23">
            <v>106.4</v>
          </cell>
          <cell r="K23">
            <v>110.8</v>
          </cell>
          <cell r="L23">
            <v>138.9</v>
          </cell>
          <cell r="M23">
            <v>107.4</v>
          </cell>
          <cell r="N23">
            <v>104.1</v>
          </cell>
          <cell r="O23">
            <v>106.9</v>
          </cell>
          <cell r="P23">
            <v>109.7</v>
          </cell>
          <cell r="Q23">
            <v>112.6</v>
          </cell>
          <cell r="R23">
            <v>114.9</v>
          </cell>
          <cell r="S23">
            <v>110.7</v>
          </cell>
          <cell r="T23">
            <v>111.3</v>
          </cell>
          <cell r="U23">
            <v>110.2</v>
          </cell>
          <cell r="V23">
            <v>111.1</v>
          </cell>
          <cell r="Z23">
            <v>107.5</v>
          </cell>
          <cell r="AA23">
            <v>107.8</v>
          </cell>
          <cell r="AB23">
            <v>106.8</v>
          </cell>
          <cell r="AC23">
            <v>108.7</v>
          </cell>
          <cell r="AD23">
            <v>105</v>
          </cell>
          <cell r="AE23">
            <v>107.5</v>
          </cell>
          <cell r="AF23">
            <v>112.1</v>
          </cell>
        </row>
        <row r="24">
          <cell r="A24" t="str">
            <v>Urban</v>
          </cell>
          <cell r="B24">
            <v>2013</v>
          </cell>
          <cell r="C24" t="str">
            <v>August</v>
          </cell>
          <cell r="F24">
            <v>118.3</v>
          </cell>
          <cell r="G24">
            <v>120.4</v>
          </cell>
          <cell r="H24">
            <v>112.7</v>
          </cell>
          <cell r="I24">
            <v>108.9</v>
          </cell>
          <cell r="J24">
            <v>101.1</v>
          </cell>
          <cell r="K24">
            <v>108.7</v>
          </cell>
          <cell r="L24">
            <v>177</v>
          </cell>
          <cell r="M24">
            <v>104.7</v>
          </cell>
          <cell r="N24">
            <v>101</v>
          </cell>
          <cell r="O24">
            <v>108.5</v>
          </cell>
          <cell r="P24">
            <v>110.9</v>
          </cell>
          <cell r="Q24">
            <v>114.3</v>
          </cell>
          <cell r="R24">
            <v>119.6</v>
          </cell>
          <cell r="S24">
            <v>112.4</v>
          </cell>
          <cell r="T24">
            <v>110.6</v>
          </cell>
          <cell r="U24">
            <v>108.3</v>
          </cell>
          <cell r="V24">
            <v>110.2</v>
          </cell>
          <cell r="Z24">
            <v>107.6</v>
          </cell>
          <cell r="AA24">
            <v>108.1</v>
          </cell>
          <cell r="AB24">
            <v>106.5</v>
          </cell>
          <cell r="AC24">
            <v>110.8</v>
          </cell>
          <cell r="AD24">
            <v>106</v>
          </cell>
          <cell r="AE24">
            <v>108.3</v>
          </cell>
          <cell r="AF24">
            <v>112.7</v>
          </cell>
        </row>
        <row r="25">
          <cell r="A25" t="str">
            <v>Rural+Urban</v>
          </cell>
          <cell r="B25">
            <v>2013</v>
          </cell>
          <cell r="C25" t="str">
            <v>August</v>
          </cell>
          <cell r="F25">
            <v>115.6</v>
          </cell>
          <cell r="G25">
            <v>117.2</v>
          </cell>
          <cell r="H25">
            <v>111.7</v>
          </cell>
          <cell r="I25">
            <v>109.6</v>
          </cell>
          <cell r="J25">
            <v>104.5</v>
          </cell>
          <cell r="K25">
            <v>109.8</v>
          </cell>
          <cell r="L25">
            <v>151.80000000000001</v>
          </cell>
          <cell r="M25">
            <v>106.5</v>
          </cell>
          <cell r="N25">
            <v>103.1</v>
          </cell>
          <cell r="O25">
            <v>107.4</v>
          </cell>
          <cell r="P25">
            <v>110.2</v>
          </cell>
          <cell r="Q25">
            <v>113.4</v>
          </cell>
          <cell r="R25">
            <v>116.6</v>
          </cell>
          <cell r="S25">
            <v>111.2</v>
          </cell>
          <cell r="T25">
            <v>111</v>
          </cell>
          <cell r="U25">
            <v>109.4</v>
          </cell>
          <cell r="V25">
            <v>110.7</v>
          </cell>
          <cell r="Z25">
            <v>107.5</v>
          </cell>
          <cell r="AA25">
            <v>108</v>
          </cell>
          <cell r="AB25">
            <v>106.6</v>
          </cell>
          <cell r="AC25">
            <v>109.9</v>
          </cell>
          <cell r="AD25">
            <v>105.4</v>
          </cell>
          <cell r="AE25">
            <v>107.9</v>
          </cell>
          <cell r="AF25">
            <v>112.4</v>
          </cell>
        </row>
        <row r="26">
          <cell r="A26" t="str">
            <v>Rural</v>
          </cell>
          <cell r="B26">
            <v>2013</v>
          </cell>
          <cell r="C26" t="str">
            <v>September</v>
          </cell>
          <cell r="F26">
            <v>115.4</v>
          </cell>
          <cell r="G26">
            <v>115.7</v>
          </cell>
          <cell r="H26">
            <v>111.7</v>
          </cell>
          <cell r="I26">
            <v>111</v>
          </cell>
          <cell r="J26">
            <v>107.4</v>
          </cell>
          <cell r="K26">
            <v>110.9</v>
          </cell>
          <cell r="L26">
            <v>154</v>
          </cell>
          <cell r="M26">
            <v>108.1</v>
          </cell>
          <cell r="N26">
            <v>104.2</v>
          </cell>
          <cell r="O26">
            <v>107.9</v>
          </cell>
          <cell r="P26">
            <v>110.4</v>
          </cell>
          <cell r="Q26">
            <v>114</v>
          </cell>
          <cell r="R26">
            <v>117.8</v>
          </cell>
          <cell r="S26">
            <v>111.7</v>
          </cell>
          <cell r="T26">
            <v>112.7</v>
          </cell>
          <cell r="U26">
            <v>111.4</v>
          </cell>
          <cell r="V26">
            <v>112.5</v>
          </cell>
          <cell r="Z26">
            <v>108.3</v>
          </cell>
          <cell r="AA26">
            <v>109.3</v>
          </cell>
          <cell r="AB26">
            <v>107.7</v>
          </cell>
          <cell r="AC26">
            <v>109.8</v>
          </cell>
          <cell r="AD26">
            <v>106.7</v>
          </cell>
          <cell r="AE26">
            <v>108.7</v>
          </cell>
          <cell r="AF26">
            <v>114.2</v>
          </cell>
        </row>
        <row r="27">
          <cell r="A27" t="str">
            <v>Urban</v>
          </cell>
          <cell r="B27">
            <v>2013</v>
          </cell>
          <cell r="C27" t="str">
            <v>September</v>
          </cell>
          <cell r="F27">
            <v>118.6</v>
          </cell>
          <cell r="G27">
            <v>119.1</v>
          </cell>
          <cell r="H27">
            <v>113.2</v>
          </cell>
          <cell r="I27">
            <v>109.6</v>
          </cell>
          <cell r="J27">
            <v>101.7</v>
          </cell>
          <cell r="K27">
            <v>103.2</v>
          </cell>
          <cell r="L27">
            <v>174.3</v>
          </cell>
          <cell r="M27">
            <v>105.1</v>
          </cell>
          <cell r="N27">
            <v>100.8</v>
          </cell>
          <cell r="O27">
            <v>109.1</v>
          </cell>
          <cell r="P27">
            <v>111.1</v>
          </cell>
          <cell r="Q27">
            <v>115.4</v>
          </cell>
          <cell r="R27">
            <v>119.2</v>
          </cell>
          <cell r="S27">
            <v>112.9</v>
          </cell>
          <cell r="T27">
            <v>111.4</v>
          </cell>
          <cell r="U27">
            <v>109</v>
          </cell>
          <cell r="V27">
            <v>111.1</v>
          </cell>
          <cell r="Z27">
            <v>107.9</v>
          </cell>
          <cell r="AA27">
            <v>110.4</v>
          </cell>
          <cell r="AB27">
            <v>107.4</v>
          </cell>
          <cell r="AC27">
            <v>111.2</v>
          </cell>
          <cell r="AD27">
            <v>106.9</v>
          </cell>
          <cell r="AE27">
            <v>109.4</v>
          </cell>
          <cell r="AF27">
            <v>113.2</v>
          </cell>
        </row>
        <row r="28">
          <cell r="A28" t="str">
            <v>Rural+Urban</v>
          </cell>
          <cell r="B28">
            <v>2013</v>
          </cell>
          <cell r="C28" t="str">
            <v>September</v>
          </cell>
          <cell r="F28">
            <v>116.4</v>
          </cell>
          <cell r="G28">
            <v>116.9</v>
          </cell>
          <cell r="H28">
            <v>112.3</v>
          </cell>
          <cell r="I28">
            <v>110.5</v>
          </cell>
          <cell r="J28">
            <v>105.3</v>
          </cell>
          <cell r="K28">
            <v>107.3</v>
          </cell>
          <cell r="L28">
            <v>160.9</v>
          </cell>
          <cell r="M28">
            <v>107.1</v>
          </cell>
          <cell r="N28">
            <v>103.1</v>
          </cell>
          <cell r="O28">
            <v>108.3</v>
          </cell>
          <cell r="P28">
            <v>110.7</v>
          </cell>
          <cell r="Q28">
            <v>114.6</v>
          </cell>
          <cell r="R28">
            <v>118.3</v>
          </cell>
          <cell r="S28">
            <v>112</v>
          </cell>
          <cell r="T28">
            <v>112.2</v>
          </cell>
          <cell r="U28">
            <v>110.4</v>
          </cell>
          <cell r="V28">
            <v>111.9</v>
          </cell>
          <cell r="Z28">
            <v>108.1</v>
          </cell>
          <cell r="AA28">
            <v>109.9</v>
          </cell>
          <cell r="AB28">
            <v>107.5</v>
          </cell>
          <cell r="AC28">
            <v>110.6</v>
          </cell>
          <cell r="AD28">
            <v>106.8</v>
          </cell>
          <cell r="AE28">
            <v>109</v>
          </cell>
          <cell r="AF28">
            <v>113.7</v>
          </cell>
        </row>
        <row r="29">
          <cell r="A29" t="str">
            <v>Rural</v>
          </cell>
          <cell r="B29">
            <v>2013</v>
          </cell>
          <cell r="C29" t="str">
            <v>October</v>
          </cell>
          <cell r="F29">
            <v>116.3</v>
          </cell>
          <cell r="G29">
            <v>115.4</v>
          </cell>
          <cell r="H29">
            <v>112.6</v>
          </cell>
          <cell r="I29">
            <v>111.7</v>
          </cell>
          <cell r="J29">
            <v>107.7</v>
          </cell>
          <cell r="K29">
            <v>113.2</v>
          </cell>
          <cell r="L29">
            <v>164.9</v>
          </cell>
          <cell r="M29">
            <v>108.3</v>
          </cell>
          <cell r="N29">
            <v>103.9</v>
          </cell>
          <cell r="O29">
            <v>108.2</v>
          </cell>
          <cell r="P29">
            <v>111.1</v>
          </cell>
          <cell r="Q29">
            <v>114.9</v>
          </cell>
          <cell r="R29">
            <v>119.8</v>
          </cell>
          <cell r="S29">
            <v>112.2</v>
          </cell>
          <cell r="T29">
            <v>113.6</v>
          </cell>
          <cell r="U29">
            <v>112.3</v>
          </cell>
          <cell r="V29">
            <v>113.4</v>
          </cell>
          <cell r="Z29">
            <v>108.9</v>
          </cell>
          <cell r="AA29">
            <v>109.3</v>
          </cell>
          <cell r="AB29">
            <v>108.3</v>
          </cell>
          <cell r="AC29">
            <v>110.2</v>
          </cell>
          <cell r="AD29">
            <v>107.5</v>
          </cell>
          <cell r="AE29">
            <v>109.1</v>
          </cell>
          <cell r="AF29">
            <v>115.5</v>
          </cell>
        </row>
        <row r="30">
          <cell r="A30" t="str">
            <v>Urban</v>
          </cell>
          <cell r="B30">
            <v>2013</v>
          </cell>
          <cell r="C30" t="str">
            <v>October</v>
          </cell>
          <cell r="F30">
            <v>118.9</v>
          </cell>
          <cell r="G30">
            <v>118.1</v>
          </cell>
          <cell r="H30">
            <v>114.5</v>
          </cell>
          <cell r="I30">
            <v>110.4</v>
          </cell>
          <cell r="J30">
            <v>102.3</v>
          </cell>
          <cell r="K30">
            <v>106.2</v>
          </cell>
          <cell r="L30">
            <v>183.5</v>
          </cell>
          <cell r="M30">
            <v>105.3</v>
          </cell>
          <cell r="N30">
            <v>100.2</v>
          </cell>
          <cell r="O30">
            <v>109.6</v>
          </cell>
          <cell r="P30">
            <v>111.4</v>
          </cell>
          <cell r="Q30">
            <v>116</v>
          </cell>
          <cell r="R30">
            <v>120.8</v>
          </cell>
          <cell r="S30">
            <v>113.5</v>
          </cell>
          <cell r="T30">
            <v>112.5</v>
          </cell>
          <cell r="U30">
            <v>109.7</v>
          </cell>
          <cell r="V30">
            <v>112</v>
          </cell>
          <cell r="Z30">
            <v>108.2</v>
          </cell>
          <cell r="AA30">
            <v>109.7</v>
          </cell>
          <cell r="AB30">
            <v>108</v>
          </cell>
          <cell r="AC30">
            <v>111.3</v>
          </cell>
          <cell r="AD30">
            <v>107.3</v>
          </cell>
          <cell r="AE30">
            <v>109.4</v>
          </cell>
          <cell r="AF30">
            <v>114</v>
          </cell>
        </row>
        <row r="31">
          <cell r="A31" t="str">
            <v>Rural+Urban</v>
          </cell>
          <cell r="B31">
            <v>2013</v>
          </cell>
          <cell r="C31" t="str">
            <v>October</v>
          </cell>
          <cell r="F31">
            <v>117.1</v>
          </cell>
          <cell r="G31">
            <v>116.3</v>
          </cell>
          <cell r="H31">
            <v>113.3</v>
          </cell>
          <cell r="I31">
            <v>111.2</v>
          </cell>
          <cell r="J31">
            <v>105.7</v>
          </cell>
          <cell r="K31">
            <v>109.9</v>
          </cell>
          <cell r="L31">
            <v>171.2</v>
          </cell>
          <cell r="M31">
            <v>107.3</v>
          </cell>
          <cell r="N31">
            <v>102.7</v>
          </cell>
          <cell r="O31">
            <v>108.7</v>
          </cell>
          <cell r="P31">
            <v>111.2</v>
          </cell>
          <cell r="Q31">
            <v>115.4</v>
          </cell>
          <cell r="R31">
            <v>120.2</v>
          </cell>
          <cell r="S31">
            <v>112.5</v>
          </cell>
          <cell r="T31">
            <v>113.2</v>
          </cell>
          <cell r="U31">
            <v>111.2</v>
          </cell>
          <cell r="V31">
            <v>112.8</v>
          </cell>
          <cell r="Z31">
            <v>108.6</v>
          </cell>
          <cell r="AA31">
            <v>109.5</v>
          </cell>
          <cell r="AB31">
            <v>108.1</v>
          </cell>
          <cell r="AC31">
            <v>110.8</v>
          </cell>
          <cell r="AD31">
            <v>107.4</v>
          </cell>
          <cell r="AE31">
            <v>109.2</v>
          </cell>
          <cell r="AF31">
            <v>114.8</v>
          </cell>
        </row>
        <row r="32">
          <cell r="A32" t="str">
            <v>Rural</v>
          </cell>
          <cell r="B32">
            <v>2013</v>
          </cell>
          <cell r="C32" t="str">
            <v xml:space="preserve">November </v>
          </cell>
          <cell r="F32">
            <v>117.3</v>
          </cell>
          <cell r="G32">
            <v>114.9</v>
          </cell>
          <cell r="H32">
            <v>116.2</v>
          </cell>
          <cell r="I32">
            <v>112.8</v>
          </cell>
          <cell r="J32">
            <v>108.9</v>
          </cell>
          <cell r="K32">
            <v>116.6</v>
          </cell>
          <cell r="L32">
            <v>178.1</v>
          </cell>
          <cell r="M32">
            <v>109.1</v>
          </cell>
          <cell r="N32">
            <v>103.6</v>
          </cell>
          <cell r="O32">
            <v>109</v>
          </cell>
          <cell r="P32">
            <v>111.8</v>
          </cell>
          <cell r="Q32">
            <v>116</v>
          </cell>
          <cell r="R32">
            <v>122.5</v>
          </cell>
          <cell r="S32">
            <v>112.8</v>
          </cell>
          <cell r="T32">
            <v>114.6</v>
          </cell>
          <cell r="U32">
            <v>113.1</v>
          </cell>
          <cell r="V32">
            <v>114.4</v>
          </cell>
          <cell r="Z32">
            <v>109.7</v>
          </cell>
          <cell r="AA32">
            <v>109.6</v>
          </cell>
          <cell r="AB32">
            <v>108.7</v>
          </cell>
          <cell r="AC32">
            <v>111</v>
          </cell>
          <cell r="AD32">
            <v>108.2</v>
          </cell>
          <cell r="AE32">
            <v>109.8</v>
          </cell>
          <cell r="AF32">
            <v>117.4</v>
          </cell>
        </row>
        <row r="33">
          <cell r="A33" t="str">
            <v>Urban</v>
          </cell>
          <cell r="B33">
            <v>2013</v>
          </cell>
          <cell r="C33" t="str">
            <v>November</v>
          </cell>
          <cell r="F33">
            <v>119.8</v>
          </cell>
          <cell r="G33">
            <v>116.3</v>
          </cell>
          <cell r="H33">
            <v>122.6</v>
          </cell>
          <cell r="I33">
            <v>112</v>
          </cell>
          <cell r="J33">
            <v>103.2</v>
          </cell>
          <cell r="K33">
            <v>110</v>
          </cell>
          <cell r="L33">
            <v>192.8</v>
          </cell>
          <cell r="M33">
            <v>106.3</v>
          </cell>
          <cell r="N33">
            <v>99.5</v>
          </cell>
          <cell r="O33">
            <v>110.3</v>
          </cell>
          <cell r="P33">
            <v>111.8</v>
          </cell>
          <cell r="Q33">
            <v>117.1</v>
          </cell>
          <cell r="R33">
            <v>122.9</v>
          </cell>
          <cell r="S33">
            <v>114.1</v>
          </cell>
          <cell r="T33">
            <v>113.5</v>
          </cell>
          <cell r="U33">
            <v>110.3</v>
          </cell>
          <cell r="V33">
            <v>113</v>
          </cell>
          <cell r="Z33">
            <v>108.6</v>
          </cell>
          <cell r="AA33">
            <v>109.5</v>
          </cell>
          <cell r="AB33">
            <v>108.5</v>
          </cell>
          <cell r="AC33">
            <v>111.3</v>
          </cell>
          <cell r="AD33">
            <v>107.9</v>
          </cell>
          <cell r="AE33">
            <v>109.6</v>
          </cell>
          <cell r="AF33">
            <v>115</v>
          </cell>
        </row>
        <row r="34">
          <cell r="A34" t="str">
            <v>Rural+Urban</v>
          </cell>
          <cell r="B34">
            <v>2013</v>
          </cell>
          <cell r="C34" t="str">
            <v>November</v>
          </cell>
          <cell r="F34">
            <v>118.1</v>
          </cell>
          <cell r="G34">
            <v>115.4</v>
          </cell>
          <cell r="H34">
            <v>118.7</v>
          </cell>
          <cell r="I34">
            <v>112.5</v>
          </cell>
          <cell r="J34">
            <v>106.8</v>
          </cell>
          <cell r="K34">
            <v>113.5</v>
          </cell>
          <cell r="L34">
            <v>183.1</v>
          </cell>
          <cell r="M34">
            <v>108.2</v>
          </cell>
          <cell r="N34">
            <v>102.2</v>
          </cell>
          <cell r="O34">
            <v>109.4</v>
          </cell>
          <cell r="P34">
            <v>111.8</v>
          </cell>
          <cell r="Q34">
            <v>116.5</v>
          </cell>
          <cell r="R34">
            <v>122.6</v>
          </cell>
          <cell r="S34">
            <v>113.1</v>
          </cell>
          <cell r="T34">
            <v>114.2</v>
          </cell>
          <cell r="U34">
            <v>111.9</v>
          </cell>
          <cell r="V34">
            <v>113.8</v>
          </cell>
          <cell r="Z34">
            <v>109.3</v>
          </cell>
          <cell r="AA34">
            <v>109.5</v>
          </cell>
          <cell r="AB34">
            <v>108.6</v>
          </cell>
          <cell r="AC34">
            <v>111.2</v>
          </cell>
          <cell r="AD34">
            <v>108.1</v>
          </cell>
          <cell r="AE34">
            <v>109.7</v>
          </cell>
          <cell r="AF34">
            <v>116.3</v>
          </cell>
        </row>
        <row r="35">
          <cell r="A35" t="str">
            <v>Rural</v>
          </cell>
          <cell r="B35">
            <v>2013</v>
          </cell>
          <cell r="C35" t="str">
            <v>December</v>
          </cell>
          <cell r="F35">
            <v>118.4</v>
          </cell>
          <cell r="G35">
            <v>115.9</v>
          </cell>
          <cell r="H35">
            <v>120.4</v>
          </cell>
          <cell r="I35">
            <v>113.8</v>
          </cell>
          <cell r="J35">
            <v>109.5</v>
          </cell>
          <cell r="K35">
            <v>115.5</v>
          </cell>
          <cell r="L35">
            <v>145.69999999999999</v>
          </cell>
          <cell r="M35">
            <v>109.5</v>
          </cell>
          <cell r="N35">
            <v>102.9</v>
          </cell>
          <cell r="O35">
            <v>109.8</v>
          </cell>
          <cell r="P35">
            <v>112.1</v>
          </cell>
          <cell r="Q35">
            <v>116.8</v>
          </cell>
          <cell r="R35">
            <v>118.7</v>
          </cell>
          <cell r="S35">
            <v>113.6</v>
          </cell>
          <cell r="T35">
            <v>115.8</v>
          </cell>
          <cell r="U35">
            <v>114</v>
          </cell>
          <cell r="V35">
            <v>115.5</v>
          </cell>
          <cell r="Z35">
            <v>110.1</v>
          </cell>
          <cell r="AA35">
            <v>109.9</v>
          </cell>
          <cell r="AB35">
            <v>109.2</v>
          </cell>
          <cell r="AC35">
            <v>111.6</v>
          </cell>
          <cell r="AD35">
            <v>108.1</v>
          </cell>
          <cell r="AE35">
            <v>110.1</v>
          </cell>
          <cell r="AF35">
            <v>115.5</v>
          </cell>
        </row>
        <row r="36">
          <cell r="A36" t="str">
            <v>Urban</v>
          </cell>
          <cell r="B36">
            <v>2013</v>
          </cell>
          <cell r="C36" t="str">
            <v>December</v>
          </cell>
          <cell r="F36">
            <v>120.5</v>
          </cell>
          <cell r="G36">
            <v>118.1</v>
          </cell>
          <cell r="H36">
            <v>128.5</v>
          </cell>
          <cell r="I36">
            <v>112.8</v>
          </cell>
          <cell r="J36">
            <v>103.4</v>
          </cell>
          <cell r="K36">
            <v>110.7</v>
          </cell>
          <cell r="L36">
            <v>144.80000000000001</v>
          </cell>
          <cell r="M36">
            <v>107.1</v>
          </cell>
          <cell r="N36">
            <v>98.6</v>
          </cell>
          <cell r="O36">
            <v>111.9</v>
          </cell>
          <cell r="P36">
            <v>112.1</v>
          </cell>
          <cell r="Q36">
            <v>118.1</v>
          </cell>
          <cell r="R36">
            <v>117.8</v>
          </cell>
          <cell r="S36">
            <v>115</v>
          </cell>
          <cell r="T36">
            <v>114.2</v>
          </cell>
          <cell r="U36">
            <v>110.9</v>
          </cell>
          <cell r="V36">
            <v>113.7</v>
          </cell>
          <cell r="Z36">
            <v>109</v>
          </cell>
          <cell r="AA36">
            <v>109.7</v>
          </cell>
          <cell r="AB36">
            <v>108.9</v>
          </cell>
          <cell r="AC36">
            <v>111.4</v>
          </cell>
          <cell r="AD36">
            <v>107.7</v>
          </cell>
          <cell r="AE36">
            <v>109.8</v>
          </cell>
          <cell r="AF36">
            <v>113.3</v>
          </cell>
        </row>
        <row r="37">
          <cell r="A37" t="str">
            <v>Rural+Urban</v>
          </cell>
          <cell r="B37">
            <v>2013</v>
          </cell>
          <cell r="C37" t="str">
            <v>December</v>
          </cell>
          <cell r="F37">
            <v>119.1</v>
          </cell>
          <cell r="G37">
            <v>116.7</v>
          </cell>
          <cell r="H37">
            <v>123.5</v>
          </cell>
          <cell r="I37">
            <v>113.4</v>
          </cell>
          <cell r="J37">
            <v>107.3</v>
          </cell>
          <cell r="K37">
            <v>113.3</v>
          </cell>
          <cell r="L37">
            <v>145.4</v>
          </cell>
          <cell r="M37">
            <v>108.7</v>
          </cell>
          <cell r="N37">
            <v>101.5</v>
          </cell>
          <cell r="O37">
            <v>110.5</v>
          </cell>
          <cell r="P37">
            <v>112.1</v>
          </cell>
          <cell r="Q37">
            <v>117.4</v>
          </cell>
          <cell r="R37">
            <v>118.4</v>
          </cell>
          <cell r="S37">
            <v>114</v>
          </cell>
          <cell r="T37">
            <v>115.2</v>
          </cell>
          <cell r="U37">
            <v>112.7</v>
          </cell>
          <cell r="V37">
            <v>114.8</v>
          </cell>
          <cell r="Z37">
            <v>109.7</v>
          </cell>
          <cell r="AA37">
            <v>109.8</v>
          </cell>
          <cell r="AB37">
            <v>109</v>
          </cell>
          <cell r="AC37">
            <v>111.5</v>
          </cell>
          <cell r="AD37">
            <v>107.9</v>
          </cell>
          <cell r="AE37">
            <v>110</v>
          </cell>
          <cell r="AF37">
            <v>114.5</v>
          </cell>
        </row>
        <row r="38">
          <cell r="A38" t="str">
            <v>Rural</v>
          </cell>
          <cell r="B38">
            <v>2014</v>
          </cell>
          <cell r="C38" t="str">
            <v>January</v>
          </cell>
          <cell r="F38">
            <v>118.9</v>
          </cell>
          <cell r="G38">
            <v>117.1</v>
          </cell>
          <cell r="H38">
            <v>120.5</v>
          </cell>
          <cell r="I38">
            <v>114.4</v>
          </cell>
          <cell r="J38">
            <v>109</v>
          </cell>
          <cell r="K38">
            <v>115.5</v>
          </cell>
          <cell r="L38">
            <v>123.9</v>
          </cell>
          <cell r="M38">
            <v>109.6</v>
          </cell>
          <cell r="N38">
            <v>101.8</v>
          </cell>
          <cell r="O38">
            <v>110.2</v>
          </cell>
          <cell r="P38">
            <v>112.4</v>
          </cell>
          <cell r="Q38">
            <v>117.3</v>
          </cell>
          <cell r="R38">
            <v>116</v>
          </cell>
          <cell r="S38">
            <v>114</v>
          </cell>
          <cell r="T38">
            <v>116.5</v>
          </cell>
          <cell r="U38">
            <v>114.5</v>
          </cell>
          <cell r="V38">
            <v>116.2</v>
          </cell>
          <cell r="Z38">
            <v>110.6</v>
          </cell>
          <cell r="AA38">
            <v>110.5</v>
          </cell>
          <cell r="AB38">
            <v>109.6</v>
          </cell>
          <cell r="AC38">
            <v>111.8</v>
          </cell>
          <cell r="AD38">
            <v>108.3</v>
          </cell>
          <cell r="AE38">
            <v>110.6</v>
          </cell>
          <cell r="AF38">
            <v>114.2</v>
          </cell>
        </row>
        <row r="39">
          <cell r="A39" t="str">
            <v>Urban</v>
          </cell>
          <cell r="B39">
            <v>2014</v>
          </cell>
          <cell r="C39" t="str">
            <v>January</v>
          </cell>
          <cell r="F39">
            <v>121.2</v>
          </cell>
          <cell r="G39">
            <v>122</v>
          </cell>
          <cell r="H39">
            <v>129.9</v>
          </cell>
          <cell r="I39">
            <v>113.6</v>
          </cell>
          <cell r="J39">
            <v>102.9</v>
          </cell>
          <cell r="K39">
            <v>112.1</v>
          </cell>
          <cell r="L39">
            <v>118.9</v>
          </cell>
          <cell r="M39">
            <v>107.5</v>
          </cell>
          <cell r="N39">
            <v>96.9</v>
          </cell>
          <cell r="O39">
            <v>112.7</v>
          </cell>
          <cell r="P39">
            <v>112.1</v>
          </cell>
          <cell r="Q39">
            <v>119</v>
          </cell>
          <cell r="R39">
            <v>115.5</v>
          </cell>
          <cell r="S39">
            <v>115.7</v>
          </cell>
          <cell r="T39">
            <v>114.8</v>
          </cell>
          <cell r="U39">
            <v>111.3</v>
          </cell>
          <cell r="V39">
            <v>114.3</v>
          </cell>
          <cell r="Z39">
            <v>109.7</v>
          </cell>
          <cell r="AA39">
            <v>110.8</v>
          </cell>
          <cell r="AB39">
            <v>109.8</v>
          </cell>
          <cell r="AC39">
            <v>111.5</v>
          </cell>
          <cell r="AD39">
            <v>108</v>
          </cell>
          <cell r="AE39">
            <v>110.5</v>
          </cell>
          <cell r="AF39">
            <v>112.9</v>
          </cell>
        </row>
        <row r="40">
          <cell r="A40" t="str">
            <v>Rural+Urban</v>
          </cell>
          <cell r="B40">
            <v>2014</v>
          </cell>
          <cell r="C40" t="str">
            <v>January</v>
          </cell>
          <cell r="F40">
            <v>119.6</v>
          </cell>
          <cell r="G40">
            <v>118.8</v>
          </cell>
          <cell r="H40">
            <v>124.1</v>
          </cell>
          <cell r="I40">
            <v>114.1</v>
          </cell>
          <cell r="J40">
            <v>106.8</v>
          </cell>
          <cell r="K40">
            <v>113.9</v>
          </cell>
          <cell r="L40">
            <v>122.2</v>
          </cell>
          <cell r="M40">
            <v>108.9</v>
          </cell>
          <cell r="N40">
            <v>100.2</v>
          </cell>
          <cell r="O40">
            <v>111</v>
          </cell>
          <cell r="P40">
            <v>112.3</v>
          </cell>
          <cell r="Q40">
            <v>118.1</v>
          </cell>
          <cell r="R40">
            <v>115.8</v>
          </cell>
          <cell r="S40">
            <v>114.5</v>
          </cell>
          <cell r="T40">
            <v>115.8</v>
          </cell>
          <cell r="U40">
            <v>113.2</v>
          </cell>
          <cell r="V40">
            <v>115.4</v>
          </cell>
          <cell r="Z40">
            <v>110.3</v>
          </cell>
          <cell r="AA40">
            <v>110.7</v>
          </cell>
          <cell r="AB40">
            <v>109.7</v>
          </cell>
          <cell r="AC40">
            <v>111.6</v>
          </cell>
          <cell r="AD40">
            <v>108.2</v>
          </cell>
          <cell r="AE40">
            <v>110.6</v>
          </cell>
          <cell r="AF40">
            <v>113.6</v>
          </cell>
        </row>
        <row r="41">
          <cell r="A41" t="str">
            <v>Rural</v>
          </cell>
          <cell r="B41">
            <v>2014</v>
          </cell>
          <cell r="C41" t="str">
            <v>February</v>
          </cell>
          <cell r="F41">
            <v>119.4</v>
          </cell>
          <cell r="G41">
            <v>117.7</v>
          </cell>
          <cell r="H41">
            <v>121.2</v>
          </cell>
          <cell r="I41">
            <v>115</v>
          </cell>
          <cell r="J41">
            <v>109</v>
          </cell>
          <cell r="K41">
            <v>116.6</v>
          </cell>
          <cell r="L41">
            <v>116</v>
          </cell>
          <cell r="M41">
            <v>109.8</v>
          </cell>
          <cell r="N41">
            <v>101.1</v>
          </cell>
          <cell r="O41">
            <v>110.4</v>
          </cell>
          <cell r="P41">
            <v>112.9</v>
          </cell>
          <cell r="Q41">
            <v>117.8</v>
          </cell>
          <cell r="R41">
            <v>115.3</v>
          </cell>
          <cell r="S41">
            <v>114.2</v>
          </cell>
          <cell r="T41">
            <v>117.1</v>
          </cell>
          <cell r="U41">
            <v>114.5</v>
          </cell>
          <cell r="V41">
            <v>116.7</v>
          </cell>
          <cell r="Z41">
            <v>110.9</v>
          </cell>
          <cell r="AA41">
            <v>110.8</v>
          </cell>
          <cell r="AB41">
            <v>109.9</v>
          </cell>
          <cell r="AC41">
            <v>112</v>
          </cell>
          <cell r="AD41">
            <v>108.7</v>
          </cell>
          <cell r="AE41">
            <v>110.9</v>
          </cell>
          <cell r="AF41">
            <v>114</v>
          </cell>
        </row>
        <row r="42">
          <cell r="A42" t="str">
            <v>Urban</v>
          </cell>
          <cell r="B42">
            <v>2014</v>
          </cell>
          <cell r="C42" t="str">
            <v>February</v>
          </cell>
          <cell r="F42">
            <v>121.9</v>
          </cell>
          <cell r="G42">
            <v>122</v>
          </cell>
          <cell r="H42">
            <v>124.5</v>
          </cell>
          <cell r="I42">
            <v>115.2</v>
          </cell>
          <cell r="J42">
            <v>102.5</v>
          </cell>
          <cell r="K42">
            <v>114.1</v>
          </cell>
          <cell r="L42">
            <v>111.5</v>
          </cell>
          <cell r="M42">
            <v>108.2</v>
          </cell>
          <cell r="N42">
            <v>95.4</v>
          </cell>
          <cell r="O42">
            <v>113.5</v>
          </cell>
          <cell r="P42">
            <v>112.1</v>
          </cell>
          <cell r="Q42">
            <v>119.9</v>
          </cell>
          <cell r="R42">
            <v>115.2</v>
          </cell>
          <cell r="S42">
            <v>116.2</v>
          </cell>
          <cell r="T42">
            <v>115.3</v>
          </cell>
          <cell r="U42">
            <v>111.7</v>
          </cell>
          <cell r="V42">
            <v>114.7</v>
          </cell>
          <cell r="Z42">
            <v>110.4</v>
          </cell>
          <cell r="AA42">
            <v>111.3</v>
          </cell>
          <cell r="AB42">
            <v>110.3</v>
          </cell>
          <cell r="AC42">
            <v>111.6</v>
          </cell>
          <cell r="AD42">
            <v>108.7</v>
          </cell>
          <cell r="AE42">
            <v>111</v>
          </cell>
          <cell r="AF42">
            <v>113.1</v>
          </cell>
        </row>
        <row r="43">
          <cell r="A43" t="str">
            <v>Rural+Urban</v>
          </cell>
          <cell r="B43">
            <v>2014</v>
          </cell>
          <cell r="C43" t="str">
            <v>February</v>
          </cell>
          <cell r="F43">
            <v>120.2</v>
          </cell>
          <cell r="G43">
            <v>119.2</v>
          </cell>
          <cell r="H43">
            <v>122.5</v>
          </cell>
          <cell r="I43">
            <v>115.1</v>
          </cell>
          <cell r="J43">
            <v>106.6</v>
          </cell>
          <cell r="K43">
            <v>115.4</v>
          </cell>
          <cell r="L43">
            <v>114.5</v>
          </cell>
          <cell r="M43">
            <v>109.3</v>
          </cell>
          <cell r="N43">
            <v>99.2</v>
          </cell>
          <cell r="O43">
            <v>111.4</v>
          </cell>
          <cell r="P43">
            <v>112.6</v>
          </cell>
          <cell r="Q43">
            <v>118.8</v>
          </cell>
          <cell r="R43">
            <v>115.3</v>
          </cell>
          <cell r="S43">
            <v>114.7</v>
          </cell>
          <cell r="T43">
            <v>116.4</v>
          </cell>
          <cell r="U43">
            <v>113.3</v>
          </cell>
          <cell r="V43">
            <v>115.9</v>
          </cell>
          <cell r="Z43">
            <v>110.7</v>
          </cell>
          <cell r="AA43">
            <v>111.1</v>
          </cell>
          <cell r="AB43">
            <v>110.1</v>
          </cell>
          <cell r="AC43">
            <v>111.8</v>
          </cell>
          <cell r="AD43">
            <v>108.7</v>
          </cell>
          <cell r="AE43">
            <v>110.9</v>
          </cell>
          <cell r="AF43">
            <v>113.6</v>
          </cell>
        </row>
        <row r="44">
          <cell r="A44" t="str">
            <v>Rural</v>
          </cell>
          <cell r="B44">
            <v>2014</v>
          </cell>
          <cell r="C44" t="str">
            <v>March</v>
          </cell>
          <cell r="F44">
            <v>120.1</v>
          </cell>
          <cell r="G44">
            <v>118.1</v>
          </cell>
          <cell r="H44">
            <v>120.7</v>
          </cell>
          <cell r="I44">
            <v>116.1</v>
          </cell>
          <cell r="J44">
            <v>109.3</v>
          </cell>
          <cell r="K44">
            <v>119.6</v>
          </cell>
          <cell r="L44">
            <v>117.9</v>
          </cell>
          <cell r="M44">
            <v>110.2</v>
          </cell>
          <cell r="N44">
            <v>101.2</v>
          </cell>
          <cell r="O44">
            <v>110.7</v>
          </cell>
          <cell r="P44">
            <v>113</v>
          </cell>
          <cell r="Q44">
            <v>118.3</v>
          </cell>
          <cell r="R44">
            <v>116.2</v>
          </cell>
          <cell r="S44">
            <v>114.6</v>
          </cell>
          <cell r="T44">
            <v>117.5</v>
          </cell>
          <cell r="U44">
            <v>114.9</v>
          </cell>
          <cell r="V44">
            <v>117.2</v>
          </cell>
          <cell r="Z44">
            <v>111.4</v>
          </cell>
          <cell r="AA44">
            <v>111.2</v>
          </cell>
          <cell r="AB44">
            <v>110.2</v>
          </cell>
          <cell r="AC44">
            <v>112.4</v>
          </cell>
          <cell r="AD44">
            <v>108.9</v>
          </cell>
          <cell r="AE44">
            <v>111.3</v>
          </cell>
          <cell r="AF44">
            <v>114.6</v>
          </cell>
        </row>
        <row r="45">
          <cell r="A45" t="str">
            <v>Urban</v>
          </cell>
          <cell r="B45">
            <v>2014</v>
          </cell>
          <cell r="C45" t="str">
            <v>March</v>
          </cell>
          <cell r="F45">
            <v>122.1</v>
          </cell>
          <cell r="G45">
            <v>121.4</v>
          </cell>
          <cell r="H45">
            <v>121.5</v>
          </cell>
          <cell r="I45">
            <v>116.2</v>
          </cell>
          <cell r="J45">
            <v>102.8</v>
          </cell>
          <cell r="K45">
            <v>117.7</v>
          </cell>
          <cell r="L45">
            <v>113.3</v>
          </cell>
          <cell r="M45">
            <v>108.9</v>
          </cell>
          <cell r="N45">
            <v>96.3</v>
          </cell>
          <cell r="O45">
            <v>114.1</v>
          </cell>
          <cell r="P45">
            <v>112.2</v>
          </cell>
          <cell r="Q45">
            <v>120.5</v>
          </cell>
          <cell r="R45">
            <v>116</v>
          </cell>
          <cell r="S45">
            <v>116.7</v>
          </cell>
          <cell r="T45">
            <v>115.8</v>
          </cell>
          <cell r="U45">
            <v>112.1</v>
          </cell>
          <cell r="V45">
            <v>115.2</v>
          </cell>
          <cell r="Z45">
            <v>110.8</v>
          </cell>
          <cell r="AA45">
            <v>111.6</v>
          </cell>
          <cell r="AB45">
            <v>110.9</v>
          </cell>
          <cell r="AC45">
            <v>111.8</v>
          </cell>
          <cell r="AD45">
            <v>109.2</v>
          </cell>
          <cell r="AE45">
            <v>111.4</v>
          </cell>
          <cell r="AF45">
            <v>113.7</v>
          </cell>
        </row>
        <row r="46">
          <cell r="A46" t="str">
            <v>Rural+Urban</v>
          </cell>
          <cell r="B46">
            <v>2014</v>
          </cell>
          <cell r="C46" t="str">
            <v>March</v>
          </cell>
          <cell r="F46">
            <v>120.7</v>
          </cell>
          <cell r="G46">
            <v>119.3</v>
          </cell>
          <cell r="H46">
            <v>121</v>
          </cell>
          <cell r="I46">
            <v>116.1</v>
          </cell>
          <cell r="J46">
            <v>106.9</v>
          </cell>
          <cell r="K46">
            <v>118.7</v>
          </cell>
          <cell r="L46">
            <v>116.3</v>
          </cell>
          <cell r="M46">
            <v>109.8</v>
          </cell>
          <cell r="N46">
            <v>99.6</v>
          </cell>
          <cell r="O46">
            <v>111.8</v>
          </cell>
          <cell r="P46">
            <v>112.7</v>
          </cell>
          <cell r="Q46">
            <v>119.3</v>
          </cell>
          <cell r="R46">
            <v>116.1</v>
          </cell>
          <cell r="S46">
            <v>115.2</v>
          </cell>
          <cell r="T46">
            <v>116.8</v>
          </cell>
          <cell r="U46">
            <v>113.7</v>
          </cell>
          <cell r="V46">
            <v>116.4</v>
          </cell>
          <cell r="Z46">
            <v>111.2</v>
          </cell>
          <cell r="AA46">
            <v>111.4</v>
          </cell>
          <cell r="AB46">
            <v>110.6</v>
          </cell>
          <cell r="AC46">
            <v>112</v>
          </cell>
          <cell r="AD46">
            <v>109</v>
          </cell>
          <cell r="AE46">
            <v>111.3</v>
          </cell>
          <cell r="AF46">
            <v>114.2</v>
          </cell>
        </row>
        <row r="47">
          <cell r="A47" t="str">
            <v>Rural</v>
          </cell>
          <cell r="B47">
            <v>2014</v>
          </cell>
          <cell r="C47" t="str">
            <v>April</v>
          </cell>
          <cell r="F47">
            <v>120.2</v>
          </cell>
          <cell r="G47">
            <v>118.9</v>
          </cell>
          <cell r="H47">
            <v>118.1</v>
          </cell>
          <cell r="I47">
            <v>117</v>
          </cell>
          <cell r="J47">
            <v>109.7</v>
          </cell>
          <cell r="K47">
            <v>125.5</v>
          </cell>
          <cell r="L47">
            <v>120.5</v>
          </cell>
          <cell r="M47">
            <v>111</v>
          </cell>
          <cell r="N47">
            <v>102.6</v>
          </cell>
          <cell r="O47">
            <v>111.2</v>
          </cell>
          <cell r="P47">
            <v>113.5</v>
          </cell>
          <cell r="Q47">
            <v>118.7</v>
          </cell>
          <cell r="R47">
            <v>117.2</v>
          </cell>
          <cell r="S47">
            <v>115.4</v>
          </cell>
          <cell r="T47">
            <v>118.1</v>
          </cell>
          <cell r="U47">
            <v>116.1</v>
          </cell>
          <cell r="V47">
            <v>117.8</v>
          </cell>
          <cell r="Z47">
            <v>111.8</v>
          </cell>
          <cell r="AA47">
            <v>111.2</v>
          </cell>
          <cell r="AB47">
            <v>110.5</v>
          </cell>
          <cell r="AC47">
            <v>113</v>
          </cell>
          <cell r="AD47">
            <v>108.9</v>
          </cell>
          <cell r="AE47">
            <v>111.5</v>
          </cell>
          <cell r="AF47">
            <v>115.4</v>
          </cell>
        </row>
        <row r="48">
          <cell r="A48" t="str">
            <v>Urban</v>
          </cell>
          <cell r="B48">
            <v>2014</v>
          </cell>
          <cell r="C48" t="str">
            <v>April</v>
          </cell>
          <cell r="F48">
            <v>122.5</v>
          </cell>
          <cell r="G48">
            <v>121.7</v>
          </cell>
          <cell r="H48">
            <v>113.3</v>
          </cell>
          <cell r="I48">
            <v>117</v>
          </cell>
          <cell r="J48">
            <v>103.1</v>
          </cell>
          <cell r="K48">
            <v>126.7</v>
          </cell>
          <cell r="L48">
            <v>121.2</v>
          </cell>
          <cell r="M48">
            <v>111</v>
          </cell>
          <cell r="N48">
            <v>100.3</v>
          </cell>
          <cell r="O48">
            <v>115.3</v>
          </cell>
          <cell r="P48">
            <v>112.7</v>
          </cell>
          <cell r="Q48">
            <v>121</v>
          </cell>
          <cell r="R48">
            <v>118.2</v>
          </cell>
          <cell r="S48">
            <v>117.6</v>
          </cell>
          <cell r="T48">
            <v>116.3</v>
          </cell>
          <cell r="U48">
            <v>112.5</v>
          </cell>
          <cell r="V48">
            <v>115.7</v>
          </cell>
          <cell r="Z48">
            <v>111</v>
          </cell>
          <cell r="AA48">
            <v>111.2</v>
          </cell>
          <cell r="AB48">
            <v>111.2</v>
          </cell>
          <cell r="AC48">
            <v>112.5</v>
          </cell>
          <cell r="AD48">
            <v>109.1</v>
          </cell>
          <cell r="AE48">
            <v>111.4</v>
          </cell>
          <cell r="AF48">
            <v>114.7</v>
          </cell>
        </row>
        <row r="49">
          <cell r="A49" t="str">
            <v>Rural+Urban</v>
          </cell>
          <cell r="B49">
            <v>2014</v>
          </cell>
          <cell r="C49" t="str">
            <v>April</v>
          </cell>
          <cell r="F49">
            <v>120.9</v>
          </cell>
          <cell r="G49">
            <v>119.9</v>
          </cell>
          <cell r="H49">
            <v>116.2</v>
          </cell>
          <cell r="I49">
            <v>117</v>
          </cell>
          <cell r="J49">
            <v>107.3</v>
          </cell>
          <cell r="K49">
            <v>126.1</v>
          </cell>
          <cell r="L49">
            <v>120.7</v>
          </cell>
          <cell r="M49">
            <v>111</v>
          </cell>
          <cell r="N49">
            <v>101.8</v>
          </cell>
          <cell r="O49">
            <v>112.6</v>
          </cell>
          <cell r="P49">
            <v>113.2</v>
          </cell>
          <cell r="Q49">
            <v>119.8</v>
          </cell>
          <cell r="R49">
            <v>117.6</v>
          </cell>
          <cell r="S49">
            <v>116</v>
          </cell>
          <cell r="T49">
            <v>117.4</v>
          </cell>
          <cell r="U49">
            <v>114.6</v>
          </cell>
          <cell r="V49">
            <v>117</v>
          </cell>
          <cell r="Z49">
            <v>111.5</v>
          </cell>
          <cell r="AA49">
            <v>111.2</v>
          </cell>
          <cell r="AB49">
            <v>110.9</v>
          </cell>
          <cell r="AC49">
            <v>112.7</v>
          </cell>
          <cell r="AD49">
            <v>109</v>
          </cell>
          <cell r="AE49">
            <v>111.5</v>
          </cell>
          <cell r="AF49">
            <v>115.1</v>
          </cell>
        </row>
        <row r="50">
          <cell r="A50" t="str">
            <v>Rural</v>
          </cell>
          <cell r="B50">
            <v>2014</v>
          </cell>
          <cell r="C50" t="str">
            <v>May</v>
          </cell>
          <cell r="F50">
            <v>120.3</v>
          </cell>
          <cell r="G50">
            <v>120.2</v>
          </cell>
          <cell r="H50">
            <v>116.9</v>
          </cell>
          <cell r="I50">
            <v>118</v>
          </cell>
          <cell r="J50">
            <v>110.1</v>
          </cell>
          <cell r="K50">
            <v>126.3</v>
          </cell>
          <cell r="L50">
            <v>123.9</v>
          </cell>
          <cell r="M50">
            <v>111.5</v>
          </cell>
          <cell r="N50">
            <v>103.5</v>
          </cell>
          <cell r="O50">
            <v>111.6</v>
          </cell>
          <cell r="P50">
            <v>114.2</v>
          </cell>
          <cell r="Q50">
            <v>119.2</v>
          </cell>
          <cell r="R50">
            <v>118.2</v>
          </cell>
          <cell r="S50">
            <v>116.3</v>
          </cell>
          <cell r="T50">
            <v>118.7</v>
          </cell>
          <cell r="U50">
            <v>116.8</v>
          </cell>
          <cell r="V50">
            <v>118.5</v>
          </cell>
          <cell r="Z50">
            <v>112.1</v>
          </cell>
          <cell r="AA50">
            <v>111.4</v>
          </cell>
          <cell r="AB50">
            <v>110.9</v>
          </cell>
          <cell r="AC50">
            <v>113.1</v>
          </cell>
          <cell r="AD50">
            <v>108.9</v>
          </cell>
          <cell r="AE50">
            <v>111.8</v>
          </cell>
          <cell r="AF50">
            <v>116</v>
          </cell>
        </row>
        <row r="51">
          <cell r="A51" t="str">
            <v>Urban</v>
          </cell>
          <cell r="B51">
            <v>2014</v>
          </cell>
          <cell r="C51" t="str">
            <v>May</v>
          </cell>
          <cell r="F51">
            <v>122.7</v>
          </cell>
          <cell r="G51">
            <v>124.1</v>
          </cell>
          <cell r="H51">
            <v>114.2</v>
          </cell>
          <cell r="I51">
            <v>119.1</v>
          </cell>
          <cell r="J51">
            <v>103.5</v>
          </cell>
          <cell r="K51">
            <v>129.19999999999999</v>
          </cell>
          <cell r="L51">
            <v>127</v>
          </cell>
          <cell r="M51">
            <v>112.6</v>
          </cell>
          <cell r="N51">
            <v>101.3</v>
          </cell>
          <cell r="O51">
            <v>117</v>
          </cell>
          <cell r="P51">
            <v>112.9</v>
          </cell>
          <cell r="Q51">
            <v>121.7</v>
          </cell>
          <cell r="R51">
            <v>120</v>
          </cell>
          <cell r="S51">
            <v>118.3</v>
          </cell>
          <cell r="T51">
            <v>116.8</v>
          </cell>
          <cell r="U51">
            <v>112.9</v>
          </cell>
          <cell r="V51">
            <v>116.2</v>
          </cell>
          <cell r="Z51">
            <v>111.2</v>
          </cell>
          <cell r="AA51">
            <v>111.3</v>
          </cell>
          <cell r="AB51">
            <v>111.5</v>
          </cell>
          <cell r="AC51">
            <v>112.9</v>
          </cell>
          <cell r="AD51">
            <v>109.3</v>
          </cell>
          <cell r="AE51">
            <v>111.7</v>
          </cell>
          <cell r="AF51">
            <v>115.6</v>
          </cell>
        </row>
        <row r="52">
          <cell r="A52" t="str">
            <v>Rural+Urban</v>
          </cell>
          <cell r="B52">
            <v>2014</v>
          </cell>
          <cell r="C52" t="str">
            <v>May</v>
          </cell>
          <cell r="F52">
            <v>121.1</v>
          </cell>
          <cell r="G52">
            <v>121.6</v>
          </cell>
          <cell r="H52">
            <v>115.9</v>
          </cell>
          <cell r="I52">
            <v>118.4</v>
          </cell>
          <cell r="J52">
            <v>107.7</v>
          </cell>
          <cell r="K52">
            <v>127.7</v>
          </cell>
          <cell r="L52">
            <v>125</v>
          </cell>
          <cell r="M52">
            <v>111.9</v>
          </cell>
          <cell r="N52">
            <v>102.8</v>
          </cell>
          <cell r="O52">
            <v>113.4</v>
          </cell>
          <cell r="P52">
            <v>113.7</v>
          </cell>
          <cell r="Q52">
            <v>120.4</v>
          </cell>
          <cell r="R52">
            <v>118.9</v>
          </cell>
          <cell r="S52">
            <v>116.8</v>
          </cell>
          <cell r="T52">
            <v>118</v>
          </cell>
          <cell r="U52">
            <v>115.2</v>
          </cell>
          <cell r="V52">
            <v>117.6</v>
          </cell>
          <cell r="Z52">
            <v>111.8</v>
          </cell>
          <cell r="AA52">
            <v>111.3</v>
          </cell>
          <cell r="AB52">
            <v>111.2</v>
          </cell>
          <cell r="AC52">
            <v>113</v>
          </cell>
          <cell r="AD52">
            <v>109.1</v>
          </cell>
          <cell r="AE52">
            <v>111.8</v>
          </cell>
          <cell r="AF52">
            <v>115.8</v>
          </cell>
        </row>
        <row r="53">
          <cell r="A53" t="str">
            <v>Rural</v>
          </cell>
          <cell r="B53">
            <v>2014</v>
          </cell>
          <cell r="C53" t="str">
            <v>June</v>
          </cell>
          <cell r="F53">
            <v>120.7</v>
          </cell>
          <cell r="G53">
            <v>121.6</v>
          </cell>
          <cell r="H53">
            <v>116.1</v>
          </cell>
          <cell r="I53">
            <v>119.3</v>
          </cell>
          <cell r="J53">
            <v>110.3</v>
          </cell>
          <cell r="K53">
            <v>125.8</v>
          </cell>
          <cell r="L53">
            <v>129.30000000000001</v>
          </cell>
          <cell r="M53">
            <v>112.2</v>
          </cell>
          <cell r="N53">
            <v>103.6</v>
          </cell>
          <cell r="O53">
            <v>112.3</v>
          </cell>
          <cell r="P53">
            <v>114.9</v>
          </cell>
          <cell r="Q53">
            <v>120.1</v>
          </cell>
          <cell r="R53">
            <v>119.5</v>
          </cell>
          <cell r="S53">
            <v>117.3</v>
          </cell>
          <cell r="T53">
            <v>119.7</v>
          </cell>
          <cell r="U53">
            <v>117.3</v>
          </cell>
          <cell r="V53">
            <v>119.3</v>
          </cell>
          <cell r="Z53">
            <v>112.8</v>
          </cell>
          <cell r="AA53">
            <v>112.2</v>
          </cell>
          <cell r="AB53">
            <v>111.4</v>
          </cell>
          <cell r="AC53">
            <v>114.3</v>
          </cell>
          <cell r="AD53">
            <v>108</v>
          </cell>
          <cell r="AE53">
            <v>112.3</v>
          </cell>
          <cell r="AF53">
            <v>117</v>
          </cell>
        </row>
        <row r="54">
          <cell r="A54" t="str">
            <v>Urban</v>
          </cell>
          <cell r="B54">
            <v>2014</v>
          </cell>
          <cell r="C54" t="str">
            <v>June</v>
          </cell>
          <cell r="F54">
            <v>123.1</v>
          </cell>
          <cell r="G54">
            <v>125.9</v>
          </cell>
          <cell r="H54">
            <v>115.4</v>
          </cell>
          <cell r="I54">
            <v>120.4</v>
          </cell>
          <cell r="J54">
            <v>103.4</v>
          </cell>
          <cell r="K54">
            <v>131.19999999999999</v>
          </cell>
          <cell r="L54">
            <v>137.5</v>
          </cell>
          <cell r="M54">
            <v>112.8</v>
          </cell>
          <cell r="N54">
            <v>101.4</v>
          </cell>
          <cell r="O54">
            <v>118.3</v>
          </cell>
          <cell r="P54">
            <v>113.2</v>
          </cell>
          <cell r="Q54">
            <v>122.4</v>
          </cell>
          <cell r="R54">
            <v>122</v>
          </cell>
          <cell r="S54">
            <v>119</v>
          </cell>
          <cell r="T54">
            <v>117.4</v>
          </cell>
          <cell r="U54">
            <v>113.2</v>
          </cell>
          <cell r="V54">
            <v>116.7</v>
          </cell>
          <cell r="Z54">
            <v>111.4</v>
          </cell>
          <cell r="AA54">
            <v>111.5</v>
          </cell>
          <cell r="AB54">
            <v>111.8</v>
          </cell>
          <cell r="AC54">
            <v>115.1</v>
          </cell>
          <cell r="AD54">
            <v>108.7</v>
          </cell>
          <cell r="AE54">
            <v>112.2</v>
          </cell>
          <cell r="AF54">
            <v>116.4</v>
          </cell>
        </row>
        <row r="55">
          <cell r="A55" t="str">
            <v>Rural+Urban</v>
          </cell>
          <cell r="B55">
            <v>2014</v>
          </cell>
          <cell r="C55" t="str">
            <v>June</v>
          </cell>
          <cell r="F55">
            <v>121.5</v>
          </cell>
          <cell r="G55">
            <v>123.1</v>
          </cell>
          <cell r="H55">
            <v>115.8</v>
          </cell>
          <cell r="I55">
            <v>119.7</v>
          </cell>
          <cell r="J55">
            <v>107.8</v>
          </cell>
          <cell r="K55">
            <v>128.30000000000001</v>
          </cell>
          <cell r="L55">
            <v>132.1</v>
          </cell>
          <cell r="M55">
            <v>112.4</v>
          </cell>
          <cell r="N55">
            <v>102.9</v>
          </cell>
          <cell r="O55">
            <v>114.3</v>
          </cell>
          <cell r="P55">
            <v>114.2</v>
          </cell>
          <cell r="Q55">
            <v>121.2</v>
          </cell>
          <cell r="R55">
            <v>120.4</v>
          </cell>
          <cell r="S55">
            <v>117.8</v>
          </cell>
          <cell r="T55">
            <v>118.8</v>
          </cell>
          <cell r="U55">
            <v>115.6</v>
          </cell>
          <cell r="V55">
            <v>118.3</v>
          </cell>
          <cell r="Z55">
            <v>112.3</v>
          </cell>
          <cell r="AA55">
            <v>111.8</v>
          </cell>
          <cell r="AB55">
            <v>111.6</v>
          </cell>
          <cell r="AC55">
            <v>114.8</v>
          </cell>
          <cell r="AD55">
            <v>108.3</v>
          </cell>
          <cell r="AE55">
            <v>112.3</v>
          </cell>
          <cell r="AF55">
            <v>116.7</v>
          </cell>
        </row>
        <row r="56">
          <cell r="A56" t="str">
            <v>Rural</v>
          </cell>
          <cell r="B56">
            <v>2014</v>
          </cell>
          <cell r="C56" t="str">
            <v>July</v>
          </cell>
          <cell r="F56">
            <v>121.7</v>
          </cell>
          <cell r="G56">
            <v>122.5</v>
          </cell>
          <cell r="H56">
            <v>117.7</v>
          </cell>
          <cell r="I56">
            <v>120.6</v>
          </cell>
          <cell r="J56">
            <v>110.4</v>
          </cell>
          <cell r="K56">
            <v>129.1</v>
          </cell>
          <cell r="L56">
            <v>150.1</v>
          </cell>
          <cell r="M56">
            <v>113.2</v>
          </cell>
          <cell r="N56">
            <v>104.8</v>
          </cell>
          <cell r="O56">
            <v>113.3</v>
          </cell>
          <cell r="P56">
            <v>115.6</v>
          </cell>
          <cell r="Q56">
            <v>120.9</v>
          </cell>
          <cell r="R56">
            <v>123.3</v>
          </cell>
          <cell r="S56">
            <v>118</v>
          </cell>
          <cell r="T56">
            <v>120.7</v>
          </cell>
          <cell r="U56">
            <v>118.3</v>
          </cell>
          <cell r="V56">
            <v>120.3</v>
          </cell>
          <cell r="Z56">
            <v>113.4</v>
          </cell>
          <cell r="AA56">
            <v>113.2</v>
          </cell>
          <cell r="AB56">
            <v>111.8</v>
          </cell>
          <cell r="AC56">
            <v>115.5</v>
          </cell>
          <cell r="AD56">
            <v>108.8</v>
          </cell>
          <cell r="AE56">
            <v>113.1</v>
          </cell>
          <cell r="AF56">
            <v>119.5</v>
          </cell>
        </row>
        <row r="57">
          <cell r="A57" t="str">
            <v>Urban</v>
          </cell>
          <cell r="B57">
            <v>2014</v>
          </cell>
          <cell r="C57" t="str">
            <v>July</v>
          </cell>
          <cell r="F57">
            <v>123.8</v>
          </cell>
          <cell r="G57">
            <v>126.4</v>
          </cell>
          <cell r="H57">
            <v>118</v>
          </cell>
          <cell r="I57">
            <v>121.6</v>
          </cell>
          <cell r="J57">
            <v>103.5</v>
          </cell>
          <cell r="K57">
            <v>133.69999999999999</v>
          </cell>
          <cell r="L57">
            <v>172.4</v>
          </cell>
          <cell r="M57">
            <v>113.1</v>
          </cell>
          <cell r="N57">
            <v>102.7</v>
          </cell>
          <cell r="O57">
            <v>120</v>
          </cell>
          <cell r="P57">
            <v>113.8</v>
          </cell>
          <cell r="Q57">
            <v>123.4</v>
          </cell>
          <cell r="R57">
            <v>127.1</v>
          </cell>
          <cell r="S57">
            <v>121</v>
          </cell>
          <cell r="T57">
            <v>118</v>
          </cell>
          <cell r="U57">
            <v>113.6</v>
          </cell>
          <cell r="V57">
            <v>117.4</v>
          </cell>
          <cell r="Z57">
            <v>111.5</v>
          </cell>
          <cell r="AA57">
            <v>113</v>
          </cell>
          <cell r="AB57">
            <v>112.4</v>
          </cell>
          <cell r="AC57">
            <v>117.8</v>
          </cell>
          <cell r="AD57">
            <v>109.7</v>
          </cell>
          <cell r="AE57">
            <v>113.5</v>
          </cell>
          <cell r="AF57">
            <v>118.9</v>
          </cell>
        </row>
        <row r="58">
          <cell r="A58" t="str">
            <v>Rural+Urban</v>
          </cell>
          <cell r="B58">
            <v>2014</v>
          </cell>
          <cell r="C58" t="str">
            <v>July</v>
          </cell>
          <cell r="F58">
            <v>122.4</v>
          </cell>
          <cell r="G58">
            <v>123.9</v>
          </cell>
          <cell r="H58">
            <v>117.8</v>
          </cell>
          <cell r="I58">
            <v>121</v>
          </cell>
          <cell r="J58">
            <v>107.9</v>
          </cell>
          <cell r="K58">
            <v>131.19999999999999</v>
          </cell>
          <cell r="L58">
            <v>157.69999999999999</v>
          </cell>
          <cell r="M58">
            <v>113.2</v>
          </cell>
          <cell r="N58">
            <v>104.1</v>
          </cell>
          <cell r="O58">
            <v>115.5</v>
          </cell>
          <cell r="P58">
            <v>114.8</v>
          </cell>
          <cell r="Q58">
            <v>122.1</v>
          </cell>
          <cell r="R58">
            <v>124.7</v>
          </cell>
          <cell r="S58">
            <v>118.8</v>
          </cell>
          <cell r="T58">
            <v>119.6</v>
          </cell>
          <cell r="U58">
            <v>116.3</v>
          </cell>
          <cell r="V58">
            <v>119.1</v>
          </cell>
          <cell r="Z58">
            <v>112.7</v>
          </cell>
          <cell r="AA58">
            <v>113.1</v>
          </cell>
          <cell r="AB58">
            <v>112.1</v>
          </cell>
          <cell r="AC58">
            <v>116.8</v>
          </cell>
          <cell r="AD58">
            <v>109.2</v>
          </cell>
          <cell r="AE58">
            <v>113.3</v>
          </cell>
          <cell r="AF58">
            <v>119.2</v>
          </cell>
        </row>
        <row r="59">
          <cell r="A59" t="str">
            <v>Rural</v>
          </cell>
          <cell r="B59">
            <v>2014</v>
          </cell>
          <cell r="C59" t="str">
            <v>August</v>
          </cell>
          <cell r="F59">
            <v>121.8</v>
          </cell>
          <cell r="G59">
            <v>122.8</v>
          </cell>
          <cell r="H59">
            <v>117.8</v>
          </cell>
          <cell r="I59">
            <v>121.9</v>
          </cell>
          <cell r="J59">
            <v>110.6</v>
          </cell>
          <cell r="K59">
            <v>129.69999999999999</v>
          </cell>
          <cell r="L59">
            <v>161.1</v>
          </cell>
          <cell r="M59">
            <v>114.1</v>
          </cell>
          <cell r="N59">
            <v>105.1</v>
          </cell>
          <cell r="O59">
            <v>114.6</v>
          </cell>
          <cell r="P59">
            <v>115.8</v>
          </cell>
          <cell r="Q59">
            <v>121.7</v>
          </cell>
          <cell r="R59">
            <v>125.3</v>
          </cell>
          <cell r="S59">
            <v>118.8</v>
          </cell>
          <cell r="T59">
            <v>120.9</v>
          </cell>
          <cell r="U59">
            <v>118.8</v>
          </cell>
          <cell r="V59">
            <v>120.7</v>
          </cell>
          <cell r="Z59">
            <v>114</v>
          </cell>
          <cell r="AA59">
            <v>113.2</v>
          </cell>
          <cell r="AB59">
            <v>112.2</v>
          </cell>
          <cell r="AC59">
            <v>116.2</v>
          </cell>
          <cell r="AD59">
            <v>109.4</v>
          </cell>
          <cell r="AE59">
            <v>113.5</v>
          </cell>
          <cell r="AF59">
            <v>120.7</v>
          </cell>
        </row>
        <row r="60">
          <cell r="A60" t="str">
            <v>Urban</v>
          </cell>
          <cell r="B60">
            <v>2014</v>
          </cell>
          <cell r="C60" t="str">
            <v>August</v>
          </cell>
          <cell r="F60">
            <v>124.8</v>
          </cell>
          <cell r="G60">
            <v>127.3</v>
          </cell>
          <cell r="H60">
            <v>116.5</v>
          </cell>
          <cell r="I60">
            <v>122.2</v>
          </cell>
          <cell r="J60">
            <v>103.6</v>
          </cell>
          <cell r="K60">
            <v>132.69999999999999</v>
          </cell>
          <cell r="L60">
            <v>181.9</v>
          </cell>
          <cell r="M60">
            <v>115.2</v>
          </cell>
          <cell r="N60">
            <v>102.7</v>
          </cell>
          <cell r="O60">
            <v>122.1</v>
          </cell>
          <cell r="P60">
            <v>114.4</v>
          </cell>
          <cell r="Q60">
            <v>124.7</v>
          </cell>
          <cell r="R60">
            <v>128.9</v>
          </cell>
          <cell r="S60">
            <v>123</v>
          </cell>
          <cell r="T60">
            <v>118.6</v>
          </cell>
          <cell r="U60">
            <v>114.1</v>
          </cell>
          <cell r="V60">
            <v>117.9</v>
          </cell>
          <cell r="Z60">
            <v>112.2</v>
          </cell>
          <cell r="AA60">
            <v>112.5</v>
          </cell>
          <cell r="AB60">
            <v>112.9</v>
          </cell>
          <cell r="AC60">
            <v>119.2</v>
          </cell>
          <cell r="AD60">
            <v>110.5</v>
          </cell>
          <cell r="AE60">
            <v>113.9</v>
          </cell>
          <cell r="AF60">
            <v>119.9</v>
          </cell>
        </row>
        <row r="61">
          <cell r="A61" t="str">
            <v>Rural+Urban</v>
          </cell>
          <cell r="B61">
            <v>2014</v>
          </cell>
          <cell r="C61" t="str">
            <v>August</v>
          </cell>
          <cell r="F61">
            <v>122.7</v>
          </cell>
          <cell r="G61">
            <v>124.4</v>
          </cell>
          <cell r="H61">
            <v>117.3</v>
          </cell>
          <cell r="I61">
            <v>122</v>
          </cell>
          <cell r="J61">
            <v>108</v>
          </cell>
          <cell r="K61">
            <v>131.1</v>
          </cell>
          <cell r="L61">
            <v>168.2</v>
          </cell>
          <cell r="M61">
            <v>114.5</v>
          </cell>
          <cell r="N61">
            <v>104.3</v>
          </cell>
          <cell r="O61">
            <v>117.1</v>
          </cell>
          <cell r="P61">
            <v>115.2</v>
          </cell>
          <cell r="Q61">
            <v>123.1</v>
          </cell>
          <cell r="R61">
            <v>126.6</v>
          </cell>
          <cell r="S61">
            <v>119.9</v>
          </cell>
          <cell r="T61">
            <v>120</v>
          </cell>
          <cell r="U61">
            <v>116.8</v>
          </cell>
          <cell r="V61">
            <v>119.6</v>
          </cell>
          <cell r="Z61">
            <v>113.3</v>
          </cell>
          <cell r="AA61">
            <v>112.8</v>
          </cell>
          <cell r="AB61">
            <v>112.6</v>
          </cell>
          <cell r="AC61">
            <v>118</v>
          </cell>
          <cell r="AD61">
            <v>109.9</v>
          </cell>
          <cell r="AE61">
            <v>113.7</v>
          </cell>
          <cell r="AF61">
            <v>120.3</v>
          </cell>
        </row>
        <row r="62">
          <cell r="A62" t="str">
            <v>Rural</v>
          </cell>
          <cell r="B62">
            <v>2014</v>
          </cell>
          <cell r="C62" t="str">
            <v>September</v>
          </cell>
          <cell r="F62">
            <v>122.3</v>
          </cell>
          <cell r="G62">
            <v>122.4</v>
          </cell>
          <cell r="H62">
            <v>117.8</v>
          </cell>
          <cell r="I62">
            <v>122.7</v>
          </cell>
          <cell r="J62">
            <v>110.4</v>
          </cell>
          <cell r="K62">
            <v>129.80000000000001</v>
          </cell>
          <cell r="L62">
            <v>158.80000000000001</v>
          </cell>
          <cell r="M62">
            <v>115</v>
          </cell>
          <cell r="N62">
            <v>104.7</v>
          </cell>
          <cell r="O62">
            <v>114.9</v>
          </cell>
          <cell r="P62">
            <v>116.5</v>
          </cell>
          <cell r="Q62">
            <v>122.6</v>
          </cell>
          <cell r="R62">
            <v>125.3</v>
          </cell>
          <cell r="S62">
            <v>119.5</v>
          </cell>
          <cell r="T62">
            <v>121.7</v>
          </cell>
          <cell r="U62">
            <v>119.2</v>
          </cell>
          <cell r="V62">
            <v>121.3</v>
          </cell>
          <cell r="Z62">
            <v>114.5</v>
          </cell>
          <cell r="AA62">
            <v>112.8</v>
          </cell>
          <cell r="AB62">
            <v>112.6</v>
          </cell>
          <cell r="AC62">
            <v>116.6</v>
          </cell>
          <cell r="AD62">
            <v>109.1</v>
          </cell>
          <cell r="AE62">
            <v>113.7</v>
          </cell>
          <cell r="AF62">
            <v>120.9</v>
          </cell>
        </row>
        <row r="63">
          <cell r="A63" t="str">
            <v>Urban</v>
          </cell>
          <cell r="B63">
            <v>2014</v>
          </cell>
          <cell r="C63" t="str">
            <v>September</v>
          </cell>
          <cell r="F63">
            <v>124.2</v>
          </cell>
          <cell r="G63">
            <v>125.4</v>
          </cell>
          <cell r="H63">
            <v>116.4</v>
          </cell>
          <cell r="I63">
            <v>122.7</v>
          </cell>
          <cell r="J63">
            <v>103.5</v>
          </cell>
          <cell r="K63">
            <v>124.5</v>
          </cell>
          <cell r="L63">
            <v>168.6</v>
          </cell>
          <cell r="M63">
            <v>116.9</v>
          </cell>
          <cell r="N63">
            <v>101.9</v>
          </cell>
          <cell r="O63">
            <v>122.9</v>
          </cell>
          <cell r="P63">
            <v>114.8</v>
          </cell>
          <cell r="Q63">
            <v>125.2</v>
          </cell>
          <cell r="R63">
            <v>126.7</v>
          </cell>
          <cell r="S63">
            <v>124.3</v>
          </cell>
          <cell r="T63">
            <v>119.2</v>
          </cell>
          <cell r="U63">
            <v>114.5</v>
          </cell>
          <cell r="V63">
            <v>118.4</v>
          </cell>
          <cell r="Z63">
            <v>112.3</v>
          </cell>
          <cell r="AA63">
            <v>111.2</v>
          </cell>
          <cell r="AB63">
            <v>113.4</v>
          </cell>
          <cell r="AC63">
            <v>120</v>
          </cell>
          <cell r="AD63">
            <v>110</v>
          </cell>
          <cell r="AE63">
            <v>113.6</v>
          </cell>
          <cell r="AF63">
            <v>119.2</v>
          </cell>
        </row>
        <row r="64">
          <cell r="A64" t="str">
            <v>Rural+Urban</v>
          </cell>
          <cell r="B64">
            <v>2014</v>
          </cell>
          <cell r="C64" t="str">
            <v>September</v>
          </cell>
          <cell r="F64">
            <v>122.9</v>
          </cell>
          <cell r="G64">
            <v>123.5</v>
          </cell>
          <cell r="H64">
            <v>117.3</v>
          </cell>
          <cell r="I64">
            <v>122.7</v>
          </cell>
          <cell r="J64">
            <v>107.9</v>
          </cell>
          <cell r="K64">
            <v>127.3</v>
          </cell>
          <cell r="L64">
            <v>162.1</v>
          </cell>
          <cell r="M64">
            <v>115.6</v>
          </cell>
          <cell r="N64">
            <v>103.8</v>
          </cell>
          <cell r="O64">
            <v>117.6</v>
          </cell>
          <cell r="P64">
            <v>115.8</v>
          </cell>
          <cell r="Q64">
            <v>123.8</v>
          </cell>
          <cell r="R64">
            <v>125.8</v>
          </cell>
          <cell r="S64">
            <v>120.8</v>
          </cell>
          <cell r="T64">
            <v>120.7</v>
          </cell>
          <cell r="U64">
            <v>117.2</v>
          </cell>
          <cell r="V64">
            <v>120.1</v>
          </cell>
          <cell r="Z64">
            <v>113.7</v>
          </cell>
          <cell r="AA64">
            <v>112</v>
          </cell>
          <cell r="AB64">
            <v>113.1</v>
          </cell>
          <cell r="AC64">
            <v>118.6</v>
          </cell>
          <cell r="AD64">
            <v>109.5</v>
          </cell>
          <cell r="AE64">
            <v>113.7</v>
          </cell>
          <cell r="AF64">
            <v>120.1</v>
          </cell>
        </row>
        <row r="65">
          <cell r="A65" t="str">
            <v>Rural</v>
          </cell>
          <cell r="B65">
            <v>2014</v>
          </cell>
          <cell r="C65" t="str">
            <v>October</v>
          </cell>
          <cell r="F65">
            <v>122.6</v>
          </cell>
          <cell r="G65">
            <v>122.5</v>
          </cell>
          <cell r="H65">
            <v>118.3</v>
          </cell>
          <cell r="I65">
            <v>123.2</v>
          </cell>
          <cell r="J65">
            <v>110.5</v>
          </cell>
          <cell r="K65">
            <v>128.9</v>
          </cell>
          <cell r="L65">
            <v>155.30000000000001</v>
          </cell>
          <cell r="M65">
            <v>115.5</v>
          </cell>
          <cell r="N65">
            <v>104</v>
          </cell>
          <cell r="O65">
            <v>115.3</v>
          </cell>
          <cell r="P65">
            <v>116.8</v>
          </cell>
          <cell r="Q65">
            <v>123.2</v>
          </cell>
          <cell r="R65">
            <v>125.1</v>
          </cell>
          <cell r="S65">
            <v>120</v>
          </cell>
          <cell r="T65">
            <v>122.7</v>
          </cell>
          <cell r="U65">
            <v>120.3</v>
          </cell>
          <cell r="V65">
            <v>122.3</v>
          </cell>
          <cell r="Z65">
            <v>115.3</v>
          </cell>
          <cell r="AA65">
            <v>112.6</v>
          </cell>
          <cell r="AB65">
            <v>113</v>
          </cell>
          <cell r="AC65">
            <v>116.9</v>
          </cell>
          <cell r="AD65">
            <v>109.3</v>
          </cell>
          <cell r="AE65">
            <v>114</v>
          </cell>
          <cell r="AF65">
            <v>121</v>
          </cell>
        </row>
        <row r="66">
          <cell r="A66" t="str">
            <v>Urban</v>
          </cell>
          <cell r="B66">
            <v>2014</v>
          </cell>
          <cell r="C66" t="str">
            <v>October</v>
          </cell>
          <cell r="F66">
            <v>124.6</v>
          </cell>
          <cell r="G66">
            <v>126.1</v>
          </cell>
          <cell r="H66">
            <v>117.8</v>
          </cell>
          <cell r="I66">
            <v>123.1</v>
          </cell>
          <cell r="J66">
            <v>103.5</v>
          </cell>
          <cell r="K66">
            <v>123.5</v>
          </cell>
          <cell r="L66">
            <v>159.6</v>
          </cell>
          <cell r="M66">
            <v>117.4</v>
          </cell>
          <cell r="N66">
            <v>101.2</v>
          </cell>
          <cell r="O66">
            <v>123.8</v>
          </cell>
          <cell r="P66">
            <v>115.2</v>
          </cell>
          <cell r="Q66">
            <v>125.9</v>
          </cell>
          <cell r="R66">
            <v>125.8</v>
          </cell>
          <cell r="S66">
            <v>124.3</v>
          </cell>
          <cell r="T66">
            <v>119.6</v>
          </cell>
          <cell r="U66">
            <v>114.9</v>
          </cell>
          <cell r="V66">
            <v>118.9</v>
          </cell>
          <cell r="Z66">
            <v>112.6</v>
          </cell>
          <cell r="AA66">
            <v>111</v>
          </cell>
          <cell r="AB66">
            <v>113.6</v>
          </cell>
          <cell r="AC66">
            <v>120.2</v>
          </cell>
          <cell r="AD66">
            <v>110.1</v>
          </cell>
          <cell r="AE66">
            <v>113.7</v>
          </cell>
          <cell r="AF66">
            <v>119.1</v>
          </cell>
        </row>
        <row r="67">
          <cell r="A67" t="str">
            <v>Rural+Urban</v>
          </cell>
          <cell r="B67">
            <v>2014</v>
          </cell>
          <cell r="C67" t="str">
            <v>October</v>
          </cell>
          <cell r="F67">
            <v>123.2</v>
          </cell>
          <cell r="G67">
            <v>123.8</v>
          </cell>
          <cell r="H67">
            <v>118.1</v>
          </cell>
          <cell r="I67">
            <v>123.2</v>
          </cell>
          <cell r="J67">
            <v>107.9</v>
          </cell>
          <cell r="K67">
            <v>126.4</v>
          </cell>
          <cell r="L67">
            <v>156.80000000000001</v>
          </cell>
          <cell r="M67">
            <v>116.1</v>
          </cell>
          <cell r="N67">
            <v>103.1</v>
          </cell>
          <cell r="O67">
            <v>118.1</v>
          </cell>
          <cell r="P67">
            <v>116.1</v>
          </cell>
          <cell r="Q67">
            <v>124.5</v>
          </cell>
          <cell r="R67">
            <v>125.4</v>
          </cell>
          <cell r="S67">
            <v>121.1</v>
          </cell>
          <cell r="T67">
            <v>121.5</v>
          </cell>
          <cell r="U67">
            <v>118.1</v>
          </cell>
          <cell r="V67">
            <v>121</v>
          </cell>
          <cell r="Z67">
            <v>114.3</v>
          </cell>
          <cell r="AA67">
            <v>111.8</v>
          </cell>
          <cell r="AB67">
            <v>113.3</v>
          </cell>
          <cell r="AC67">
            <v>118.8</v>
          </cell>
          <cell r="AD67">
            <v>109.6</v>
          </cell>
          <cell r="AE67">
            <v>113.9</v>
          </cell>
          <cell r="AF67">
            <v>120.1</v>
          </cell>
        </row>
        <row r="68">
          <cell r="A68" t="str">
            <v>Rural</v>
          </cell>
          <cell r="B68">
            <v>2014</v>
          </cell>
          <cell r="C68" t="str">
            <v>November</v>
          </cell>
          <cell r="F68">
            <v>122.7</v>
          </cell>
          <cell r="G68">
            <v>122.6</v>
          </cell>
          <cell r="H68">
            <v>119.9</v>
          </cell>
          <cell r="I68">
            <v>124</v>
          </cell>
          <cell r="J68">
            <v>110.5</v>
          </cell>
          <cell r="K68">
            <v>128.80000000000001</v>
          </cell>
          <cell r="L68">
            <v>152</v>
          </cell>
          <cell r="M68">
            <v>116.2</v>
          </cell>
          <cell r="N68">
            <v>103.3</v>
          </cell>
          <cell r="O68">
            <v>115.8</v>
          </cell>
          <cell r="P68">
            <v>116.8</v>
          </cell>
          <cell r="Q68">
            <v>124.5</v>
          </cell>
          <cell r="R68">
            <v>124.9</v>
          </cell>
          <cell r="S68">
            <v>120.8</v>
          </cell>
          <cell r="T68">
            <v>123.3</v>
          </cell>
          <cell r="U68">
            <v>120.5</v>
          </cell>
          <cell r="V68">
            <v>122.9</v>
          </cell>
          <cell r="Z68">
            <v>115.9</v>
          </cell>
          <cell r="AA68">
            <v>112</v>
          </cell>
          <cell r="AB68">
            <v>113.3</v>
          </cell>
          <cell r="AC68">
            <v>117.2</v>
          </cell>
          <cell r="AD68">
            <v>108.8</v>
          </cell>
          <cell r="AE68">
            <v>114.1</v>
          </cell>
          <cell r="AF68">
            <v>121.1</v>
          </cell>
        </row>
        <row r="69">
          <cell r="A69" t="str">
            <v>Urban</v>
          </cell>
          <cell r="B69">
            <v>2014</v>
          </cell>
          <cell r="C69" t="str">
            <v>November</v>
          </cell>
          <cell r="F69">
            <v>124.5</v>
          </cell>
          <cell r="G69">
            <v>125.6</v>
          </cell>
          <cell r="H69">
            <v>122.7</v>
          </cell>
          <cell r="I69">
            <v>124.6</v>
          </cell>
          <cell r="J69">
            <v>103.2</v>
          </cell>
          <cell r="K69">
            <v>122.2</v>
          </cell>
          <cell r="L69">
            <v>153.19999999999999</v>
          </cell>
          <cell r="M69">
            <v>119.3</v>
          </cell>
          <cell r="N69">
            <v>99.8</v>
          </cell>
          <cell r="O69">
            <v>124.6</v>
          </cell>
          <cell r="P69">
            <v>115.8</v>
          </cell>
          <cell r="Q69">
            <v>126.9</v>
          </cell>
          <cell r="R69">
            <v>125.4</v>
          </cell>
          <cell r="S69">
            <v>125.8</v>
          </cell>
          <cell r="T69">
            <v>120.3</v>
          </cell>
          <cell r="U69">
            <v>115.4</v>
          </cell>
          <cell r="V69">
            <v>119.5</v>
          </cell>
          <cell r="Z69">
            <v>113</v>
          </cell>
          <cell r="AA69">
            <v>109.7</v>
          </cell>
          <cell r="AB69">
            <v>114</v>
          </cell>
          <cell r="AC69">
            <v>120.3</v>
          </cell>
          <cell r="AD69">
            <v>109.6</v>
          </cell>
          <cell r="AE69">
            <v>113.4</v>
          </cell>
          <cell r="AF69">
            <v>119</v>
          </cell>
        </row>
        <row r="70">
          <cell r="A70" t="str">
            <v>Rural+Urban</v>
          </cell>
          <cell r="B70">
            <v>2014</v>
          </cell>
          <cell r="C70" t="str">
            <v>November</v>
          </cell>
          <cell r="F70">
            <v>123.3</v>
          </cell>
          <cell r="G70">
            <v>123.7</v>
          </cell>
          <cell r="H70">
            <v>121</v>
          </cell>
          <cell r="I70">
            <v>124.2</v>
          </cell>
          <cell r="J70">
            <v>107.8</v>
          </cell>
          <cell r="K70">
            <v>125.7</v>
          </cell>
          <cell r="L70">
            <v>152.4</v>
          </cell>
          <cell r="M70">
            <v>117.2</v>
          </cell>
          <cell r="N70">
            <v>102.1</v>
          </cell>
          <cell r="O70">
            <v>118.7</v>
          </cell>
          <cell r="P70">
            <v>116.4</v>
          </cell>
          <cell r="Q70">
            <v>125.6</v>
          </cell>
          <cell r="R70">
            <v>125.1</v>
          </cell>
          <cell r="S70">
            <v>122.1</v>
          </cell>
          <cell r="T70">
            <v>122.1</v>
          </cell>
          <cell r="U70">
            <v>118.4</v>
          </cell>
          <cell r="V70">
            <v>121.6</v>
          </cell>
          <cell r="Z70">
            <v>114.8</v>
          </cell>
          <cell r="AA70">
            <v>110.8</v>
          </cell>
          <cell r="AB70">
            <v>113.7</v>
          </cell>
          <cell r="AC70">
            <v>119</v>
          </cell>
          <cell r="AD70">
            <v>109.1</v>
          </cell>
          <cell r="AE70">
            <v>113.8</v>
          </cell>
          <cell r="AF70">
            <v>120.1</v>
          </cell>
        </row>
        <row r="71">
          <cell r="A71" t="str">
            <v>Rural</v>
          </cell>
          <cell r="B71">
            <v>2014</v>
          </cell>
          <cell r="C71" t="str">
            <v>December</v>
          </cell>
          <cell r="F71">
            <v>122.4</v>
          </cell>
          <cell r="G71">
            <v>122.4</v>
          </cell>
          <cell r="H71">
            <v>121.8</v>
          </cell>
          <cell r="I71">
            <v>124.2</v>
          </cell>
          <cell r="J71">
            <v>110.2</v>
          </cell>
          <cell r="K71">
            <v>128.6</v>
          </cell>
          <cell r="L71">
            <v>140.30000000000001</v>
          </cell>
          <cell r="M71">
            <v>116.3</v>
          </cell>
          <cell r="N71">
            <v>102</v>
          </cell>
          <cell r="O71">
            <v>116</v>
          </cell>
          <cell r="P71">
            <v>117.3</v>
          </cell>
          <cell r="Q71">
            <v>124.8</v>
          </cell>
          <cell r="R71">
            <v>123.3</v>
          </cell>
          <cell r="S71">
            <v>121.7</v>
          </cell>
          <cell r="T71">
            <v>123.8</v>
          </cell>
          <cell r="U71">
            <v>120.6</v>
          </cell>
          <cell r="V71">
            <v>123.3</v>
          </cell>
          <cell r="Z71">
            <v>116.2</v>
          </cell>
          <cell r="AA71">
            <v>111.5</v>
          </cell>
          <cell r="AB71">
            <v>113.3</v>
          </cell>
          <cell r="AC71">
            <v>117.7</v>
          </cell>
          <cell r="AD71">
            <v>109.4</v>
          </cell>
          <cell r="AE71">
            <v>114.2</v>
          </cell>
          <cell r="AF71">
            <v>120.3</v>
          </cell>
        </row>
        <row r="72">
          <cell r="A72" t="str">
            <v>Urban</v>
          </cell>
          <cell r="B72">
            <v>2014</v>
          </cell>
          <cell r="C72" t="str">
            <v>December</v>
          </cell>
          <cell r="F72">
            <v>124</v>
          </cell>
          <cell r="G72">
            <v>124.7</v>
          </cell>
          <cell r="H72">
            <v>126.3</v>
          </cell>
          <cell r="I72">
            <v>124.9</v>
          </cell>
          <cell r="J72">
            <v>103</v>
          </cell>
          <cell r="K72">
            <v>122.3</v>
          </cell>
          <cell r="L72">
            <v>141</v>
          </cell>
          <cell r="M72">
            <v>120.1</v>
          </cell>
          <cell r="N72">
            <v>97.8</v>
          </cell>
          <cell r="O72">
            <v>125.4</v>
          </cell>
          <cell r="P72">
            <v>116.1</v>
          </cell>
          <cell r="Q72">
            <v>127.6</v>
          </cell>
          <cell r="R72">
            <v>124</v>
          </cell>
          <cell r="S72">
            <v>126.4</v>
          </cell>
          <cell r="T72">
            <v>120.7</v>
          </cell>
          <cell r="U72">
            <v>115.8</v>
          </cell>
          <cell r="V72">
            <v>120</v>
          </cell>
          <cell r="Z72">
            <v>113.2</v>
          </cell>
          <cell r="AA72">
            <v>108.8</v>
          </cell>
          <cell r="AB72">
            <v>114.3</v>
          </cell>
          <cell r="AC72">
            <v>120.7</v>
          </cell>
          <cell r="AD72">
            <v>110.4</v>
          </cell>
          <cell r="AE72">
            <v>113.4</v>
          </cell>
          <cell r="AF72">
            <v>118.4</v>
          </cell>
        </row>
        <row r="73">
          <cell r="A73" t="str">
            <v>Rural+Urban</v>
          </cell>
          <cell r="B73">
            <v>2014</v>
          </cell>
          <cell r="C73" t="str">
            <v>December</v>
          </cell>
          <cell r="F73">
            <v>122.9</v>
          </cell>
          <cell r="G73">
            <v>123.2</v>
          </cell>
          <cell r="H73">
            <v>123.5</v>
          </cell>
          <cell r="I73">
            <v>124.5</v>
          </cell>
          <cell r="J73">
            <v>107.6</v>
          </cell>
          <cell r="K73">
            <v>125.7</v>
          </cell>
          <cell r="L73">
            <v>140.5</v>
          </cell>
          <cell r="M73">
            <v>117.6</v>
          </cell>
          <cell r="N73">
            <v>100.6</v>
          </cell>
          <cell r="O73">
            <v>119.1</v>
          </cell>
          <cell r="P73">
            <v>116.8</v>
          </cell>
          <cell r="Q73">
            <v>126.1</v>
          </cell>
          <cell r="R73">
            <v>123.6</v>
          </cell>
          <cell r="S73">
            <v>123</v>
          </cell>
          <cell r="T73">
            <v>122.6</v>
          </cell>
          <cell r="U73">
            <v>118.6</v>
          </cell>
          <cell r="V73">
            <v>122</v>
          </cell>
          <cell r="Z73">
            <v>115.1</v>
          </cell>
          <cell r="AA73">
            <v>110.1</v>
          </cell>
          <cell r="AB73">
            <v>113.9</v>
          </cell>
          <cell r="AC73">
            <v>119.5</v>
          </cell>
          <cell r="AD73">
            <v>109.8</v>
          </cell>
          <cell r="AE73">
            <v>113.8</v>
          </cell>
          <cell r="AF73">
            <v>119.4</v>
          </cell>
        </row>
        <row r="74">
          <cell r="A74" t="str">
            <v>Rural</v>
          </cell>
          <cell r="B74">
            <v>2015</v>
          </cell>
          <cell r="C74" t="str">
            <v>January</v>
          </cell>
          <cell r="F74">
            <v>123.1</v>
          </cell>
          <cell r="G74">
            <v>123.1</v>
          </cell>
          <cell r="H74">
            <v>122.1</v>
          </cell>
          <cell r="I74">
            <v>124.9</v>
          </cell>
          <cell r="J74">
            <v>111</v>
          </cell>
          <cell r="K74">
            <v>130.4</v>
          </cell>
          <cell r="L74">
            <v>132.30000000000001</v>
          </cell>
          <cell r="M74">
            <v>117.2</v>
          </cell>
          <cell r="N74">
            <v>100.5</v>
          </cell>
          <cell r="O74">
            <v>117.2</v>
          </cell>
          <cell r="P74">
            <v>117.9</v>
          </cell>
          <cell r="Q74">
            <v>125.6</v>
          </cell>
          <cell r="R74">
            <v>122.8</v>
          </cell>
          <cell r="S74">
            <v>122.7</v>
          </cell>
          <cell r="T74">
            <v>124.4</v>
          </cell>
          <cell r="U74">
            <v>121.6</v>
          </cell>
          <cell r="V74">
            <v>124</v>
          </cell>
          <cell r="Z74">
            <v>116.6</v>
          </cell>
          <cell r="AA74">
            <v>111</v>
          </cell>
          <cell r="AB74">
            <v>114</v>
          </cell>
          <cell r="AC74">
            <v>118.2</v>
          </cell>
          <cell r="AD74">
            <v>110.2</v>
          </cell>
          <cell r="AE74">
            <v>114.5</v>
          </cell>
          <cell r="AF74">
            <v>120.3</v>
          </cell>
        </row>
        <row r="75">
          <cell r="A75" t="str">
            <v>Urban</v>
          </cell>
          <cell r="B75">
            <v>2015</v>
          </cell>
          <cell r="C75" t="str">
            <v>January</v>
          </cell>
          <cell r="F75">
            <v>124</v>
          </cell>
          <cell r="G75">
            <v>125.5</v>
          </cell>
          <cell r="H75">
            <v>126.6</v>
          </cell>
          <cell r="I75">
            <v>125.2</v>
          </cell>
          <cell r="J75">
            <v>104.3</v>
          </cell>
          <cell r="K75">
            <v>121.3</v>
          </cell>
          <cell r="L75">
            <v>134.4</v>
          </cell>
          <cell r="M75">
            <v>122.9</v>
          </cell>
          <cell r="N75">
            <v>96.1</v>
          </cell>
          <cell r="O75">
            <v>126.6</v>
          </cell>
          <cell r="P75">
            <v>116.5</v>
          </cell>
          <cell r="Q75">
            <v>128</v>
          </cell>
          <cell r="R75">
            <v>123.5</v>
          </cell>
          <cell r="S75">
            <v>127.4</v>
          </cell>
          <cell r="T75">
            <v>121</v>
          </cell>
          <cell r="U75">
            <v>116.1</v>
          </cell>
          <cell r="V75">
            <v>120.2</v>
          </cell>
          <cell r="Z75">
            <v>113.7</v>
          </cell>
          <cell r="AA75">
            <v>107.9</v>
          </cell>
          <cell r="AB75">
            <v>114.6</v>
          </cell>
          <cell r="AC75">
            <v>120.8</v>
          </cell>
          <cell r="AD75">
            <v>111.4</v>
          </cell>
          <cell r="AE75">
            <v>113.4</v>
          </cell>
          <cell r="AF75">
            <v>118.5</v>
          </cell>
        </row>
        <row r="76">
          <cell r="A76" t="str">
            <v>Rural+Urban</v>
          </cell>
          <cell r="B76">
            <v>2015</v>
          </cell>
          <cell r="C76" t="str">
            <v>January</v>
          </cell>
          <cell r="F76">
            <v>123.4</v>
          </cell>
          <cell r="G76">
            <v>123.9</v>
          </cell>
          <cell r="H76">
            <v>123.8</v>
          </cell>
          <cell r="I76">
            <v>125</v>
          </cell>
          <cell r="J76">
            <v>108.5</v>
          </cell>
          <cell r="K76">
            <v>126.2</v>
          </cell>
          <cell r="L76">
            <v>133</v>
          </cell>
          <cell r="M76">
            <v>119.1</v>
          </cell>
          <cell r="N76">
            <v>99</v>
          </cell>
          <cell r="O76">
            <v>120.3</v>
          </cell>
          <cell r="P76">
            <v>117.3</v>
          </cell>
          <cell r="Q76">
            <v>126.7</v>
          </cell>
          <cell r="R76">
            <v>123.1</v>
          </cell>
          <cell r="S76">
            <v>124</v>
          </cell>
          <cell r="T76">
            <v>123.1</v>
          </cell>
          <cell r="U76">
            <v>119.3</v>
          </cell>
          <cell r="V76">
            <v>122.5</v>
          </cell>
          <cell r="Z76">
            <v>115.5</v>
          </cell>
          <cell r="AA76">
            <v>109.4</v>
          </cell>
          <cell r="AB76">
            <v>114.3</v>
          </cell>
          <cell r="AC76">
            <v>119.7</v>
          </cell>
          <cell r="AD76">
            <v>110.7</v>
          </cell>
          <cell r="AE76">
            <v>114</v>
          </cell>
          <cell r="AF76">
            <v>119.5</v>
          </cell>
        </row>
        <row r="77">
          <cell r="A77" t="str">
            <v>Rural</v>
          </cell>
          <cell r="B77">
            <v>2015</v>
          </cell>
          <cell r="C77" t="str">
            <v>February</v>
          </cell>
          <cell r="F77">
            <v>123.4</v>
          </cell>
          <cell r="G77">
            <v>124.4</v>
          </cell>
          <cell r="H77">
            <v>122.1</v>
          </cell>
          <cell r="I77">
            <v>125.8</v>
          </cell>
          <cell r="J77">
            <v>111.5</v>
          </cell>
          <cell r="K77">
            <v>129.4</v>
          </cell>
          <cell r="L77">
            <v>128.19999999999999</v>
          </cell>
          <cell r="M77">
            <v>118.8</v>
          </cell>
          <cell r="N77">
            <v>100</v>
          </cell>
          <cell r="O77">
            <v>118.6</v>
          </cell>
          <cell r="P77">
            <v>118.8</v>
          </cell>
          <cell r="Q77">
            <v>126.8</v>
          </cell>
          <cell r="R77">
            <v>122.8</v>
          </cell>
          <cell r="S77">
            <v>124.2</v>
          </cell>
          <cell r="T77">
            <v>125.4</v>
          </cell>
          <cell r="U77">
            <v>122.7</v>
          </cell>
          <cell r="V77">
            <v>125</v>
          </cell>
          <cell r="Z77">
            <v>117.7</v>
          </cell>
          <cell r="AA77">
            <v>110.9</v>
          </cell>
          <cell r="AB77">
            <v>114.8</v>
          </cell>
          <cell r="AC77">
            <v>118.7</v>
          </cell>
          <cell r="AD77">
            <v>110.8</v>
          </cell>
          <cell r="AE77">
            <v>115</v>
          </cell>
          <cell r="AF77">
            <v>120.6</v>
          </cell>
        </row>
        <row r="78">
          <cell r="A78" t="str">
            <v>Urban</v>
          </cell>
          <cell r="B78">
            <v>2015</v>
          </cell>
          <cell r="C78" t="str">
            <v>February</v>
          </cell>
          <cell r="F78">
            <v>124.3</v>
          </cell>
          <cell r="G78">
            <v>126.5</v>
          </cell>
          <cell r="H78">
            <v>119.5</v>
          </cell>
          <cell r="I78">
            <v>125.6</v>
          </cell>
          <cell r="J78">
            <v>104.9</v>
          </cell>
          <cell r="K78">
            <v>121.6</v>
          </cell>
          <cell r="L78">
            <v>131.80000000000001</v>
          </cell>
          <cell r="M78">
            <v>125.1</v>
          </cell>
          <cell r="N78">
            <v>95</v>
          </cell>
          <cell r="O78">
            <v>127.7</v>
          </cell>
          <cell r="P78">
            <v>116.8</v>
          </cell>
          <cell r="Q78">
            <v>128.6</v>
          </cell>
          <cell r="R78">
            <v>123.7</v>
          </cell>
          <cell r="S78">
            <v>128.1</v>
          </cell>
          <cell r="T78">
            <v>121.3</v>
          </cell>
          <cell r="U78">
            <v>116.5</v>
          </cell>
          <cell r="V78">
            <v>120.6</v>
          </cell>
          <cell r="Z78">
            <v>114.1</v>
          </cell>
          <cell r="AA78">
            <v>106.8</v>
          </cell>
          <cell r="AB78">
            <v>114.9</v>
          </cell>
          <cell r="AC78">
            <v>120.4</v>
          </cell>
          <cell r="AD78">
            <v>111.7</v>
          </cell>
          <cell r="AE78">
            <v>113.2</v>
          </cell>
          <cell r="AF78">
            <v>118.7</v>
          </cell>
        </row>
        <row r="79">
          <cell r="A79" t="str">
            <v>Rural+Urban</v>
          </cell>
          <cell r="B79">
            <v>2015</v>
          </cell>
          <cell r="C79" t="str">
            <v>February</v>
          </cell>
          <cell r="F79">
            <v>123.7</v>
          </cell>
          <cell r="G79">
            <v>125.1</v>
          </cell>
          <cell r="H79">
            <v>121.1</v>
          </cell>
          <cell r="I79">
            <v>125.7</v>
          </cell>
          <cell r="J79">
            <v>109.1</v>
          </cell>
          <cell r="K79">
            <v>125.8</v>
          </cell>
          <cell r="L79">
            <v>129.4</v>
          </cell>
          <cell r="M79">
            <v>120.9</v>
          </cell>
          <cell r="N79">
            <v>98.3</v>
          </cell>
          <cell r="O79">
            <v>121.6</v>
          </cell>
          <cell r="P79">
            <v>118</v>
          </cell>
          <cell r="Q79">
            <v>127.6</v>
          </cell>
          <cell r="R79">
            <v>123.1</v>
          </cell>
          <cell r="S79">
            <v>125.2</v>
          </cell>
          <cell r="T79">
            <v>123.8</v>
          </cell>
          <cell r="U79">
            <v>120.1</v>
          </cell>
          <cell r="V79">
            <v>123.3</v>
          </cell>
          <cell r="Z79">
            <v>116.3</v>
          </cell>
          <cell r="AA79">
            <v>108.7</v>
          </cell>
          <cell r="AB79">
            <v>114.9</v>
          </cell>
          <cell r="AC79">
            <v>119.7</v>
          </cell>
          <cell r="AD79">
            <v>111.2</v>
          </cell>
          <cell r="AE79">
            <v>114.1</v>
          </cell>
          <cell r="AF79">
            <v>119.7</v>
          </cell>
        </row>
        <row r="80">
          <cell r="A80" t="str">
            <v>Rural</v>
          </cell>
          <cell r="B80">
            <v>2015</v>
          </cell>
          <cell r="C80" t="str">
            <v>March</v>
          </cell>
          <cell r="F80">
            <v>123.3</v>
          </cell>
          <cell r="G80">
            <v>124.7</v>
          </cell>
          <cell r="H80">
            <v>118.9</v>
          </cell>
          <cell r="I80">
            <v>126</v>
          </cell>
          <cell r="J80">
            <v>111.8</v>
          </cell>
          <cell r="K80">
            <v>130.9</v>
          </cell>
          <cell r="L80">
            <v>128</v>
          </cell>
          <cell r="M80">
            <v>119.9</v>
          </cell>
          <cell r="N80">
            <v>98.9</v>
          </cell>
          <cell r="O80">
            <v>119.4</v>
          </cell>
          <cell r="P80">
            <v>118.9</v>
          </cell>
          <cell r="Q80">
            <v>127.7</v>
          </cell>
          <cell r="R80">
            <v>123.1</v>
          </cell>
          <cell r="S80">
            <v>124.7</v>
          </cell>
          <cell r="T80">
            <v>126</v>
          </cell>
          <cell r="U80">
            <v>122.9</v>
          </cell>
          <cell r="V80">
            <v>125.5</v>
          </cell>
          <cell r="Z80">
            <v>118.2</v>
          </cell>
          <cell r="AA80">
            <v>111.6</v>
          </cell>
          <cell r="AB80">
            <v>115.5</v>
          </cell>
          <cell r="AC80">
            <v>119.4</v>
          </cell>
          <cell r="AD80">
            <v>110.8</v>
          </cell>
          <cell r="AE80">
            <v>115.5</v>
          </cell>
          <cell r="AF80">
            <v>121.1</v>
          </cell>
        </row>
        <row r="81">
          <cell r="A81" t="str">
            <v>Urban</v>
          </cell>
          <cell r="B81">
            <v>2015</v>
          </cell>
          <cell r="C81" t="str">
            <v>March</v>
          </cell>
          <cell r="F81">
            <v>124</v>
          </cell>
          <cell r="G81">
            <v>126.7</v>
          </cell>
          <cell r="H81">
            <v>113.5</v>
          </cell>
          <cell r="I81">
            <v>125.9</v>
          </cell>
          <cell r="J81">
            <v>104.8</v>
          </cell>
          <cell r="K81">
            <v>123.8</v>
          </cell>
          <cell r="L81">
            <v>131.4</v>
          </cell>
          <cell r="M81">
            <v>127.2</v>
          </cell>
          <cell r="N81">
            <v>93.2</v>
          </cell>
          <cell r="O81">
            <v>127.4</v>
          </cell>
          <cell r="P81">
            <v>117</v>
          </cell>
          <cell r="Q81">
            <v>129.19999999999999</v>
          </cell>
          <cell r="R81">
            <v>123.9</v>
          </cell>
          <cell r="S81">
            <v>128.80000000000001</v>
          </cell>
          <cell r="T81">
            <v>121.7</v>
          </cell>
          <cell r="U81">
            <v>116.9</v>
          </cell>
          <cell r="V81">
            <v>120.9</v>
          </cell>
          <cell r="Z81">
            <v>114.3</v>
          </cell>
          <cell r="AA81">
            <v>108.4</v>
          </cell>
          <cell r="AB81">
            <v>115.4</v>
          </cell>
          <cell r="AC81">
            <v>120.6</v>
          </cell>
          <cell r="AD81">
            <v>111.3</v>
          </cell>
          <cell r="AE81">
            <v>113.8</v>
          </cell>
          <cell r="AF81">
            <v>119.1</v>
          </cell>
        </row>
        <row r="82">
          <cell r="A82" t="str">
            <v>Rural+Urban</v>
          </cell>
          <cell r="B82">
            <v>2015</v>
          </cell>
          <cell r="C82" t="str">
            <v>March</v>
          </cell>
          <cell r="F82">
            <v>123.5</v>
          </cell>
          <cell r="G82">
            <v>125.4</v>
          </cell>
          <cell r="H82">
            <v>116.8</v>
          </cell>
          <cell r="I82">
            <v>126</v>
          </cell>
          <cell r="J82">
            <v>109.2</v>
          </cell>
          <cell r="K82">
            <v>127.6</v>
          </cell>
          <cell r="L82">
            <v>129.19999999999999</v>
          </cell>
          <cell r="M82">
            <v>122.4</v>
          </cell>
          <cell r="N82">
            <v>97</v>
          </cell>
          <cell r="O82">
            <v>122.1</v>
          </cell>
          <cell r="P82">
            <v>118.1</v>
          </cell>
          <cell r="Q82">
            <v>128.4</v>
          </cell>
          <cell r="R82">
            <v>123.4</v>
          </cell>
          <cell r="S82">
            <v>125.8</v>
          </cell>
          <cell r="T82">
            <v>124.3</v>
          </cell>
          <cell r="U82">
            <v>120.4</v>
          </cell>
          <cell r="V82">
            <v>123.7</v>
          </cell>
          <cell r="Z82">
            <v>116.7</v>
          </cell>
          <cell r="AA82">
            <v>109.9</v>
          </cell>
          <cell r="AB82">
            <v>115.4</v>
          </cell>
          <cell r="AC82">
            <v>120.1</v>
          </cell>
          <cell r="AD82">
            <v>111</v>
          </cell>
          <cell r="AE82">
            <v>114.7</v>
          </cell>
          <cell r="AF82">
            <v>120.2</v>
          </cell>
        </row>
        <row r="83">
          <cell r="A83" t="str">
            <v>Rural</v>
          </cell>
          <cell r="B83">
            <v>2015</v>
          </cell>
          <cell r="C83" t="str">
            <v>April</v>
          </cell>
          <cell r="F83">
            <v>123.3</v>
          </cell>
          <cell r="G83">
            <v>125.5</v>
          </cell>
          <cell r="H83">
            <v>117.2</v>
          </cell>
          <cell r="I83">
            <v>126.8</v>
          </cell>
          <cell r="J83">
            <v>111.9</v>
          </cell>
          <cell r="K83">
            <v>134.19999999999999</v>
          </cell>
          <cell r="L83">
            <v>127.5</v>
          </cell>
          <cell r="M83">
            <v>121.5</v>
          </cell>
          <cell r="N83">
            <v>97.8</v>
          </cell>
          <cell r="O83">
            <v>119.8</v>
          </cell>
          <cell r="P83">
            <v>119.4</v>
          </cell>
          <cell r="Q83">
            <v>128.69999999999999</v>
          </cell>
          <cell r="R83">
            <v>123.6</v>
          </cell>
          <cell r="S83">
            <v>125.7</v>
          </cell>
          <cell r="T83">
            <v>126.4</v>
          </cell>
          <cell r="U83">
            <v>123.3</v>
          </cell>
          <cell r="V83">
            <v>126</v>
          </cell>
          <cell r="Z83">
            <v>118.6</v>
          </cell>
          <cell r="AA83">
            <v>111.9</v>
          </cell>
          <cell r="AB83">
            <v>116.2</v>
          </cell>
          <cell r="AC83">
            <v>119.9</v>
          </cell>
          <cell r="AD83">
            <v>111.6</v>
          </cell>
          <cell r="AE83">
            <v>116</v>
          </cell>
          <cell r="AF83">
            <v>121.5</v>
          </cell>
        </row>
        <row r="84">
          <cell r="A84" t="str">
            <v>Urban</v>
          </cell>
          <cell r="B84">
            <v>2015</v>
          </cell>
          <cell r="C84" t="str">
            <v>April</v>
          </cell>
          <cell r="F84">
            <v>123.8</v>
          </cell>
          <cell r="G84">
            <v>128.19999999999999</v>
          </cell>
          <cell r="H84">
            <v>110</v>
          </cell>
          <cell r="I84">
            <v>126.3</v>
          </cell>
          <cell r="J84">
            <v>104.5</v>
          </cell>
          <cell r="K84">
            <v>130.6</v>
          </cell>
          <cell r="L84">
            <v>130.80000000000001</v>
          </cell>
          <cell r="M84">
            <v>131.30000000000001</v>
          </cell>
          <cell r="N84">
            <v>91.6</v>
          </cell>
          <cell r="O84">
            <v>127.7</v>
          </cell>
          <cell r="P84">
            <v>117.2</v>
          </cell>
          <cell r="Q84">
            <v>129.5</v>
          </cell>
          <cell r="R84">
            <v>124.6</v>
          </cell>
          <cell r="S84">
            <v>130.1</v>
          </cell>
          <cell r="T84">
            <v>122.1</v>
          </cell>
          <cell r="U84">
            <v>117.2</v>
          </cell>
          <cell r="V84">
            <v>121.3</v>
          </cell>
          <cell r="Z84">
            <v>114.6</v>
          </cell>
          <cell r="AA84">
            <v>108.4</v>
          </cell>
          <cell r="AB84">
            <v>115.6</v>
          </cell>
          <cell r="AC84">
            <v>121.7</v>
          </cell>
          <cell r="AD84">
            <v>111.8</v>
          </cell>
          <cell r="AE84">
            <v>114.2</v>
          </cell>
          <cell r="AF84">
            <v>119.7</v>
          </cell>
        </row>
        <row r="85">
          <cell r="A85" t="str">
            <v>Rural+Urban</v>
          </cell>
          <cell r="B85">
            <v>2015</v>
          </cell>
          <cell r="C85" t="str">
            <v>April</v>
          </cell>
          <cell r="F85">
            <v>123.5</v>
          </cell>
          <cell r="G85">
            <v>126.4</v>
          </cell>
          <cell r="H85">
            <v>114.4</v>
          </cell>
          <cell r="I85">
            <v>126.6</v>
          </cell>
          <cell r="J85">
            <v>109.2</v>
          </cell>
          <cell r="K85">
            <v>132.5</v>
          </cell>
          <cell r="L85">
            <v>128.6</v>
          </cell>
          <cell r="M85">
            <v>124.8</v>
          </cell>
          <cell r="N85">
            <v>95.7</v>
          </cell>
          <cell r="O85">
            <v>122.4</v>
          </cell>
          <cell r="P85">
            <v>118.5</v>
          </cell>
          <cell r="Q85">
            <v>129.1</v>
          </cell>
          <cell r="R85">
            <v>124</v>
          </cell>
          <cell r="S85">
            <v>126.9</v>
          </cell>
          <cell r="T85">
            <v>124.7</v>
          </cell>
          <cell r="U85">
            <v>120.8</v>
          </cell>
          <cell r="V85">
            <v>124.1</v>
          </cell>
          <cell r="Z85">
            <v>117.1</v>
          </cell>
          <cell r="AA85">
            <v>110.1</v>
          </cell>
          <cell r="AB85">
            <v>115.9</v>
          </cell>
          <cell r="AC85">
            <v>121</v>
          </cell>
          <cell r="AD85">
            <v>111.7</v>
          </cell>
          <cell r="AE85">
            <v>115.1</v>
          </cell>
          <cell r="AF85">
            <v>120.7</v>
          </cell>
        </row>
        <row r="86">
          <cell r="A86" t="str">
            <v>Rural</v>
          </cell>
          <cell r="B86">
            <v>2015</v>
          </cell>
          <cell r="C86" t="str">
            <v>May</v>
          </cell>
          <cell r="F86">
            <v>123.5</v>
          </cell>
          <cell r="G86">
            <v>127.1</v>
          </cell>
          <cell r="H86">
            <v>117.3</v>
          </cell>
          <cell r="I86">
            <v>127.7</v>
          </cell>
          <cell r="J86">
            <v>112.5</v>
          </cell>
          <cell r="K86">
            <v>134.1</v>
          </cell>
          <cell r="L86">
            <v>128.5</v>
          </cell>
          <cell r="M86">
            <v>124.3</v>
          </cell>
          <cell r="N86">
            <v>97.6</v>
          </cell>
          <cell r="O86">
            <v>120.7</v>
          </cell>
          <cell r="P86">
            <v>120.2</v>
          </cell>
          <cell r="Q86">
            <v>129.80000000000001</v>
          </cell>
          <cell r="R86">
            <v>124.4</v>
          </cell>
          <cell r="S86">
            <v>126.7</v>
          </cell>
          <cell r="T86">
            <v>127.3</v>
          </cell>
          <cell r="U86">
            <v>124.1</v>
          </cell>
          <cell r="V86">
            <v>126.8</v>
          </cell>
          <cell r="Z86">
            <v>119.4</v>
          </cell>
          <cell r="AA86">
            <v>113.3</v>
          </cell>
          <cell r="AB86">
            <v>116.7</v>
          </cell>
          <cell r="AC86">
            <v>120.5</v>
          </cell>
          <cell r="AD86">
            <v>112.3</v>
          </cell>
          <cell r="AE86">
            <v>116.9</v>
          </cell>
          <cell r="AF86">
            <v>122.4</v>
          </cell>
        </row>
        <row r="87">
          <cell r="A87" t="str">
            <v>Urban</v>
          </cell>
          <cell r="B87">
            <v>2015</v>
          </cell>
          <cell r="C87" t="str">
            <v>May</v>
          </cell>
          <cell r="F87">
            <v>123.8</v>
          </cell>
          <cell r="G87">
            <v>129.69999999999999</v>
          </cell>
          <cell r="H87">
            <v>111.3</v>
          </cell>
          <cell r="I87">
            <v>126.6</v>
          </cell>
          <cell r="J87">
            <v>105.2</v>
          </cell>
          <cell r="K87">
            <v>130.80000000000001</v>
          </cell>
          <cell r="L87">
            <v>135.6</v>
          </cell>
          <cell r="M87">
            <v>142.6</v>
          </cell>
          <cell r="N87">
            <v>90.8</v>
          </cell>
          <cell r="O87">
            <v>128.80000000000001</v>
          </cell>
          <cell r="P87">
            <v>117.7</v>
          </cell>
          <cell r="Q87">
            <v>129.9</v>
          </cell>
          <cell r="R87">
            <v>126.1</v>
          </cell>
          <cell r="S87">
            <v>131.30000000000001</v>
          </cell>
          <cell r="T87">
            <v>122.4</v>
          </cell>
          <cell r="U87">
            <v>117.4</v>
          </cell>
          <cell r="V87">
            <v>121.6</v>
          </cell>
          <cell r="Z87">
            <v>114.9</v>
          </cell>
          <cell r="AA87">
            <v>110.8</v>
          </cell>
          <cell r="AB87">
            <v>116</v>
          </cell>
          <cell r="AC87">
            <v>122</v>
          </cell>
          <cell r="AD87">
            <v>112.4</v>
          </cell>
          <cell r="AE87">
            <v>115.2</v>
          </cell>
          <cell r="AF87">
            <v>120.7</v>
          </cell>
        </row>
        <row r="88">
          <cell r="A88" t="str">
            <v>Rural+Urban</v>
          </cell>
          <cell r="B88">
            <v>2015</v>
          </cell>
          <cell r="C88" t="str">
            <v>May</v>
          </cell>
          <cell r="F88">
            <v>123.6</v>
          </cell>
          <cell r="G88">
            <v>128</v>
          </cell>
          <cell r="H88">
            <v>115</v>
          </cell>
          <cell r="I88">
            <v>127.3</v>
          </cell>
          <cell r="J88">
            <v>109.8</v>
          </cell>
          <cell r="K88">
            <v>132.6</v>
          </cell>
          <cell r="L88">
            <v>130.9</v>
          </cell>
          <cell r="M88">
            <v>130.5</v>
          </cell>
          <cell r="N88">
            <v>95.3</v>
          </cell>
          <cell r="O88">
            <v>123.4</v>
          </cell>
          <cell r="P88">
            <v>119.2</v>
          </cell>
          <cell r="Q88">
            <v>129.80000000000001</v>
          </cell>
          <cell r="R88">
            <v>125</v>
          </cell>
          <cell r="S88">
            <v>127.9</v>
          </cell>
          <cell r="T88">
            <v>125.4</v>
          </cell>
          <cell r="U88">
            <v>121.3</v>
          </cell>
          <cell r="V88">
            <v>124.7</v>
          </cell>
          <cell r="Z88">
            <v>117.7</v>
          </cell>
          <cell r="AA88">
            <v>112</v>
          </cell>
          <cell r="AB88">
            <v>116.3</v>
          </cell>
          <cell r="AC88">
            <v>121.4</v>
          </cell>
          <cell r="AD88">
            <v>112.3</v>
          </cell>
          <cell r="AE88">
            <v>116.1</v>
          </cell>
          <cell r="AF88">
            <v>121.6</v>
          </cell>
        </row>
        <row r="89">
          <cell r="A89" t="str">
            <v>Rural</v>
          </cell>
          <cell r="B89">
            <v>2015</v>
          </cell>
          <cell r="C89" t="str">
            <v>June</v>
          </cell>
          <cell r="F89">
            <v>124.1</v>
          </cell>
          <cell r="G89">
            <v>130.4</v>
          </cell>
          <cell r="H89">
            <v>122.1</v>
          </cell>
          <cell r="I89">
            <v>128.69999999999999</v>
          </cell>
          <cell r="J89">
            <v>114.1</v>
          </cell>
          <cell r="K89">
            <v>133.19999999999999</v>
          </cell>
          <cell r="L89">
            <v>135.19999999999999</v>
          </cell>
          <cell r="M89">
            <v>131.9</v>
          </cell>
          <cell r="N89">
            <v>96.3</v>
          </cell>
          <cell r="O89">
            <v>123</v>
          </cell>
          <cell r="P89">
            <v>121.1</v>
          </cell>
          <cell r="Q89">
            <v>131.19999999999999</v>
          </cell>
          <cell r="R89">
            <v>126.6</v>
          </cell>
          <cell r="S89">
            <v>128.19999999999999</v>
          </cell>
          <cell r="T89">
            <v>128.4</v>
          </cell>
          <cell r="U89">
            <v>125.1</v>
          </cell>
          <cell r="V89">
            <v>128</v>
          </cell>
          <cell r="Z89">
            <v>120.4</v>
          </cell>
          <cell r="AA89">
            <v>114.2</v>
          </cell>
          <cell r="AB89">
            <v>117.9</v>
          </cell>
          <cell r="AC89">
            <v>122</v>
          </cell>
          <cell r="AD89">
            <v>113</v>
          </cell>
          <cell r="AE89">
            <v>117.9</v>
          </cell>
          <cell r="AF89">
            <v>124.1</v>
          </cell>
        </row>
        <row r="90">
          <cell r="A90" t="str">
            <v>Urban</v>
          </cell>
          <cell r="B90">
            <v>2015</v>
          </cell>
          <cell r="C90" t="str">
            <v>June</v>
          </cell>
          <cell r="F90">
            <v>123.6</v>
          </cell>
          <cell r="G90">
            <v>134.4</v>
          </cell>
          <cell r="H90">
            <v>120.9</v>
          </cell>
          <cell r="I90">
            <v>127.3</v>
          </cell>
          <cell r="J90">
            <v>106</v>
          </cell>
          <cell r="K90">
            <v>132.30000000000001</v>
          </cell>
          <cell r="L90">
            <v>146.69999999999999</v>
          </cell>
          <cell r="M90">
            <v>148.1</v>
          </cell>
          <cell r="N90">
            <v>89.8</v>
          </cell>
          <cell r="O90">
            <v>130.5</v>
          </cell>
          <cell r="P90">
            <v>118</v>
          </cell>
          <cell r="Q90">
            <v>130.5</v>
          </cell>
          <cell r="R90">
            <v>128.5</v>
          </cell>
          <cell r="S90">
            <v>132.1</v>
          </cell>
          <cell r="T90">
            <v>123.2</v>
          </cell>
          <cell r="U90">
            <v>117.6</v>
          </cell>
          <cell r="V90">
            <v>122.3</v>
          </cell>
          <cell r="Z90">
            <v>115.4</v>
          </cell>
          <cell r="AA90">
            <v>111.7</v>
          </cell>
          <cell r="AB90">
            <v>116.2</v>
          </cell>
          <cell r="AC90">
            <v>123.8</v>
          </cell>
          <cell r="AD90">
            <v>112.5</v>
          </cell>
          <cell r="AE90">
            <v>116</v>
          </cell>
          <cell r="AF90">
            <v>121.7</v>
          </cell>
        </row>
        <row r="91">
          <cell r="A91" t="str">
            <v>Rural+Urban</v>
          </cell>
          <cell r="B91">
            <v>2015</v>
          </cell>
          <cell r="C91" t="str">
            <v>June</v>
          </cell>
          <cell r="F91">
            <v>123.9</v>
          </cell>
          <cell r="G91">
            <v>131.80000000000001</v>
          </cell>
          <cell r="H91">
            <v>121.6</v>
          </cell>
          <cell r="I91">
            <v>128.19999999999999</v>
          </cell>
          <cell r="J91">
            <v>111.1</v>
          </cell>
          <cell r="K91">
            <v>132.80000000000001</v>
          </cell>
          <cell r="L91">
            <v>139.1</v>
          </cell>
          <cell r="M91">
            <v>137.4</v>
          </cell>
          <cell r="N91">
            <v>94.1</v>
          </cell>
          <cell r="O91">
            <v>125.5</v>
          </cell>
          <cell r="P91">
            <v>119.8</v>
          </cell>
          <cell r="Q91">
            <v>130.9</v>
          </cell>
          <cell r="R91">
            <v>127.3</v>
          </cell>
          <cell r="S91">
            <v>129.19999999999999</v>
          </cell>
          <cell r="T91">
            <v>126.4</v>
          </cell>
          <cell r="U91">
            <v>122</v>
          </cell>
          <cell r="V91">
            <v>125.7</v>
          </cell>
          <cell r="Z91">
            <v>118.5</v>
          </cell>
          <cell r="AA91">
            <v>112.9</v>
          </cell>
          <cell r="AB91">
            <v>116.9</v>
          </cell>
          <cell r="AC91">
            <v>123.1</v>
          </cell>
          <cell r="AD91">
            <v>112.8</v>
          </cell>
          <cell r="AE91">
            <v>117</v>
          </cell>
          <cell r="AF91">
            <v>123</v>
          </cell>
        </row>
        <row r="92">
          <cell r="A92" t="str">
            <v>Rural</v>
          </cell>
          <cell r="B92">
            <v>2015</v>
          </cell>
          <cell r="C92" t="str">
            <v>July</v>
          </cell>
          <cell r="F92">
            <v>124</v>
          </cell>
          <cell r="G92">
            <v>131.5</v>
          </cell>
          <cell r="H92">
            <v>122</v>
          </cell>
          <cell r="I92">
            <v>128.69999999999999</v>
          </cell>
          <cell r="J92">
            <v>113.5</v>
          </cell>
          <cell r="K92">
            <v>133.30000000000001</v>
          </cell>
          <cell r="L92">
            <v>140.80000000000001</v>
          </cell>
          <cell r="M92">
            <v>133.80000000000001</v>
          </cell>
          <cell r="N92">
            <v>94.1</v>
          </cell>
          <cell r="O92">
            <v>123.4</v>
          </cell>
          <cell r="P92">
            <v>121</v>
          </cell>
          <cell r="Q92">
            <v>131.69999999999999</v>
          </cell>
          <cell r="R92">
            <v>127.5</v>
          </cell>
          <cell r="S92">
            <v>129.4</v>
          </cell>
          <cell r="T92">
            <v>128.80000000000001</v>
          </cell>
          <cell r="U92">
            <v>125.5</v>
          </cell>
          <cell r="V92">
            <v>128.30000000000001</v>
          </cell>
          <cell r="Z92">
            <v>120.8</v>
          </cell>
          <cell r="AA92">
            <v>114.1</v>
          </cell>
          <cell r="AB92">
            <v>118</v>
          </cell>
          <cell r="AC92">
            <v>122.9</v>
          </cell>
          <cell r="AD92">
            <v>112.7</v>
          </cell>
          <cell r="AE92">
            <v>118.1</v>
          </cell>
          <cell r="AF92">
            <v>124.7</v>
          </cell>
        </row>
        <row r="93">
          <cell r="A93" t="str">
            <v>Urban</v>
          </cell>
          <cell r="B93">
            <v>2015</v>
          </cell>
          <cell r="C93" t="str">
            <v>July</v>
          </cell>
          <cell r="F93">
            <v>123.2</v>
          </cell>
          <cell r="G93">
            <v>134.30000000000001</v>
          </cell>
          <cell r="H93">
            <v>119.5</v>
          </cell>
          <cell r="I93">
            <v>127.7</v>
          </cell>
          <cell r="J93">
            <v>106.3</v>
          </cell>
          <cell r="K93">
            <v>132.80000000000001</v>
          </cell>
          <cell r="L93">
            <v>153.5</v>
          </cell>
          <cell r="M93">
            <v>149.5</v>
          </cell>
          <cell r="N93">
            <v>85.7</v>
          </cell>
          <cell r="O93">
            <v>131.5</v>
          </cell>
          <cell r="P93">
            <v>118.3</v>
          </cell>
          <cell r="Q93">
            <v>131.1</v>
          </cell>
          <cell r="R93">
            <v>129.5</v>
          </cell>
          <cell r="S93">
            <v>133.1</v>
          </cell>
          <cell r="T93">
            <v>123.5</v>
          </cell>
          <cell r="U93">
            <v>117.9</v>
          </cell>
          <cell r="V93">
            <v>122.7</v>
          </cell>
          <cell r="Z93">
            <v>116</v>
          </cell>
          <cell r="AA93">
            <v>111.5</v>
          </cell>
          <cell r="AB93">
            <v>116.6</v>
          </cell>
          <cell r="AC93">
            <v>125.4</v>
          </cell>
          <cell r="AD93">
            <v>111.7</v>
          </cell>
          <cell r="AE93">
            <v>116.3</v>
          </cell>
          <cell r="AF93">
            <v>122.4</v>
          </cell>
        </row>
        <row r="94">
          <cell r="A94" t="str">
            <v>Rural+Urban</v>
          </cell>
          <cell r="B94">
            <v>2015</v>
          </cell>
          <cell r="C94" t="str">
            <v>July</v>
          </cell>
          <cell r="F94">
            <v>123.7</v>
          </cell>
          <cell r="G94">
            <v>132.5</v>
          </cell>
          <cell r="H94">
            <v>121</v>
          </cell>
          <cell r="I94">
            <v>128.30000000000001</v>
          </cell>
          <cell r="J94">
            <v>110.9</v>
          </cell>
          <cell r="K94">
            <v>133.1</v>
          </cell>
          <cell r="L94">
            <v>145.1</v>
          </cell>
          <cell r="M94">
            <v>139.1</v>
          </cell>
          <cell r="N94">
            <v>91.3</v>
          </cell>
          <cell r="O94">
            <v>126.1</v>
          </cell>
          <cell r="P94">
            <v>119.9</v>
          </cell>
          <cell r="Q94">
            <v>131.4</v>
          </cell>
          <cell r="R94">
            <v>128.19999999999999</v>
          </cell>
          <cell r="S94">
            <v>130.4</v>
          </cell>
          <cell r="T94">
            <v>126.7</v>
          </cell>
          <cell r="U94">
            <v>122.3</v>
          </cell>
          <cell r="V94">
            <v>126.1</v>
          </cell>
          <cell r="Z94">
            <v>119</v>
          </cell>
          <cell r="AA94">
            <v>112.7</v>
          </cell>
          <cell r="AB94">
            <v>117.2</v>
          </cell>
          <cell r="AC94">
            <v>124.4</v>
          </cell>
          <cell r="AD94">
            <v>112.3</v>
          </cell>
          <cell r="AE94">
            <v>117.2</v>
          </cell>
          <cell r="AF94">
            <v>123.6</v>
          </cell>
        </row>
        <row r="95">
          <cell r="A95" t="str">
            <v>Rural</v>
          </cell>
          <cell r="B95">
            <v>2015</v>
          </cell>
          <cell r="C95" t="str">
            <v>August</v>
          </cell>
          <cell r="F95">
            <v>124.7</v>
          </cell>
          <cell r="G95">
            <v>131.30000000000001</v>
          </cell>
          <cell r="H95">
            <v>121.3</v>
          </cell>
          <cell r="I95">
            <v>128.80000000000001</v>
          </cell>
          <cell r="J95">
            <v>114</v>
          </cell>
          <cell r="K95">
            <v>134.19999999999999</v>
          </cell>
          <cell r="L95">
            <v>153.6</v>
          </cell>
          <cell r="M95">
            <v>137.9</v>
          </cell>
          <cell r="N95">
            <v>93.1</v>
          </cell>
          <cell r="O95">
            <v>123.9</v>
          </cell>
          <cell r="P95">
            <v>121.5</v>
          </cell>
          <cell r="Q95">
            <v>132.5</v>
          </cell>
          <cell r="R95">
            <v>129.80000000000001</v>
          </cell>
          <cell r="S95">
            <v>130.1</v>
          </cell>
          <cell r="T95">
            <v>129.5</v>
          </cell>
          <cell r="U95">
            <v>126.3</v>
          </cell>
          <cell r="V95">
            <v>129</v>
          </cell>
          <cell r="Z95">
            <v>121.1</v>
          </cell>
          <cell r="AA95">
            <v>113.6</v>
          </cell>
          <cell r="AB95">
            <v>118.5</v>
          </cell>
          <cell r="AC95">
            <v>123.6</v>
          </cell>
          <cell r="AD95">
            <v>112.5</v>
          </cell>
          <cell r="AE95">
            <v>118.2</v>
          </cell>
          <cell r="AF95">
            <v>126.1</v>
          </cell>
        </row>
        <row r="96">
          <cell r="A96" t="str">
            <v>Urban</v>
          </cell>
          <cell r="B96">
            <v>2015</v>
          </cell>
          <cell r="C96" t="str">
            <v>August</v>
          </cell>
          <cell r="F96">
            <v>123.1</v>
          </cell>
          <cell r="G96">
            <v>131.69999999999999</v>
          </cell>
          <cell r="H96">
            <v>118.1</v>
          </cell>
          <cell r="I96">
            <v>128</v>
          </cell>
          <cell r="J96">
            <v>106.8</v>
          </cell>
          <cell r="K96">
            <v>130.1</v>
          </cell>
          <cell r="L96">
            <v>165.5</v>
          </cell>
          <cell r="M96">
            <v>156</v>
          </cell>
          <cell r="N96">
            <v>85.3</v>
          </cell>
          <cell r="O96">
            <v>132.69999999999999</v>
          </cell>
          <cell r="P96">
            <v>118.8</v>
          </cell>
          <cell r="Q96">
            <v>131.69999999999999</v>
          </cell>
          <cell r="R96">
            <v>131.1</v>
          </cell>
          <cell r="S96">
            <v>134.19999999999999</v>
          </cell>
          <cell r="T96">
            <v>123.7</v>
          </cell>
          <cell r="U96">
            <v>118.2</v>
          </cell>
          <cell r="V96">
            <v>122.9</v>
          </cell>
          <cell r="Z96">
            <v>116.6</v>
          </cell>
          <cell r="AA96">
            <v>109.9</v>
          </cell>
          <cell r="AB96">
            <v>117.2</v>
          </cell>
          <cell r="AC96">
            <v>126.2</v>
          </cell>
          <cell r="AD96">
            <v>112</v>
          </cell>
          <cell r="AE96">
            <v>116.2</v>
          </cell>
          <cell r="AF96">
            <v>123.2</v>
          </cell>
        </row>
        <row r="97">
          <cell r="A97" t="str">
            <v>Rural+Urban</v>
          </cell>
          <cell r="B97">
            <v>2015</v>
          </cell>
          <cell r="C97" t="str">
            <v>August</v>
          </cell>
          <cell r="F97">
            <v>124.2</v>
          </cell>
          <cell r="G97">
            <v>131.4</v>
          </cell>
          <cell r="H97">
            <v>120.1</v>
          </cell>
          <cell r="I97">
            <v>128.5</v>
          </cell>
          <cell r="J97">
            <v>111.4</v>
          </cell>
          <cell r="K97">
            <v>132.30000000000001</v>
          </cell>
          <cell r="L97">
            <v>157.6</v>
          </cell>
          <cell r="M97">
            <v>144</v>
          </cell>
          <cell r="N97">
            <v>90.5</v>
          </cell>
          <cell r="O97">
            <v>126.8</v>
          </cell>
          <cell r="P97">
            <v>120.4</v>
          </cell>
          <cell r="Q97">
            <v>132.1</v>
          </cell>
          <cell r="R97">
            <v>130.30000000000001</v>
          </cell>
          <cell r="S97">
            <v>131.19999999999999</v>
          </cell>
          <cell r="T97">
            <v>127.2</v>
          </cell>
          <cell r="U97">
            <v>122.9</v>
          </cell>
          <cell r="V97">
            <v>126.6</v>
          </cell>
          <cell r="Z97">
            <v>119.4</v>
          </cell>
          <cell r="AA97">
            <v>111.7</v>
          </cell>
          <cell r="AB97">
            <v>117.8</v>
          </cell>
          <cell r="AC97">
            <v>125.1</v>
          </cell>
          <cell r="AD97">
            <v>112.3</v>
          </cell>
          <cell r="AE97">
            <v>117.2</v>
          </cell>
          <cell r="AF97">
            <v>124.8</v>
          </cell>
        </row>
        <row r="98">
          <cell r="A98" t="str">
            <v>Rural</v>
          </cell>
          <cell r="B98">
            <v>2015</v>
          </cell>
          <cell r="C98" t="str">
            <v>September</v>
          </cell>
          <cell r="F98">
            <v>125.1</v>
          </cell>
          <cell r="G98">
            <v>131.1</v>
          </cell>
          <cell r="H98">
            <v>120.7</v>
          </cell>
          <cell r="I98">
            <v>129.19999999999999</v>
          </cell>
          <cell r="J98">
            <v>114.7</v>
          </cell>
          <cell r="K98">
            <v>132.30000000000001</v>
          </cell>
          <cell r="L98">
            <v>158.9</v>
          </cell>
          <cell r="M98">
            <v>142.1</v>
          </cell>
          <cell r="N98">
            <v>92.5</v>
          </cell>
          <cell r="O98">
            <v>125.4</v>
          </cell>
          <cell r="P98">
            <v>121.9</v>
          </cell>
          <cell r="Q98">
            <v>132.69999999999999</v>
          </cell>
          <cell r="R98">
            <v>131</v>
          </cell>
          <cell r="S98">
            <v>131</v>
          </cell>
          <cell r="T98">
            <v>130.4</v>
          </cell>
          <cell r="U98">
            <v>126.8</v>
          </cell>
          <cell r="V98">
            <v>129.9</v>
          </cell>
          <cell r="Z98">
            <v>121.4</v>
          </cell>
          <cell r="AA98">
            <v>113.8</v>
          </cell>
          <cell r="AB98">
            <v>119.6</v>
          </cell>
          <cell r="AC98">
            <v>124.5</v>
          </cell>
          <cell r="AD98">
            <v>113.7</v>
          </cell>
          <cell r="AE98">
            <v>118.8</v>
          </cell>
          <cell r="AF98">
            <v>127</v>
          </cell>
        </row>
        <row r="99">
          <cell r="A99" t="str">
            <v>Urban</v>
          </cell>
          <cell r="B99">
            <v>2015</v>
          </cell>
          <cell r="C99" t="str">
            <v>September</v>
          </cell>
          <cell r="F99">
            <v>123.4</v>
          </cell>
          <cell r="G99">
            <v>129</v>
          </cell>
          <cell r="H99">
            <v>115.6</v>
          </cell>
          <cell r="I99">
            <v>128.30000000000001</v>
          </cell>
          <cell r="J99">
            <v>107</v>
          </cell>
          <cell r="K99">
            <v>124</v>
          </cell>
          <cell r="L99">
            <v>168.5</v>
          </cell>
          <cell r="M99">
            <v>165.4</v>
          </cell>
          <cell r="N99">
            <v>86.3</v>
          </cell>
          <cell r="O99">
            <v>134.4</v>
          </cell>
          <cell r="P99">
            <v>119.1</v>
          </cell>
          <cell r="Q99">
            <v>132.30000000000001</v>
          </cell>
          <cell r="R99">
            <v>131.5</v>
          </cell>
          <cell r="S99">
            <v>134.69999999999999</v>
          </cell>
          <cell r="T99">
            <v>124</v>
          </cell>
          <cell r="U99">
            <v>118.6</v>
          </cell>
          <cell r="V99">
            <v>123.2</v>
          </cell>
          <cell r="Z99">
            <v>117.1</v>
          </cell>
          <cell r="AA99">
            <v>109.1</v>
          </cell>
          <cell r="AB99">
            <v>117.3</v>
          </cell>
          <cell r="AC99">
            <v>126.5</v>
          </cell>
          <cell r="AD99">
            <v>112.9</v>
          </cell>
          <cell r="AE99">
            <v>116.2</v>
          </cell>
          <cell r="AF99">
            <v>123.5</v>
          </cell>
        </row>
        <row r="100">
          <cell r="A100" t="str">
            <v>Rural+Urban</v>
          </cell>
          <cell r="B100">
            <v>2015</v>
          </cell>
          <cell r="C100" t="str">
            <v>September</v>
          </cell>
          <cell r="F100">
            <v>124.6</v>
          </cell>
          <cell r="G100">
            <v>130.4</v>
          </cell>
          <cell r="H100">
            <v>118.7</v>
          </cell>
          <cell r="I100">
            <v>128.9</v>
          </cell>
          <cell r="J100">
            <v>111.9</v>
          </cell>
          <cell r="K100">
            <v>128.4</v>
          </cell>
          <cell r="L100">
            <v>162.19999999999999</v>
          </cell>
          <cell r="M100">
            <v>150</v>
          </cell>
          <cell r="N100">
            <v>90.4</v>
          </cell>
          <cell r="O100">
            <v>128.4</v>
          </cell>
          <cell r="P100">
            <v>120.7</v>
          </cell>
          <cell r="Q100">
            <v>132.5</v>
          </cell>
          <cell r="R100">
            <v>131.19999999999999</v>
          </cell>
          <cell r="S100">
            <v>132</v>
          </cell>
          <cell r="T100">
            <v>127.9</v>
          </cell>
          <cell r="U100">
            <v>123.4</v>
          </cell>
          <cell r="V100">
            <v>127.2</v>
          </cell>
          <cell r="Z100">
            <v>119.8</v>
          </cell>
          <cell r="AA100">
            <v>111.3</v>
          </cell>
          <cell r="AB100">
            <v>118.3</v>
          </cell>
          <cell r="AC100">
            <v>125.7</v>
          </cell>
          <cell r="AD100">
            <v>113.4</v>
          </cell>
          <cell r="AE100">
            <v>117.5</v>
          </cell>
          <cell r="AF100">
            <v>125.4</v>
          </cell>
        </row>
        <row r="101">
          <cell r="A101" t="str">
            <v>Rural</v>
          </cell>
          <cell r="B101">
            <v>2015</v>
          </cell>
          <cell r="C101" t="str">
            <v>October</v>
          </cell>
          <cell r="F101">
            <v>125.6</v>
          </cell>
          <cell r="G101">
            <v>130.4</v>
          </cell>
          <cell r="H101">
            <v>120.8</v>
          </cell>
          <cell r="I101">
            <v>129.4</v>
          </cell>
          <cell r="J101">
            <v>115.8</v>
          </cell>
          <cell r="K101">
            <v>133.19999999999999</v>
          </cell>
          <cell r="L101">
            <v>157.69999999999999</v>
          </cell>
          <cell r="M101">
            <v>154.19999999999999</v>
          </cell>
          <cell r="N101">
            <v>93.7</v>
          </cell>
          <cell r="O101">
            <v>126.6</v>
          </cell>
          <cell r="P101">
            <v>122.3</v>
          </cell>
          <cell r="Q101">
            <v>133.1</v>
          </cell>
          <cell r="R101">
            <v>131.80000000000001</v>
          </cell>
          <cell r="S101">
            <v>131.5</v>
          </cell>
          <cell r="T101">
            <v>131.1</v>
          </cell>
          <cell r="U101">
            <v>127.3</v>
          </cell>
          <cell r="V101">
            <v>130.6</v>
          </cell>
          <cell r="Z101">
            <v>122</v>
          </cell>
          <cell r="AA101">
            <v>113.8</v>
          </cell>
          <cell r="AB101">
            <v>120.1</v>
          </cell>
          <cell r="AC101">
            <v>125.1</v>
          </cell>
          <cell r="AD101">
            <v>114.2</v>
          </cell>
          <cell r="AE101">
            <v>119.2</v>
          </cell>
          <cell r="AF101">
            <v>127.7</v>
          </cell>
        </row>
        <row r="102">
          <cell r="A102" t="str">
            <v>Urban</v>
          </cell>
          <cell r="B102">
            <v>2015</v>
          </cell>
          <cell r="C102" t="str">
            <v>October</v>
          </cell>
          <cell r="F102">
            <v>123.6</v>
          </cell>
          <cell r="G102">
            <v>128.6</v>
          </cell>
          <cell r="H102">
            <v>115.9</v>
          </cell>
          <cell r="I102">
            <v>128.5</v>
          </cell>
          <cell r="J102">
            <v>109</v>
          </cell>
          <cell r="K102">
            <v>124.1</v>
          </cell>
          <cell r="L102">
            <v>165.8</v>
          </cell>
          <cell r="M102">
            <v>187.2</v>
          </cell>
          <cell r="N102">
            <v>89.4</v>
          </cell>
          <cell r="O102">
            <v>135.80000000000001</v>
          </cell>
          <cell r="P102">
            <v>119.4</v>
          </cell>
          <cell r="Q102">
            <v>132.9</v>
          </cell>
          <cell r="R102">
            <v>132.6</v>
          </cell>
          <cell r="S102">
            <v>135.30000000000001</v>
          </cell>
          <cell r="T102">
            <v>124.4</v>
          </cell>
          <cell r="U102">
            <v>118.8</v>
          </cell>
          <cell r="V102">
            <v>123.6</v>
          </cell>
          <cell r="Z102">
            <v>117.7</v>
          </cell>
          <cell r="AA102">
            <v>109.3</v>
          </cell>
          <cell r="AB102">
            <v>117.7</v>
          </cell>
          <cell r="AC102">
            <v>126.5</v>
          </cell>
          <cell r="AD102">
            <v>113.5</v>
          </cell>
          <cell r="AE102">
            <v>116.5</v>
          </cell>
          <cell r="AF102">
            <v>124.2</v>
          </cell>
        </row>
        <row r="103">
          <cell r="A103" t="str">
            <v>Rural+Urban</v>
          </cell>
          <cell r="B103">
            <v>2015</v>
          </cell>
          <cell r="C103" t="str">
            <v>October</v>
          </cell>
          <cell r="F103">
            <v>125</v>
          </cell>
          <cell r="G103">
            <v>129.80000000000001</v>
          </cell>
          <cell r="H103">
            <v>118.9</v>
          </cell>
          <cell r="I103">
            <v>129.1</v>
          </cell>
          <cell r="J103">
            <v>113.3</v>
          </cell>
          <cell r="K103">
            <v>129</v>
          </cell>
          <cell r="L103">
            <v>160.4</v>
          </cell>
          <cell r="M103">
            <v>165.3</v>
          </cell>
          <cell r="N103">
            <v>92.3</v>
          </cell>
          <cell r="O103">
            <v>129.69999999999999</v>
          </cell>
          <cell r="P103">
            <v>121.1</v>
          </cell>
          <cell r="Q103">
            <v>133</v>
          </cell>
          <cell r="R103">
            <v>132.1</v>
          </cell>
          <cell r="S103">
            <v>132.5</v>
          </cell>
          <cell r="T103">
            <v>128.5</v>
          </cell>
          <cell r="U103">
            <v>123.8</v>
          </cell>
          <cell r="V103">
            <v>127.8</v>
          </cell>
          <cell r="Z103">
            <v>120.4</v>
          </cell>
          <cell r="AA103">
            <v>111.4</v>
          </cell>
          <cell r="AB103">
            <v>118.7</v>
          </cell>
          <cell r="AC103">
            <v>125.9</v>
          </cell>
          <cell r="AD103">
            <v>113.9</v>
          </cell>
          <cell r="AE103">
            <v>117.9</v>
          </cell>
          <cell r="AF103">
            <v>126.1</v>
          </cell>
        </row>
        <row r="104">
          <cell r="A104" t="str">
            <v>Rural</v>
          </cell>
          <cell r="B104">
            <v>2015</v>
          </cell>
          <cell r="C104" t="str">
            <v>November</v>
          </cell>
          <cell r="F104">
            <v>126.1</v>
          </cell>
          <cell r="G104">
            <v>130.6</v>
          </cell>
          <cell r="H104">
            <v>121.7</v>
          </cell>
          <cell r="I104">
            <v>129.5</v>
          </cell>
          <cell r="J104">
            <v>117.8</v>
          </cell>
          <cell r="K104">
            <v>132.1</v>
          </cell>
          <cell r="L104">
            <v>155.19999999999999</v>
          </cell>
          <cell r="M104">
            <v>160.80000000000001</v>
          </cell>
          <cell r="N104">
            <v>94.5</v>
          </cell>
          <cell r="O104">
            <v>128.30000000000001</v>
          </cell>
          <cell r="P104">
            <v>123.1</v>
          </cell>
          <cell r="Q104">
            <v>134.19999999999999</v>
          </cell>
          <cell r="R104">
            <v>132.4</v>
          </cell>
          <cell r="S104">
            <v>132.19999999999999</v>
          </cell>
          <cell r="T104">
            <v>132.1</v>
          </cell>
          <cell r="U104">
            <v>128.19999999999999</v>
          </cell>
          <cell r="V104">
            <v>131.5</v>
          </cell>
          <cell r="Z104">
            <v>122.6</v>
          </cell>
          <cell r="AA104">
            <v>114</v>
          </cell>
          <cell r="AB104">
            <v>120.9</v>
          </cell>
          <cell r="AC104">
            <v>125.8</v>
          </cell>
          <cell r="AD104">
            <v>114.2</v>
          </cell>
          <cell r="AE104">
            <v>119.6</v>
          </cell>
          <cell r="AF104">
            <v>128.30000000000001</v>
          </cell>
        </row>
        <row r="105">
          <cell r="A105" t="str">
            <v>Urban</v>
          </cell>
          <cell r="B105">
            <v>2015</v>
          </cell>
          <cell r="C105" t="str">
            <v>November</v>
          </cell>
          <cell r="F105">
            <v>124</v>
          </cell>
          <cell r="G105">
            <v>129.80000000000001</v>
          </cell>
          <cell r="H105">
            <v>121.5</v>
          </cell>
          <cell r="I105">
            <v>128.6</v>
          </cell>
          <cell r="J105">
            <v>110</v>
          </cell>
          <cell r="K105">
            <v>123.7</v>
          </cell>
          <cell r="L105">
            <v>164.6</v>
          </cell>
          <cell r="M105">
            <v>191.6</v>
          </cell>
          <cell r="N105">
            <v>90.8</v>
          </cell>
          <cell r="O105">
            <v>137.1</v>
          </cell>
          <cell r="P105">
            <v>119.8</v>
          </cell>
          <cell r="Q105">
            <v>133.69999999999999</v>
          </cell>
          <cell r="R105">
            <v>133.30000000000001</v>
          </cell>
          <cell r="S105">
            <v>137.6</v>
          </cell>
          <cell r="T105">
            <v>125</v>
          </cell>
          <cell r="U105">
            <v>119.3</v>
          </cell>
          <cell r="V105">
            <v>124.2</v>
          </cell>
          <cell r="Z105">
            <v>118.1</v>
          </cell>
          <cell r="AA105">
            <v>109.3</v>
          </cell>
          <cell r="AB105">
            <v>117.9</v>
          </cell>
          <cell r="AC105">
            <v>126.6</v>
          </cell>
          <cell r="AD105">
            <v>113.3</v>
          </cell>
          <cell r="AE105">
            <v>116.6</v>
          </cell>
          <cell r="AF105">
            <v>124.6</v>
          </cell>
        </row>
        <row r="106">
          <cell r="A106" t="str">
            <v>Rural+Urban</v>
          </cell>
          <cell r="B106">
            <v>2015</v>
          </cell>
          <cell r="C106" t="str">
            <v>November</v>
          </cell>
          <cell r="F106">
            <v>125.4</v>
          </cell>
          <cell r="G106">
            <v>130.30000000000001</v>
          </cell>
          <cell r="H106">
            <v>121.6</v>
          </cell>
          <cell r="I106">
            <v>129.19999999999999</v>
          </cell>
          <cell r="J106">
            <v>114.9</v>
          </cell>
          <cell r="K106">
            <v>128.19999999999999</v>
          </cell>
          <cell r="L106">
            <v>158.4</v>
          </cell>
          <cell r="M106">
            <v>171.2</v>
          </cell>
          <cell r="N106">
            <v>93.3</v>
          </cell>
          <cell r="O106">
            <v>131.19999999999999</v>
          </cell>
          <cell r="P106">
            <v>121.7</v>
          </cell>
          <cell r="Q106">
            <v>134</v>
          </cell>
          <cell r="R106">
            <v>132.69999999999999</v>
          </cell>
          <cell r="S106">
            <v>133.6</v>
          </cell>
          <cell r="T106">
            <v>129.30000000000001</v>
          </cell>
          <cell r="U106">
            <v>124.5</v>
          </cell>
          <cell r="V106">
            <v>128.6</v>
          </cell>
          <cell r="Z106">
            <v>120.9</v>
          </cell>
          <cell r="AA106">
            <v>111.5</v>
          </cell>
          <cell r="AB106">
            <v>119.2</v>
          </cell>
          <cell r="AC106">
            <v>126.3</v>
          </cell>
          <cell r="AD106">
            <v>113.8</v>
          </cell>
          <cell r="AE106">
            <v>118.1</v>
          </cell>
          <cell r="AF106">
            <v>126.6</v>
          </cell>
        </row>
        <row r="107">
          <cell r="A107" t="str">
            <v>Rural</v>
          </cell>
          <cell r="B107">
            <v>2015</v>
          </cell>
          <cell r="C107" t="str">
            <v>December</v>
          </cell>
          <cell r="F107">
            <v>126.3</v>
          </cell>
          <cell r="G107">
            <v>131.30000000000001</v>
          </cell>
          <cell r="H107">
            <v>123.3</v>
          </cell>
          <cell r="I107">
            <v>129.80000000000001</v>
          </cell>
          <cell r="J107">
            <v>118.3</v>
          </cell>
          <cell r="K107">
            <v>131.6</v>
          </cell>
          <cell r="L107">
            <v>145.5</v>
          </cell>
          <cell r="M107">
            <v>162.1</v>
          </cell>
          <cell r="N107">
            <v>95.4</v>
          </cell>
          <cell r="O107">
            <v>128.9</v>
          </cell>
          <cell r="P107">
            <v>123.3</v>
          </cell>
          <cell r="Q107">
            <v>135.1</v>
          </cell>
          <cell r="R107">
            <v>131.4</v>
          </cell>
          <cell r="S107">
            <v>133.1</v>
          </cell>
          <cell r="T107">
            <v>132.5</v>
          </cell>
          <cell r="U107">
            <v>128.5</v>
          </cell>
          <cell r="V107">
            <v>131.9</v>
          </cell>
          <cell r="Z107">
            <v>123.1</v>
          </cell>
          <cell r="AA107">
            <v>114</v>
          </cell>
          <cell r="AB107">
            <v>121.6</v>
          </cell>
          <cell r="AC107">
            <v>125.6</v>
          </cell>
          <cell r="AD107">
            <v>114.1</v>
          </cell>
          <cell r="AE107">
            <v>119.8</v>
          </cell>
          <cell r="AF107">
            <v>127.9</v>
          </cell>
        </row>
        <row r="108">
          <cell r="A108" t="str">
            <v>Urban</v>
          </cell>
          <cell r="B108">
            <v>2015</v>
          </cell>
          <cell r="C108" t="str">
            <v>December</v>
          </cell>
          <cell r="F108">
            <v>124.3</v>
          </cell>
          <cell r="G108">
            <v>131.69999999999999</v>
          </cell>
          <cell r="H108">
            <v>127.1</v>
          </cell>
          <cell r="I108">
            <v>128.6</v>
          </cell>
          <cell r="J108">
            <v>110</v>
          </cell>
          <cell r="K108">
            <v>120.8</v>
          </cell>
          <cell r="L108">
            <v>149</v>
          </cell>
          <cell r="M108">
            <v>190.1</v>
          </cell>
          <cell r="N108">
            <v>92.7</v>
          </cell>
          <cell r="O108">
            <v>138.6</v>
          </cell>
          <cell r="P108">
            <v>120.2</v>
          </cell>
          <cell r="Q108">
            <v>134.19999999999999</v>
          </cell>
          <cell r="R108">
            <v>131.5</v>
          </cell>
          <cell r="S108">
            <v>138.19999999999999</v>
          </cell>
          <cell r="T108">
            <v>125.4</v>
          </cell>
          <cell r="U108">
            <v>119.5</v>
          </cell>
          <cell r="V108">
            <v>124.5</v>
          </cell>
          <cell r="Z108">
            <v>118.6</v>
          </cell>
          <cell r="AA108">
            <v>109.3</v>
          </cell>
          <cell r="AB108">
            <v>118.1</v>
          </cell>
          <cell r="AC108">
            <v>126.6</v>
          </cell>
          <cell r="AD108">
            <v>113.2</v>
          </cell>
          <cell r="AE108">
            <v>116.7</v>
          </cell>
          <cell r="AF108">
            <v>124</v>
          </cell>
        </row>
        <row r="109">
          <cell r="A109" t="str">
            <v>Rural+Urban</v>
          </cell>
          <cell r="B109">
            <v>2015</v>
          </cell>
          <cell r="C109" t="str">
            <v>December</v>
          </cell>
          <cell r="F109">
            <v>125.7</v>
          </cell>
          <cell r="G109">
            <v>131.4</v>
          </cell>
          <cell r="H109">
            <v>124.8</v>
          </cell>
          <cell r="I109">
            <v>129.4</v>
          </cell>
          <cell r="J109">
            <v>115.3</v>
          </cell>
          <cell r="K109">
            <v>126.6</v>
          </cell>
          <cell r="L109">
            <v>146.69999999999999</v>
          </cell>
          <cell r="M109">
            <v>171.5</v>
          </cell>
          <cell r="N109">
            <v>94.5</v>
          </cell>
          <cell r="O109">
            <v>132.1</v>
          </cell>
          <cell r="P109">
            <v>122</v>
          </cell>
          <cell r="Q109">
            <v>134.69999999999999</v>
          </cell>
          <cell r="R109">
            <v>131.4</v>
          </cell>
          <cell r="S109">
            <v>134.5</v>
          </cell>
          <cell r="T109">
            <v>129.69999999999999</v>
          </cell>
          <cell r="U109">
            <v>124.8</v>
          </cell>
          <cell r="V109">
            <v>129</v>
          </cell>
          <cell r="Z109">
            <v>121.4</v>
          </cell>
          <cell r="AA109">
            <v>111.5</v>
          </cell>
          <cell r="AB109">
            <v>119.6</v>
          </cell>
          <cell r="AC109">
            <v>126.2</v>
          </cell>
          <cell r="AD109">
            <v>113.7</v>
          </cell>
          <cell r="AE109">
            <v>118.3</v>
          </cell>
          <cell r="AF109">
            <v>126.1</v>
          </cell>
        </row>
        <row r="110">
          <cell r="A110" t="str">
            <v>Rural</v>
          </cell>
          <cell r="B110">
            <v>2016</v>
          </cell>
          <cell r="C110" t="str">
            <v>January</v>
          </cell>
          <cell r="F110">
            <v>126.8</v>
          </cell>
          <cell r="G110">
            <v>133.19999999999999</v>
          </cell>
          <cell r="H110">
            <v>126.5</v>
          </cell>
          <cell r="I110">
            <v>130.30000000000001</v>
          </cell>
          <cell r="J110">
            <v>118.9</v>
          </cell>
          <cell r="K110">
            <v>131.6</v>
          </cell>
          <cell r="L110">
            <v>140.1</v>
          </cell>
          <cell r="M110">
            <v>163.80000000000001</v>
          </cell>
          <cell r="N110">
            <v>97.7</v>
          </cell>
          <cell r="O110">
            <v>129.6</v>
          </cell>
          <cell r="P110">
            <v>124.3</v>
          </cell>
          <cell r="Q110">
            <v>135.9</v>
          </cell>
          <cell r="R110">
            <v>131.4</v>
          </cell>
          <cell r="S110">
            <v>133.6</v>
          </cell>
          <cell r="T110">
            <v>133.19999999999999</v>
          </cell>
          <cell r="U110">
            <v>128.9</v>
          </cell>
          <cell r="V110">
            <v>132.6</v>
          </cell>
          <cell r="Z110">
            <v>123.7</v>
          </cell>
          <cell r="AA110">
            <v>113.6</v>
          </cell>
          <cell r="AB110">
            <v>121.4</v>
          </cell>
          <cell r="AC110">
            <v>126.2</v>
          </cell>
          <cell r="AD110">
            <v>114.9</v>
          </cell>
          <cell r="AE110">
            <v>120.1</v>
          </cell>
          <cell r="AF110">
            <v>128.1</v>
          </cell>
        </row>
        <row r="111">
          <cell r="A111" t="str">
            <v>Urban</v>
          </cell>
          <cell r="B111">
            <v>2016</v>
          </cell>
          <cell r="C111" t="str">
            <v>January</v>
          </cell>
          <cell r="F111">
            <v>124.7</v>
          </cell>
          <cell r="G111">
            <v>135.9</v>
          </cell>
          <cell r="H111">
            <v>132</v>
          </cell>
          <cell r="I111">
            <v>129.19999999999999</v>
          </cell>
          <cell r="J111">
            <v>109.7</v>
          </cell>
          <cell r="K111">
            <v>119</v>
          </cell>
          <cell r="L111">
            <v>144.1</v>
          </cell>
          <cell r="M111">
            <v>184.2</v>
          </cell>
          <cell r="N111">
            <v>96.7</v>
          </cell>
          <cell r="O111">
            <v>139.5</v>
          </cell>
          <cell r="P111">
            <v>120.5</v>
          </cell>
          <cell r="Q111">
            <v>134.69999999999999</v>
          </cell>
          <cell r="R111">
            <v>131.19999999999999</v>
          </cell>
          <cell r="S111">
            <v>139.5</v>
          </cell>
          <cell r="T111">
            <v>125.8</v>
          </cell>
          <cell r="U111">
            <v>119.8</v>
          </cell>
          <cell r="V111">
            <v>124.9</v>
          </cell>
          <cell r="Z111">
            <v>119.1</v>
          </cell>
          <cell r="AA111">
            <v>108.9</v>
          </cell>
          <cell r="AB111">
            <v>118.5</v>
          </cell>
          <cell r="AC111">
            <v>126.4</v>
          </cell>
          <cell r="AD111">
            <v>114</v>
          </cell>
          <cell r="AE111">
            <v>116.8</v>
          </cell>
          <cell r="AF111">
            <v>124.2</v>
          </cell>
        </row>
        <row r="112">
          <cell r="A112" t="str">
            <v>Rural+Urban</v>
          </cell>
          <cell r="B112">
            <v>2016</v>
          </cell>
          <cell r="C112" t="str">
            <v>January</v>
          </cell>
          <cell r="F112">
            <v>126.1</v>
          </cell>
          <cell r="G112">
            <v>134.1</v>
          </cell>
          <cell r="H112">
            <v>128.6</v>
          </cell>
          <cell r="I112">
            <v>129.9</v>
          </cell>
          <cell r="J112">
            <v>115.5</v>
          </cell>
          <cell r="K112">
            <v>125.7</v>
          </cell>
          <cell r="L112">
            <v>141.5</v>
          </cell>
          <cell r="M112">
            <v>170.7</v>
          </cell>
          <cell r="N112">
            <v>97.4</v>
          </cell>
          <cell r="O112">
            <v>132.9</v>
          </cell>
          <cell r="P112">
            <v>122.7</v>
          </cell>
          <cell r="Q112">
            <v>135.30000000000001</v>
          </cell>
          <cell r="R112">
            <v>131.30000000000001</v>
          </cell>
          <cell r="S112">
            <v>135.19999999999999</v>
          </cell>
          <cell r="T112">
            <v>130.30000000000001</v>
          </cell>
          <cell r="U112">
            <v>125.1</v>
          </cell>
          <cell r="V112">
            <v>129.5</v>
          </cell>
          <cell r="Z112">
            <v>122</v>
          </cell>
          <cell r="AA112">
            <v>111.1</v>
          </cell>
          <cell r="AB112">
            <v>119.8</v>
          </cell>
          <cell r="AC112">
            <v>126.3</v>
          </cell>
          <cell r="AD112">
            <v>114.5</v>
          </cell>
          <cell r="AE112">
            <v>118.5</v>
          </cell>
          <cell r="AF112">
            <v>126.3</v>
          </cell>
        </row>
        <row r="113">
          <cell r="A113" t="str">
            <v>Rural</v>
          </cell>
          <cell r="B113">
            <v>2016</v>
          </cell>
          <cell r="C113" t="str">
            <v>February</v>
          </cell>
          <cell r="F113">
            <v>127.1</v>
          </cell>
          <cell r="G113">
            <v>133.69999999999999</v>
          </cell>
          <cell r="H113">
            <v>127.7</v>
          </cell>
          <cell r="I113">
            <v>130.69999999999999</v>
          </cell>
          <cell r="J113">
            <v>118.5</v>
          </cell>
          <cell r="K113">
            <v>130.4</v>
          </cell>
          <cell r="L113">
            <v>130.9</v>
          </cell>
          <cell r="M113">
            <v>162.80000000000001</v>
          </cell>
          <cell r="N113">
            <v>98.7</v>
          </cell>
          <cell r="O113">
            <v>130.6</v>
          </cell>
          <cell r="P113">
            <v>124.8</v>
          </cell>
          <cell r="Q113">
            <v>136.4</v>
          </cell>
          <cell r="R113">
            <v>130.30000000000001</v>
          </cell>
          <cell r="S113">
            <v>134.4</v>
          </cell>
          <cell r="T113">
            <v>133.9</v>
          </cell>
          <cell r="U113">
            <v>129.80000000000001</v>
          </cell>
          <cell r="V113">
            <v>133.4</v>
          </cell>
          <cell r="Z113">
            <v>124.3</v>
          </cell>
          <cell r="AA113">
            <v>113.9</v>
          </cell>
          <cell r="AB113">
            <v>122.3</v>
          </cell>
          <cell r="AC113">
            <v>127.1</v>
          </cell>
          <cell r="AD113">
            <v>116.8</v>
          </cell>
          <cell r="AE113">
            <v>120.9</v>
          </cell>
          <cell r="AF113">
            <v>127.9</v>
          </cell>
        </row>
        <row r="114">
          <cell r="A114" t="str">
            <v>Urban</v>
          </cell>
          <cell r="B114">
            <v>2016</v>
          </cell>
          <cell r="C114" t="str">
            <v>February</v>
          </cell>
          <cell r="F114">
            <v>124.8</v>
          </cell>
          <cell r="G114">
            <v>135.1</v>
          </cell>
          <cell r="H114">
            <v>130.30000000000001</v>
          </cell>
          <cell r="I114">
            <v>129.6</v>
          </cell>
          <cell r="J114">
            <v>108.4</v>
          </cell>
          <cell r="K114">
            <v>118.6</v>
          </cell>
          <cell r="L114">
            <v>129.19999999999999</v>
          </cell>
          <cell r="M114">
            <v>176.4</v>
          </cell>
          <cell r="N114">
            <v>99.1</v>
          </cell>
          <cell r="O114">
            <v>139.69999999999999</v>
          </cell>
          <cell r="P114">
            <v>120.6</v>
          </cell>
          <cell r="Q114">
            <v>135.19999999999999</v>
          </cell>
          <cell r="R114">
            <v>129.1</v>
          </cell>
          <cell r="S114">
            <v>140</v>
          </cell>
          <cell r="T114">
            <v>126.2</v>
          </cell>
          <cell r="U114">
            <v>120.1</v>
          </cell>
          <cell r="V114">
            <v>125.3</v>
          </cell>
          <cell r="Z114">
            <v>119.5</v>
          </cell>
          <cell r="AA114">
            <v>109.1</v>
          </cell>
          <cell r="AB114">
            <v>118.8</v>
          </cell>
          <cell r="AC114">
            <v>126.3</v>
          </cell>
          <cell r="AD114">
            <v>116.2</v>
          </cell>
          <cell r="AE114">
            <v>117.2</v>
          </cell>
          <cell r="AF114">
            <v>123.8</v>
          </cell>
        </row>
        <row r="115">
          <cell r="A115" t="str">
            <v>Rural+Urban</v>
          </cell>
          <cell r="B115">
            <v>2016</v>
          </cell>
          <cell r="C115" t="str">
            <v>February</v>
          </cell>
          <cell r="F115">
            <v>126.4</v>
          </cell>
          <cell r="G115">
            <v>134.19999999999999</v>
          </cell>
          <cell r="H115">
            <v>128.69999999999999</v>
          </cell>
          <cell r="I115">
            <v>130.30000000000001</v>
          </cell>
          <cell r="J115">
            <v>114.8</v>
          </cell>
          <cell r="K115">
            <v>124.9</v>
          </cell>
          <cell r="L115">
            <v>130.30000000000001</v>
          </cell>
          <cell r="M115">
            <v>167.4</v>
          </cell>
          <cell r="N115">
            <v>98.8</v>
          </cell>
          <cell r="O115">
            <v>133.6</v>
          </cell>
          <cell r="P115">
            <v>123</v>
          </cell>
          <cell r="Q115">
            <v>135.80000000000001</v>
          </cell>
          <cell r="R115">
            <v>129.9</v>
          </cell>
          <cell r="S115">
            <v>135.9</v>
          </cell>
          <cell r="T115">
            <v>130.9</v>
          </cell>
          <cell r="U115">
            <v>125.8</v>
          </cell>
          <cell r="V115">
            <v>130.19999999999999</v>
          </cell>
          <cell r="Z115">
            <v>122.5</v>
          </cell>
          <cell r="AA115">
            <v>111.4</v>
          </cell>
          <cell r="AB115">
            <v>120.3</v>
          </cell>
          <cell r="AC115">
            <v>126.6</v>
          </cell>
          <cell r="AD115">
            <v>116.6</v>
          </cell>
          <cell r="AE115">
            <v>119.1</v>
          </cell>
          <cell r="AF115">
            <v>126</v>
          </cell>
        </row>
        <row r="116">
          <cell r="A116" t="str">
            <v>Rural</v>
          </cell>
          <cell r="B116">
            <v>2016</v>
          </cell>
          <cell r="C116" t="str">
            <v>March</v>
          </cell>
          <cell r="F116">
            <v>127.3</v>
          </cell>
          <cell r="G116">
            <v>134.4</v>
          </cell>
          <cell r="H116">
            <v>125.1</v>
          </cell>
          <cell r="I116">
            <v>130.5</v>
          </cell>
          <cell r="J116">
            <v>118.3</v>
          </cell>
          <cell r="K116">
            <v>131.69999999999999</v>
          </cell>
          <cell r="L116">
            <v>130.69999999999999</v>
          </cell>
          <cell r="M116">
            <v>161.19999999999999</v>
          </cell>
          <cell r="N116">
            <v>100.4</v>
          </cell>
          <cell r="O116">
            <v>130.80000000000001</v>
          </cell>
          <cell r="P116">
            <v>124.9</v>
          </cell>
          <cell r="Q116">
            <v>137</v>
          </cell>
          <cell r="R116">
            <v>130.4</v>
          </cell>
          <cell r="S116">
            <v>135</v>
          </cell>
          <cell r="T116">
            <v>134.4</v>
          </cell>
          <cell r="U116">
            <v>130.19999999999999</v>
          </cell>
          <cell r="V116">
            <v>133.80000000000001</v>
          </cell>
          <cell r="Z116">
            <v>124.8</v>
          </cell>
          <cell r="AA116">
            <v>113.6</v>
          </cell>
          <cell r="AB116">
            <v>122.5</v>
          </cell>
          <cell r="AC116">
            <v>127.5</v>
          </cell>
          <cell r="AD116">
            <v>117.4</v>
          </cell>
          <cell r="AE116">
            <v>121.1</v>
          </cell>
          <cell r="AF116">
            <v>128</v>
          </cell>
        </row>
        <row r="117">
          <cell r="A117" t="str">
            <v>Urban</v>
          </cell>
          <cell r="B117">
            <v>2016</v>
          </cell>
          <cell r="C117" t="str">
            <v>March</v>
          </cell>
          <cell r="F117">
            <v>124.8</v>
          </cell>
          <cell r="G117">
            <v>136.30000000000001</v>
          </cell>
          <cell r="H117">
            <v>123.7</v>
          </cell>
          <cell r="I117">
            <v>129.69999999999999</v>
          </cell>
          <cell r="J117">
            <v>107.9</v>
          </cell>
          <cell r="K117">
            <v>119.9</v>
          </cell>
          <cell r="L117">
            <v>128.1</v>
          </cell>
          <cell r="M117">
            <v>170.3</v>
          </cell>
          <cell r="N117">
            <v>101.8</v>
          </cell>
          <cell r="O117">
            <v>140.1</v>
          </cell>
          <cell r="P117">
            <v>120.7</v>
          </cell>
          <cell r="Q117">
            <v>135.4</v>
          </cell>
          <cell r="R117">
            <v>128.9</v>
          </cell>
          <cell r="S117">
            <v>140.6</v>
          </cell>
          <cell r="T117">
            <v>126.4</v>
          </cell>
          <cell r="U117">
            <v>120.3</v>
          </cell>
          <cell r="V117">
            <v>125.5</v>
          </cell>
          <cell r="Z117">
            <v>119.7</v>
          </cell>
          <cell r="AA117">
            <v>108.5</v>
          </cell>
          <cell r="AB117">
            <v>119.1</v>
          </cell>
          <cell r="AC117">
            <v>126.4</v>
          </cell>
          <cell r="AD117">
            <v>117.1</v>
          </cell>
          <cell r="AE117">
            <v>117.3</v>
          </cell>
          <cell r="AF117">
            <v>123.8</v>
          </cell>
        </row>
        <row r="118">
          <cell r="A118" t="str">
            <v>Rural+Urban</v>
          </cell>
          <cell r="B118">
            <v>2016</v>
          </cell>
          <cell r="C118" t="str">
            <v>March</v>
          </cell>
          <cell r="F118">
            <v>126.5</v>
          </cell>
          <cell r="G118">
            <v>135.1</v>
          </cell>
          <cell r="H118">
            <v>124.6</v>
          </cell>
          <cell r="I118">
            <v>130.19999999999999</v>
          </cell>
          <cell r="J118">
            <v>114.5</v>
          </cell>
          <cell r="K118">
            <v>126.2</v>
          </cell>
          <cell r="L118">
            <v>129.80000000000001</v>
          </cell>
          <cell r="M118">
            <v>164.3</v>
          </cell>
          <cell r="N118">
            <v>100.9</v>
          </cell>
          <cell r="O118">
            <v>133.9</v>
          </cell>
          <cell r="P118">
            <v>123.1</v>
          </cell>
          <cell r="Q118">
            <v>136.30000000000001</v>
          </cell>
          <cell r="R118">
            <v>129.80000000000001</v>
          </cell>
          <cell r="S118">
            <v>136.5</v>
          </cell>
          <cell r="T118">
            <v>131.30000000000001</v>
          </cell>
          <cell r="U118">
            <v>126.1</v>
          </cell>
          <cell r="V118">
            <v>130.5</v>
          </cell>
          <cell r="Z118">
            <v>122.9</v>
          </cell>
          <cell r="AA118">
            <v>110.9</v>
          </cell>
          <cell r="AB118">
            <v>120.6</v>
          </cell>
          <cell r="AC118">
            <v>126.9</v>
          </cell>
          <cell r="AD118">
            <v>117.3</v>
          </cell>
          <cell r="AE118">
            <v>119.3</v>
          </cell>
          <cell r="AF118">
            <v>126</v>
          </cell>
        </row>
        <row r="119">
          <cell r="A119" t="str">
            <v>Rural</v>
          </cell>
          <cell r="B119">
            <v>2016</v>
          </cell>
          <cell r="C119" t="str">
            <v>April</v>
          </cell>
          <cell r="F119">
            <v>127.4</v>
          </cell>
          <cell r="G119">
            <v>135.4</v>
          </cell>
          <cell r="H119">
            <v>123.4</v>
          </cell>
          <cell r="I119">
            <v>131.30000000000001</v>
          </cell>
          <cell r="J119">
            <v>118.2</v>
          </cell>
          <cell r="K119">
            <v>138.1</v>
          </cell>
          <cell r="L119">
            <v>134.1</v>
          </cell>
          <cell r="M119">
            <v>162.69999999999999</v>
          </cell>
          <cell r="N119">
            <v>105</v>
          </cell>
          <cell r="O119">
            <v>131.4</v>
          </cell>
          <cell r="P119">
            <v>125.4</v>
          </cell>
          <cell r="Q119">
            <v>137.4</v>
          </cell>
          <cell r="R119">
            <v>131.80000000000001</v>
          </cell>
          <cell r="S119">
            <v>135.5</v>
          </cell>
          <cell r="T119">
            <v>135</v>
          </cell>
          <cell r="U119">
            <v>130.6</v>
          </cell>
          <cell r="V119">
            <v>134.4</v>
          </cell>
          <cell r="Z119">
            <v>125.2</v>
          </cell>
          <cell r="AA119">
            <v>114.4</v>
          </cell>
          <cell r="AB119">
            <v>123.2</v>
          </cell>
          <cell r="AC119">
            <v>127.9</v>
          </cell>
          <cell r="AD119">
            <v>118.4</v>
          </cell>
          <cell r="AE119">
            <v>121.7</v>
          </cell>
          <cell r="AF119">
            <v>129</v>
          </cell>
        </row>
        <row r="120">
          <cell r="A120" t="str">
            <v>Urban</v>
          </cell>
          <cell r="B120">
            <v>2016</v>
          </cell>
          <cell r="C120" t="str">
            <v>April</v>
          </cell>
          <cell r="F120">
            <v>124.9</v>
          </cell>
          <cell r="G120">
            <v>139.30000000000001</v>
          </cell>
          <cell r="H120">
            <v>119.9</v>
          </cell>
          <cell r="I120">
            <v>130.19999999999999</v>
          </cell>
          <cell r="J120">
            <v>108.9</v>
          </cell>
          <cell r="K120">
            <v>131.1</v>
          </cell>
          <cell r="L120">
            <v>136.80000000000001</v>
          </cell>
          <cell r="M120">
            <v>176.9</v>
          </cell>
          <cell r="N120">
            <v>109.1</v>
          </cell>
          <cell r="O120">
            <v>140.4</v>
          </cell>
          <cell r="P120">
            <v>121.1</v>
          </cell>
          <cell r="Q120">
            <v>135.9</v>
          </cell>
          <cell r="R120">
            <v>131.80000000000001</v>
          </cell>
          <cell r="S120">
            <v>141.5</v>
          </cell>
          <cell r="T120">
            <v>126.8</v>
          </cell>
          <cell r="U120">
            <v>120.5</v>
          </cell>
          <cell r="V120">
            <v>125.8</v>
          </cell>
          <cell r="Z120">
            <v>120</v>
          </cell>
          <cell r="AA120">
            <v>110</v>
          </cell>
          <cell r="AB120">
            <v>119.5</v>
          </cell>
          <cell r="AC120">
            <v>127.6</v>
          </cell>
          <cell r="AD120">
            <v>117.6</v>
          </cell>
          <cell r="AE120">
            <v>118.2</v>
          </cell>
          <cell r="AF120">
            <v>125.3</v>
          </cell>
        </row>
        <row r="121">
          <cell r="A121" t="str">
            <v>Rural+Urban</v>
          </cell>
          <cell r="B121">
            <v>2016</v>
          </cell>
          <cell r="C121" t="str">
            <v>April</v>
          </cell>
          <cell r="F121">
            <v>126.6</v>
          </cell>
          <cell r="G121">
            <v>136.80000000000001</v>
          </cell>
          <cell r="H121">
            <v>122</v>
          </cell>
          <cell r="I121">
            <v>130.9</v>
          </cell>
          <cell r="J121">
            <v>114.8</v>
          </cell>
          <cell r="K121">
            <v>134.80000000000001</v>
          </cell>
          <cell r="L121">
            <v>135</v>
          </cell>
          <cell r="M121">
            <v>167.5</v>
          </cell>
          <cell r="N121">
            <v>106.4</v>
          </cell>
          <cell r="O121">
            <v>134.4</v>
          </cell>
          <cell r="P121">
            <v>123.6</v>
          </cell>
          <cell r="Q121">
            <v>136.69999999999999</v>
          </cell>
          <cell r="R121">
            <v>131.80000000000001</v>
          </cell>
          <cell r="S121">
            <v>137.1</v>
          </cell>
          <cell r="T121">
            <v>131.80000000000001</v>
          </cell>
          <cell r="U121">
            <v>126.4</v>
          </cell>
          <cell r="V121">
            <v>131</v>
          </cell>
          <cell r="Z121">
            <v>123.2</v>
          </cell>
          <cell r="AA121">
            <v>112.1</v>
          </cell>
          <cell r="AB121">
            <v>121.1</v>
          </cell>
          <cell r="AC121">
            <v>127.7</v>
          </cell>
          <cell r="AD121">
            <v>118.1</v>
          </cell>
          <cell r="AE121">
            <v>120</v>
          </cell>
          <cell r="AF121">
            <v>127.3</v>
          </cell>
        </row>
        <row r="122">
          <cell r="A122" t="str">
            <v>Rural</v>
          </cell>
          <cell r="B122">
            <v>2016</v>
          </cell>
          <cell r="C122" t="str">
            <v>May</v>
          </cell>
          <cell r="F122">
            <v>127.6</v>
          </cell>
          <cell r="G122">
            <v>137.5</v>
          </cell>
          <cell r="H122">
            <v>124.4</v>
          </cell>
          <cell r="I122">
            <v>132.4</v>
          </cell>
          <cell r="J122">
            <v>118.2</v>
          </cell>
          <cell r="K122">
            <v>138.1</v>
          </cell>
          <cell r="L122">
            <v>141.80000000000001</v>
          </cell>
          <cell r="M122">
            <v>166</v>
          </cell>
          <cell r="N122">
            <v>107.5</v>
          </cell>
          <cell r="O122">
            <v>132.19999999999999</v>
          </cell>
          <cell r="P122">
            <v>126.1</v>
          </cell>
          <cell r="Q122">
            <v>138.30000000000001</v>
          </cell>
          <cell r="R122">
            <v>133.6</v>
          </cell>
          <cell r="S122">
            <v>136</v>
          </cell>
          <cell r="T122">
            <v>135.4</v>
          </cell>
          <cell r="U122">
            <v>131.1</v>
          </cell>
          <cell r="V122">
            <v>134.80000000000001</v>
          </cell>
          <cell r="Z122">
            <v>125.8</v>
          </cell>
          <cell r="AA122">
            <v>115.1</v>
          </cell>
          <cell r="AB122">
            <v>123.6</v>
          </cell>
          <cell r="AC122">
            <v>129.1</v>
          </cell>
          <cell r="AD122">
            <v>119.7</v>
          </cell>
          <cell r="AE122">
            <v>122.5</v>
          </cell>
          <cell r="AF122">
            <v>130.30000000000001</v>
          </cell>
        </row>
        <row r="123">
          <cell r="A123" t="str">
            <v>Urban</v>
          </cell>
          <cell r="B123">
            <v>2016</v>
          </cell>
          <cell r="C123" t="str">
            <v>May</v>
          </cell>
          <cell r="F123">
            <v>125</v>
          </cell>
          <cell r="G123">
            <v>142.1</v>
          </cell>
          <cell r="H123">
            <v>127</v>
          </cell>
          <cell r="I123">
            <v>130.4</v>
          </cell>
          <cell r="J123">
            <v>109.6</v>
          </cell>
          <cell r="K123">
            <v>133.5</v>
          </cell>
          <cell r="L123">
            <v>151.4</v>
          </cell>
          <cell r="M123">
            <v>182.8</v>
          </cell>
          <cell r="N123">
            <v>111.1</v>
          </cell>
          <cell r="O123">
            <v>141.5</v>
          </cell>
          <cell r="P123">
            <v>121.5</v>
          </cell>
          <cell r="Q123">
            <v>136.30000000000001</v>
          </cell>
          <cell r="R123">
            <v>134.6</v>
          </cell>
          <cell r="S123">
            <v>142.19999999999999</v>
          </cell>
          <cell r="T123">
            <v>127.2</v>
          </cell>
          <cell r="U123">
            <v>120.7</v>
          </cell>
          <cell r="V123">
            <v>126.2</v>
          </cell>
          <cell r="Z123">
            <v>120.3</v>
          </cell>
          <cell r="AA123">
            <v>110.7</v>
          </cell>
          <cell r="AB123">
            <v>119.8</v>
          </cell>
          <cell r="AC123">
            <v>128</v>
          </cell>
          <cell r="AD123">
            <v>118.5</v>
          </cell>
          <cell r="AE123">
            <v>118.7</v>
          </cell>
          <cell r="AF123">
            <v>126.6</v>
          </cell>
        </row>
        <row r="124">
          <cell r="A124" t="str">
            <v>Rural+Urban</v>
          </cell>
          <cell r="B124">
            <v>2016</v>
          </cell>
          <cell r="C124" t="str">
            <v>May</v>
          </cell>
          <cell r="F124">
            <v>126.8</v>
          </cell>
          <cell r="G124">
            <v>139.1</v>
          </cell>
          <cell r="H124">
            <v>125.4</v>
          </cell>
          <cell r="I124">
            <v>131.69999999999999</v>
          </cell>
          <cell r="J124">
            <v>115</v>
          </cell>
          <cell r="K124">
            <v>136</v>
          </cell>
          <cell r="L124">
            <v>145.1</v>
          </cell>
          <cell r="M124">
            <v>171.7</v>
          </cell>
          <cell r="N124">
            <v>108.7</v>
          </cell>
          <cell r="O124">
            <v>135.30000000000001</v>
          </cell>
          <cell r="P124">
            <v>124.2</v>
          </cell>
          <cell r="Q124">
            <v>137.4</v>
          </cell>
          <cell r="R124">
            <v>134</v>
          </cell>
          <cell r="S124">
            <v>137.69999999999999</v>
          </cell>
          <cell r="T124">
            <v>132.19999999999999</v>
          </cell>
          <cell r="U124">
            <v>126.8</v>
          </cell>
          <cell r="V124">
            <v>131.4</v>
          </cell>
          <cell r="Z124">
            <v>123.7</v>
          </cell>
          <cell r="AA124">
            <v>112.8</v>
          </cell>
          <cell r="AB124">
            <v>121.5</v>
          </cell>
          <cell r="AC124">
            <v>128.5</v>
          </cell>
          <cell r="AD124">
            <v>119.2</v>
          </cell>
          <cell r="AE124">
            <v>120.7</v>
          </cell>
          <cell r="AF124">
            <v>128.6</v>
          </cell>
        </row>
        <row r="125">
          <cell r="A125" t="str">
            <v>Rural</v>
          </cell>
          <cell r="B125">
            <v>2016</v>
          </cell>
          <cell r="C125" t="str">
            <v>June</v>
          </cell>
          <cell r="F125">
            <v>128.6</v>
          </cell>
          <cell r="G125">
            <v>138.6</v>
          </cell>
          <cell r="H125">
            <v>126.6</v>
          </cell>
          <cell r="I125">
            <v>133.6</v>
          </cell>
          <cell r="J125">
            <v>118.6</v>
          </cell>
          <cell r="K125">
            <v>137.4</v>
          </cell>
          <cell r="L125">
            <v>152.5</v>
          </cell>
          <cell r="M125">
            <v>169.2</v>
          </cell>
          <cell r="N125">
            <v>108.8</v>
          </cell>
          <cell r="O125">
            <v>133.1</v>
          </cell>
          <cell r="P125">
            <v>126.4</v>
          </cell>
          <cell r="Q125">
            <v>139.19999999999999</v>
          </cell>
          <cell r="R125">
            <v>136</v>
          </cell>
          <cell r="S125">
            <v>137.19999999999999</v>
          </cell>
          <cell r="T125">
            <v>136.30000000000001</v>
          </cell>
          <cell r="U125">
            <v>131.6</v>
          </cell>
          <cell r="V125">
            <v>135.6</v>
          </cell>
          <cell r="Z125">
            <v>126.2</v>
          </cell>
          <cell r="AA125">
            <v>116.3</v>
          </cell>
          <cell r="AB125">
            <v>124.1</v>
          </cell>
          <cell r="AC125">
            <v>130.19999999999999</v>
          </cell>
          <cell r="AD125">
            <v>119.9</v>
          </cell>
          <cell r="AE125">
            <v>123.3</v>
          </cell>
          <cell r="AF125">
            <v>131.9</v>
          </cell>
        </row>
        <row r="126">
          <cell r="A126" t="str">
            <v>Urban</v>
          </cell>
          <cell r="B126">
            <v>2016</v>
          </cell>
          <cell r="C126" t="str">
            <v>June</v>
          </cell>
          <cell r="F126">
            <v>125.9</v>
          </cell>
          <cell r="G126">
            <v>143.9</v>
          </cell>
          <cell r="H126">
            <v>130.9</v>
          </cell>
          <cell r="I126">
            <v>131</v>
          </cell>
          <cell r="J126">
            <v>110.2</v>
          </cell>
          <cell r="K126">
            <v>135.5</v>
          </cell>
          <cell r="L126">
            <v>173.7</v>
          </cell>
          <cell r="M126">
            <v>184.4</v>
          </cell>
          <cell r="N126">
            <v>112</v>
          </cell>
          <cell r="O126">
            <v>142.80000000000001</v>
          </cell>
          <cell r="P126">
            <v>121.6</v>
          </cell>
          <cell r="Q126">
            <v>136.9</v>
          </cell>
          <cell r="R126">
            <v>138.19999999999999</v>
          </cell>
          <cell r="S126">
            <v>142.69999999999999</v>
          </cell>
          <cell r="T126">
            <v>127.6</v>
          </cell>
          <cell r="U126">
            <v>121.1</v>
          </cell>
          <cell r="V126">
            <v>126.6</v>
          </cell>
          <cell r="Z126">
            <v>120.6</v>
          </cell>
          <cell r="AA126">
            <v>112.3</v>
          </cell>
          <cell r="AB126">
            <v>119.9</v>
          </cell>
          <cell r="AC126">
            <v>129.30000000000001</v>
          </cell>
          <cell r="AD126">
            <v>118.8</v>
          </cell>
          <cell r="AE126">
            <v>119.6</v>
          </cell>
          <cell r="AF126">
            <v>128.1</v>
          </cell>
        </row>
        <row r="127">
          <cell r="A127" t="str">
            <v>Rural+Urban</v>
          </cell>
          <cell r="B127">
            <v>2016</v>
          </cell>
          <cell r="C127" t="str">
            <v>June</v>
          </cell>
          <cell r="F127">
            <v>127.7</v>
          </cell>
          <cell r="G127">
            <v>140.5</v>
          </cell>
          <cell r="H127">
            <v>128.30000000000001</v>
          </cell>
          <cell r="I127">
            <v>132.6</v>
          </cell>
          <cell r="J127">
            <v>115.5</v>
          </cell>
          <cell r="K127">
            <v>136.5</v>
          </cell>
          <cell r="L127">
            <v>159.69999999999999</v>
          </cell>
          <cell r="M127">
            <v>174.3</v>
          </cell>
          <cell r="N127">
            <v>109.9</v>
          </cell>
          <cell r="O127">
            <v>136.30000000000001</v>
          </cell>
          <cell r="P127">
            <v>124.4</v>
          </cell>
          <cell r="Q127">
            <v>138.1</v>
          </cell>
          <cell r="R127">
            <v>136.80000000000001</v>
          </cell>
          <cell r="S127">
            <v>138.69999999999999</v>
          </cell>
          <cell r="T127">
            <v>132.9</v>
          </cell>
          <cell r="U127">
            <v>127.2</v>
          </cell>
          <cell r="V127">
            <v>132</v>
          </cell>
          <cell r="Z127">
            <v>124.1</v>
          </cell>
          <cell r="AA127">
            <v>114.2</v>
          </cell>
          <cell r="AB127">
            <v>121.7</v>
          </cell>
          <cell r="AC127">
            <v>129.69999999999999</v>
          </cell>
          <cell r="AD127">
            <v>119.4</v>
          </cell>
          <cell r="AE127">
            <v>121.5</v>
          </cell>
          <cell r="AF127">
            <v>130.1</v>
          </cell>
        </row>
        <row r="128">
          <cell r="A128" t="str">
            <v>Rural</v>
          </cell>
          <cell r="B128">
            <v>2016</v>
          </cell>
          <cell r="C128" t="str">
            <v>July</v>
          </cell>
          <cell r="F128">
            <v>129.30000000000001</v>
          </cell>
          <cell r="G128">
            <v>139.5</v>
          </cell>
          <cell r="H128">
            <v>129.6</v>
          </cell>
          <cell r="I128">
            <v>134.5</v>
          </cell>
          <cell r="J128">
            <v>119.5</v>
          </cell>
          <cell r="K128">
            <v>138.5</v>
          </cell>
          <cell r="L128">
            <v>158.19999999999999</v>
          </cell>
          <cell r="M128">
            <v>171.8</v>
          </cell>
          <cell r="N128">
            <v>110.3</v>
          </cell>
          <cell r="O128">
            <v>134.30000000000001</v>
          </cell>
          <cell r="P128">
            <v>127.3</v>
          </cell>
          <cell r="Q128">
            <v>139.9</v>
          </cell>
          <cell r="R128">
            <v>137.6</v>
          </cell>
          <cell r="S128">
            <v>138</v>
          </cell>
          <cell r="T128">
            <v>137.19999999999999</v>
          </cell>
          <cell r="U128">
            <v>132.19999999999999</v>
          </cell>
          <cell r="V128">
            <v>136.5</v>
          </cell>
          <cell r="Z128">
            <v>126.7</v>
          </cell>
          <cell r="AA128">
            <v>116.4</v>
          </cell>
          <cell r="AB128">
            <v>125.2</v>
          </cell>
          <cell r="AC128">
            <v>130.80000000000001</v>
          </cell>
          <cell r="AD128">
            <v>120.9</v>
          </cell>
          <cell r="AE128">
            <v>123.8</v>
          </cell>
          <cell r="AF128">
            <v>133</v>
          </cell>
        </row>
        <row r="129">
          <cell r="A129" t="str">
            <v>Urban</v>
          </cell>
          <cell r="B129">
            <v>2016</v>
          </cell>
          <cell r="C129" t="str">
            <v>July</v>
          </cell>
          <cell r="F129">
            <v>126.8</v>
          </cell>
          <cell r="G129">
            <v>144.19999999999999</v>
          </cell>
          <cell r="H129">
            <v>136.6</v>
          </cell>
          <cell r="I129">
            <v>131.80000000000001</v>
          </cell>
          <cell r="J129">
            <v>111</v>
          </cell>
          <cell r="K129">
            <v>137</v>
          </cell>
          <cell r="L129">
            <v>179.5</v>
          </cell>
          <cell r="M129">
            <v>188.4</v>
          </cell>
          <cell r="N129">
            <v>113.3</v>
          </cell>
          <cell r="O129">
            <v>143.9</v>
          </cell>
          <cell r="P129">
            <v>121.7</v>
          </cell>
          <cell r="Q129">
            <v>137.5</v>
          </cell>
          <cell r="R129">
            <v>139.80000000000001</v>
          </cell>
          <cell r="S129">
            <v>142.9</v>
          </cell>
          <cell r="T129">
            <v>127.9</v>
          </cell>
          <cell r="U129">
            <v>121.1</v>
          </cell>
          <cell r="V129">
            <v>126.9</v>
          </cell>
          <cell r="Z129">
            <v>120.9</v>
          </cell>
          <cell r="AA129">
            <v>111.7</v>
          </cell>
          <cell r="AB129">
            <v>120.3</v>
          </cell>
          <cell r="AC129">
            <v>130.80000000000001</v>
          </cell>
          <cell r="AD129">
            <v>120</v>
          </cell>
          <cell r="AE129">
            <v>119.9</v>
          </cell>
          <cell r="AF129">
            <v>129</v>
          </cell>
        </row>
        <row r="130">
          <cell r="A130" t="str">
            <v>Rural+Urban</v>
          </cell>
          <cell r="B130">
            <v>2016</v>
          </cell>
          <cell r="C130" t="str">
            <v>July</v>
          </cell>
          <cell r="F130">
            <v>128.5</v>
          </cell>
          <cell r="G130">
            <v>141.19999999999999</v>
          </cell>
          <cell r="H130">
            <v>132.30000000000001</v>
          </cell>
          <cell r="I130">
            <v>133.5</v>
          </cell>
          <cell r="J130">
            <v>116.4</v>
          </cell>
          <cell r="K130">
            <v>137.80000000000001</v>
          </cell>
          <cell r="L130">
            <v>165.4</v>
          </cell>
          <cell r="M130">
            <v>177.4</v>
          </cell>
          <cell r="N130">
            <v>111.3</v>
          </cell>
          <cell r="O130">
            <v>137.5</v>
          </cell>
          <cell r="P130">
            <v>125</v>
          </cell>
          <cell r="Q130">
            <v>138.80000000000001</v>
          </cell>
          <cell r="R130">
            <v>138.4</v>
          </cell>
          <cell r="S130">
            <v>139.30000000000001</v>
          </cell>
          <cell r="T130">
            <v>133.5</v>
          </cell>
          <cell r="U130">
            <v>127.6</v>
          </cell>
          <cell r="V130">
            <v>132.69999999999999</v>
          </cell>
          <cell r="Z130">
            <v>124.5</v>
          </cell>
          <cell r="AA130">
            <v>113.9</v>
          </cell>
          <cell r="AB130">
            <v>122.4</v>
          </cell>
          <cell r="AC130">
            <v>130.80000000000001</v>
          </cell>
          <cell r="AD130">
            <v>120.5</v>
          </cell>
          <cell r="AE130">
            <v>121.9</v>
          </cell>
          <cell r="AF130">
            <v>131.1</v>
          </cell>
        </row>
        <row r="131">
          <cell r="A131" t="str">
            <v>Rural</v>
          </cell>
          <cell r="B131">
            <v>2016</v>
          </cell>
          <cell r="C131" t="str">
            <v>August</v>
          </cell>
          <cell r="F131">
            <v>130.1</v>
          </cell>
          <cell r="G131">
            <v>138.80000000000001</v>
          </cell>
          <cell r="H131">
            <v>130.30000000000001</v>
          </cell>
          <cell r="I131">
            <v>135.30000000000001</v>
          </cell>
          <cell r="J131">
            <v>119.9</v>
          </cell>
          <cell r="K131">
            <v>140.19999999999999</v>
          </cell>
          <cell r="L131">
            <v>156.9</v>
          </cell>
          <cell r="M131">
            <v>172.2</v>
          </cell>
          <cell r="N131">
            <v>112.1</v>
          </cell>
          <cell r="O131">
            <v>134.9</v>
          </cell>
          <cell r="P131">
            <v>128.1</v>
          </cell>
          <cell r="Q131">
            <v>140.69999999999999</v>
          </cell>
          <cell r="R131">
            <v>138</v>
          </cell>
          <cell r="S131">
            <v>138.9</v>
          </cell>
          <cell r="T131">
            <v>137.80000000000001</v>
          </cell>
          <cell r="U131">
            <v>133</v>
          </cell>
          <cell r="V131">
            <v>137.1</v>
          </cell>
          <cell r="Z131">
            <v>127</v>
          </cell>
          <cell r="AA131">
            <v>116</v>
          </cell>
          <cell r="AB131">
            <v>125.5</v>
          </cell>
          <cell r="AC131">
            <v>131.9</v>
          </cell>
          <cell r="AD131">
            <v>122</v>
          </cell>
          <cell r="AE131">
            <v>124.2</v>
          </cell>
          <cell r="AF131">
            <v>133.5</v>
          </cell>
        </row>
        <row r="132">
          <cell r="A132" t="str">
            <v>Urban</v>
          </cell>
          <cell r="B132">
            <v>2016</v>
          </cell>
          <cell r="C132" t="str">
            <v>August</v>
          </cell>
          <cell r="F132">
            <v>127.6</v>
          </cell>
          <cell r="G132">
            <v>140.30000000000001</v>
          </cell>
          <cell r="H132">
            <v>133.69999999999999</v>
          </cell>
          <cell r="I132">
            <v>132.19999999999999</v>
          </cell>
          <cell r="J132">
            <v>111.8</v>
          </cell>
          <cell r="K132">
            <v>135.80000000000001</v>
          </cell>
          <cell r="L132">
            <v>163.5</v>
          </cell>
          <cell r="M132">
            <v>182.3</v>
          </cell>
          <cell r="N132">
            <v>114.6</v>
          </cell>
          <cell r="O132">
            <v>144.6</v>
          </cell>
          <cell r="P132">
            <v>121.9</v>
          </cell>
          <cell r="Q132">
            <v>138.1</v>
          </cell>
          <cell r="R132">
            <v>137.6</v>
          </cell>
          <cell r="S132">
            <v>143.6</v>
          </cell>
          <cell r="T132">
            <v>128.30000000000001</v>
          </cell>
          <cell r="U132">
            <v>121.4</v>
          </cell>
          <cell r="V132">
            <v>127.3</v>
          </cell>
          <cell r="Z132">
            <v>121.2</v>
          </cell>
          <cell r="AA132">
            <v>110.4</v>
          </cell>
          <cell r="AB132">
            <v>120.6</v>
          </cell>
          <cell r="AC132">
            <v>131.5</v>
          </cell>
          <cell r="AD132">
            <v>120.9</v>
          </cell>
          <cell r="AE132">
            <v>119.9</v>
          </cell>
          <cell r="AF132">
            <v>128.4</v>
          </cell>
        </row>
        <row r="133">
          <cell r="A133" t="str">
            <v>Rural+Urban</v>
          </cell>
          <cell r="B133">
            <v>2016</v>
          </cell>
          <cell r="C133" t="str">
            <v>August</v>
          </cell>
          <cell r="F133">
            <v>129.30000000000001</v>
          </cell>
          <cell r="G133">
            <v>139.30000000000001</v>
          </cell>
          <cell r="H133">
            <v>131.6</v>
          </cell>
          <cell r="I133">
            <v>134.1</v>
          </cell>
          <cell r="J133">
            <v>116.9</v>
          </cell>
          <cell r="K133">
            <v>138.1</v>
          </cell>
          <cell r="L133">
            <v>159.1</v>
          </cell>
          <cell r="M133">
            <v>175.6</v>
          </cell>
          <cell r="N133">
            <v>112.9</v>
          </cell>
          <cell r="O133">
            <v>138.1</v>
          </cell>
          <cell r="P133">
            <v>125.5</v>
          </cell>
          <cell r="Q133">
            <v>139.5</v>
          </cell>
          <cell r="R133">
            <v>137.9</v>
          </cell>
          <cell r="S133">
            <v>140.19999999999999</v>
          </cell>
          <cell r="T133">
            <v>134.1</v>
          </cell>
          <cell r="U133">
            <v>128.19999999999999</v>
          </cell>
          <cell r="V133">
            <v>133.19999999999999</v>
          </cell>
          <cell r="Z133">
            <v>124.8</v>
          </cell>
          <cell r="AA133">
            <v>113.1</v>
          </cell>
          <cell r="AB133">
            <v>122.7</v>
          </cell>
          <cell r="AC133">
            <v>131.69999999999999</v>
          </cell>
          <cell r="AD133">
            <v>121.5</v>
          </cell>
          <cell r="AE133">
            <v>122.1</v>
          </cell>
          <cell r="AF133">
            <v>131.1</v>
          </cell>
        </row>
        <row r="134">
          <cell r="A134" t="str">
            <v>Rural</v>
          </cell>
          <cell r="B134">
            <v>2016</v>
          </cell>
          <cell r="C134" t="str">
            <v>September</v>
          </cell>
          <cell r="F134">
            <v>130.80000000000001</v>
          </cell>
          <cell r="G134">
            <v>138.19999999999999</v>
          </cell>
          <cell r="H134">
            <v>130.5</v>
          </cell>
          <cell r="I134">
            <v>135.5</v>
          </cell>
          <cell r="J134">
            <v>120.2</v>
          </cell>
          <cell r="K134">
            <v>139.19999999999999</v>
          </cell>
          <cell r="L134">
            <v>149.5</v>
          </cell>
          <cell r="M134">
            <v>170.4</v>
          </cell>
          <cell r="N134">
            <v>113.1</v>
          </cell>
          <cell r="O134">
            <v>135.80000000000001</v>
          </cell>
          <cell r="P134">
            <v>128.80000000000001</v>
          </cell>
          <cell r="Q134">
            <v>141.5</v>
          </cell>
          <cell r="R134">
            <v>137.19999999999999</v>
          </cell>
          <cell r="S134">
            <v>139.9</v>
          </cell>
          <cell r="T134">
            <v>138.5</v>
          </cell>
          <cell r="U134">
            <v>133.5</v>
          </cell>
          <cell r="V134">
            <v>137.80000000000001</v>
          </cell>
          <cell r="Z134">
            <v>127.8</v>
          </cell>
          <cell r="AA134">
            <v>117</v>
          </cell>
          <cell r="AB134">
            <v>125.7</v>
          </cell>
          <cell r="AC134">
            <v>132.19999999999999</v>
          </cell>
          <cell r="AD134">
            <v>122.8</v>
          </cell>
          <cell r="AE134">
            <v>124.9</v>
          </cell>
          <cell r="AF134">
            <v>133.4</v>
          </cell>
        </row>
        <row r="135">
          <cell r="A135" t="str">
            <v>Urban</v>
          </cell>
          <cell r="B135">
            <v>2016</v>
          </cell>
          <cell r="C135" t="str">
            <v>September</v>
          </cell>
          <cell r="F135">
            <v>128.1</v>
          </cell>
          <cell r="G135">
            <v>137.69999999999999</v>
          </cell>
          <cell r="H135">
            <v>130.6</v>
          </cell>
          <cell r="I135">
            <v>132.6</v>
          </cell>
          <cell r="J135">
            <v>111.9</v>
          </cell>
          <cell r="K135">
            <v>132.5</v>
          </cell>
          <cell r="L135">
            <v>152.9</v>
          </cell>
          <cell r="M135">
            <v>173.6</v>
          </cell>
          <cell r="N135">
            <v>115.1</v>
          </cell>
          <cell r="O135">
            <v>144.80000000000001</v>
          </cell>
          <cell r="P135">
            <v>122.1</v>
          </cell>
          <cell r="Q135">
            <v>138.80000000000001</v>
          </cell>
          <cell r="R135">
            <v>135.69999999999999</v>
          </cell>
          <cell r="S135">
            <v>143.9</v>
          </cell>
          <cell r="T135">
            <v>128.69999999999999</v>
          </cell>
          <cell r="U135">
            <v>121.6</v>
          </cell>
          <cell r="V135">
            <v>127.7</v>
          </cell>
          <cell r="Z135">
            <v>121.4</v>
          </cell>
          <cell r="AA135">
            <v>111.8</v>
          </cell>
          <cell r="AB135">
            <v>120.8</v>
          </cell>
          <cell r="AC135">
            <v>131.6</v>
          </cell>
          <cell r="AD135">
            <v>121.2</v>
          </cell>
          <cell r="AE135">
            <v>120.5</v>
          </cell>
          <cell r="AF135">
            <v>128</v>
          </cell>
        </row>
        <row r="136">
          <cell r="A136" t="str">
            <v>Rural+Urban</v>
          </cell>
          <cell r="B136">
            <v>2016</v>
          </cell>
          <cell r="C136" t="str">
            <v>September</v>
          </cell>
          <cell r="F136">
            <v>129.9</v>
          </cell>
          <cell r="G136">
            <v>138</v>
          </cell>
          <cell r="H136">
            <v>130.5</v>
          </cell>
          <cell r="I136">
            <v>134.4</v>
          </cell>
          <cell r="J136">
            <v>117.2</v>
          </cell>
          <cell r="K136">
            <v>136.1</v>
          </cell>
          <cell r="L136">
            <v>150.69999999999999</v>
          </cell>
          <cell r="M136">
            <v>171.5</v>
          </cell>
          <cell r="N136">
            <v>113.8</v>
          </cell>
          <cell r="O136">
            <v>138.80000000000001</v>
          </cell>
          <cell r="P136">
            <v>126</v>
          </cell>
          <cell r="Q136">
            <v>140.19999999999999</v>
          </cell>
          <cell r="R136">
            <v>136.6</v>
          </cell>
          <cell r="S136">
            <v>141</v>
          </cell>
          <cell r="T136">
            <v>134.6</v>
          </cell>
          <cell r="U136">
            <v>128.6</v>
          </cell>
          <cell r="V136">
            <v>133.80000000000001</v>
          </cell>
          <cell r="Z136">
            <v>125.4</v>
          </cell>
          <cell r="AA136">
            <v>114.3</v>
          </cell>
          <cell r="AB136">
            <v>122.9</v>
          </cell>
          <cell r="AC136">
            <v>131.80000000000001</v>
          </cell>
          <cell r="AD136">
            <v>122.1</v>
          </cell>
          <cell r="AE136">
            <v>122.8</v>
          </cell>
          <cell r="AF136">
            <v>130.9</v>
          </cell>
        </row>
        <row r="137">
          <cell r="A137" t="str">
            <v>Rural</v>
          </cell>
          <cell r="B137">
            <v>2016</v>
          </cell>
          <cell r="C137" t="str">
            <v>October</v>
          </cell>
          <cell r="F137">
            <v>131.30000000000001</v>
          </cell>
          <cell r="G137">
            <v>137.6</v>
          </cell>
          <cell r="H137">
            <v>130.1</v>
          </cell>
          <cell r="I137">
            <v>136</v>
          </cell>
          <cell r="J137">
            <v>120.8</v>
          </cell>
          <cell r="K137">
            <v>138.4</v>
          </cell>
          <cell r="L137">
            <v>149.19999999999999</v>
          </cell>
          <cell r="M137">
            <v>170.2</v>
          </cell>
          <cell r="N137">
            <v>113.4</v>
          </cell>
          <cell r="O137">
            <v>136.30000000000001</v>
          </cell>
          <cell r="P137">
            <v>128.69999999999999</v>
          </cell>
          <cell r="Q137">
            <v>142.4</v>
          </cell>
          <cell r="R137">
            <v>137.4</v>
          </cell>
          <cell r="S137">
            <v>140.9</v>
          </cell>
          <cell r="T137">
            <v>139.6</v>
          </cell>
          <cell r="U137">
            <v>134.30000000000001</v>
          </cell>
          <cell r="V137">
            <v>138.80000000000001</v>
          </cell>
          <cell r="Z137">
            <v>128.69999999999999</v>
          </cell>
          <cell r="AA137">
            <v>117.8</v>
          </cell>
          <cell r="AB137">
            <v>126.5</v>
          </cell>
          <cell r="AC137">
            <v>133</v>
          </cell>
          <cell r="AD137">
            <v>123</v>
          </cell>
          <cell r="AE137">
            <v>125.7</v>
          </cell>
          <cell r="AF137">
            <v>133.80000000000001</v>
          </cell>
        </row>
        <row r="138">
          <cell r="A138" t="str">
            <v>Urban</v>
          </cell>
          <cell r="B138">
            <v>2016</v>
          </cell>
          <cell r="C138" t="str">
            <v>October</v>
          </cell>
          <cell r="F138">
            <v>128.69999999999999</v>
          </cell>
          <cell r="G138">
            <v>138.4</v>
          </cell>
          <cell r="H138">
            <v>130.30000000000001</v>
          </cell>
          <cell r="I138">
            <v>132.69999999999999</v>
          </cell>
          <cell r="J138">
            <v>112.5</v>
          </cell>
          <cell r="K138">
            <v>130.4</v>
          </cell>
          <cell r="L138">
            <v>155.1</v>
          </cell>
          <cell r="M138">
            <v>175.7</v>
          </cell>
          <cell r="N138">
            <v>115.4</v>
          </cell>
          <cell r="O138">
            <v>145.30000000000001</v>
          </cell>
          <cell r="P138">
            <v>122.5</v>
          </cell>
          <cell r="Q138">
            <v>139.6</v>
          </cell>
          <cell r="R138">
            <v>136.30000000000001</v>
          </cell>
          <cell r="S138">
            <v>144.30000000000001</v>
          </cell>
          <cell r="T138">
            <v>129.1</v>
          </cell>
          <cell r="U138">
            <v>121.9</v>
          </cell>
          <cell r="V138">
            <v>128</v>
          </cell>
          <cell r="Z138">
            <v>121.8</v>
          </cell>
          <cell r="AA138">
            <v>112.8</v>
          </cell>
          <cell r="AB138">
            <v>121.2</v>
          </cell>
          <cell r="AC138">
            <v>131.9</v>
          </cell>
          <cell r="AD138">
            <v>120.8</v>
          </cell>
          <cell r="AE138">
            <v>120.9</v>
          </cell>
          <cell r="AF138">
            <v>128.6</v>
          </cell>
        </row>
        <row r="139">
          <cell r="A139" t="str">
            <v>Rural+Urban</v>
          </cell>
          <cell r="B139">
            <v>2016</v>
          </cell>
          <cell r="C139" t="str">
            <v>October</v>
          </cell>
          <cell r="F139">
            <v>130.5</v>
          </cell>
          <cell r="G139">
            <v>137.9</v>
          </cell>
          <cell r="H139">
            <v>130.19999999999999</v>
          </cell>
          <cell r="I139">
            <v>134.80000000000001</v>
          </cell>
          <cell r="J139">
            <v>117.8</v>
          </cell>
          <cell r="K139">
            <v>134.69999999999999</v>
          </cell>
          <cell r="L139">
            <v>151.19999999999999</v>
          </cell>
          <cell r="M139">
            <v>172.1</v>
          </cell>
          <cell r="N139">
            <v>114.1</v>
          </cell>
          <cell r="O139">
            <v>139.30000000000001</v>
          </cell>
          <cell r="P139">
            <v>126.1</v>
          </cell>
          <cell r="Q139">
            <v>141.1</v>
          </cell>
          <cell r="R139">
            <v>137</v>
          </cell>
          <cell r="S139">
            <v>141.80000000000001</v>
          </cell>
          <cell r="T139">
            <v>135.5</v>
          </cell>
          <cell r="U139">
            <v>129.1</v>
          </cell>
          <cell r="V139">
            <v>134.5</v>
          </cell>
          <cell r="Z139">
            <v>126.1</v>
          </cell>
          <cell r="AA139">
            <v>115.2</v>
          </cell>
          <cell r="AB139">
            <v>123.5</v>
          </cell>
          <cell r="AC139">
            <v>132.4</v>
          </cell>
          <cell r="AD139">
            <v>122.1</v>
          </cell>
          <cell r="AE139">
            <v>123.4</v>
          </cell>
          <cell r="AF139">
            <v>131.4</v>
          </cell>
        </row>
        <row r="140">
          <cell r="A140" t="str">
            <v>Rural</v>
          </cell>
          <cell r="B140">
            <v>2016</v>
          </cell>
          <cell r="C140" t="str">
            <v>November</v>
          </cell>
          <cell r="F140">
            <v>132</v>
          </cell>
          <cell r="G140">
            <v>137.4</v>
          </cell>
          <cell r="H140">
            <v>130.6</v>
          </cell>
          <cell r="I140">
            <v>136.19999999999999</v>
          </cell>
          <cell r="J140">
            <v>121.1</v>
          </cell>
          <cell r="K140">
            <v>136.9</v>
          </cell>
          <cell r="L140">
            <v>141.80000000000001</v>
          </cell>
          <cell r="M140">
            <v>170</v>
          </cell>
          <cell r="N140">
            <v>113.4</v>
          </cell>
          <cell r="O140">
            <v>136.80000000000001</v>
          </cell>
          <cell r="P140">
            <v>128.69999999999999</v>
          </cell>
          <cell r="Q140">
            <v>143.1</v>
          </cell>
          <cell r="R140">
            <v>136.6</v>
          </cell>
          <cell r="S140">
            <v>141.19999999999999</v>
          </cell>
          <cell r="T140">
            <v>139.9</v>
          </cell>
          <cell r="U140">
            <v>134.5</v>
          </cell>
          <cell r="V140">
            <v>139.19999999999999</v>
          </cell>
          <cell r="Z140">
            <v>129.1</v>
          </cell>
          <cell r="AA140">
            <v>118.2</v>
          </cell>
          <cell r="AB140">
            <v>126.9</v>
          </cell>
          <cell r="AC140">
            <v>133.69999999999999</v>
          </cell>
          <cell r="AD140">
            <v>123.5</v>
          </cell>
          <cell r="AE140">
            <v>126.1</v>
          </cell>
          <cell r="AF140">
            <v>133.6</v>
          </cell>
        </row>
        <row r="141">
          <cell r="A141" t="str">
            <v>Urban</v>
          </cell>
          <cell r="B141">
            <v>2016</v>
          </cell>
          <cell r="C141" t="str">
            <v>November</v>
          </cell>
          <cell r="F141">
            <v>130.19999999999999</v>
          </cell>
          <cell r="G141">
            <v>138.5</v>
          </cell>
          <cell r="H141">
            <v>134.1</v>
          </cell>
          <cell r="I141">
            <v>132.9</v>
          </cell>
          <cell r="J141">
            <v>112.6</v>
          </cell>
          <cell r="K141">
            <v>130.80000000000001</v>
          </cell>
          <cell r="L141">
            <v>142</v>
          </cell>
          <cell r="M141">
            <v>174.9</v>
          </cell>
          <cell r="N141">
            <v>115.6</v>
          </cell>
          <cell r="O141">
            <v>145.4</v>
          </cell>
          <cell r="P141">
            <v>122.7</v>
          </cell>
          <cell r="Q141">
            <v>140.30000000000001</v>
          </cell>
          <cell r="R141">
            <v>135.19999999999999</v>
          </cell>
          <cell r="S141">
            <v>144.30000000000001</v>
          </cell>
          <cell r="T141">
            <v>129.6</v>
          </cell>
          <cell r="U141">
            <v>122.1</v>
          </cell>
          <cell r="V141">
            <v>128.5</v>
          </cell>
          <cell r="Z141">
            <v>122.1</v>
          </cell>
          <cell r="AA141">
            <v>113.4</v>
          </cell>
          <cell r="AB141">
            <v>121.7</v>
          </cell>
          <cell r="AC141">
            <v>132.1</v>
          </cell>
          <cell r="AD141">
            <v>121.3</v>
          </cell>
          <cell r="AE141">
            <v>121.3</v>
          </cell>
          <cell r="AF141">
            <v>128.5</v>
          </cell>
        </row>
        <row r="142">
          <cell r="A142" t="str">
            <v>Rural+Urban</v>
          </cell>
          <cell r="B142">
            <v>2016</v>
          </cell>
          <cell r="C142" t="str">
            <v>November</v>
          </cell>
          <cell r="F142">
            <v>131.4</v>
          </cell>
          <cell r="G142">
            <v>137.80000000000001</v>
          </cell>
          <cell r="H142">
            <v>132</v>
          </cell>
          <cell r="I142">
            <v>135</v>
          </cell>
          <cell r="J142">
            <v>118</v>
          </cell>
          <cell r="K142">
            <v>134.1</v>
          </cell>
          <cell r="L142">
            <v>141.9</v>
          </cell>
          <cell r="M142">
            <v>171.7</v>
          </cell>
          <cell r="N142">
            <v>114.1</v>
          </cell>
          <cell r="O142">
            <v>139.69999999999999</v>
          </cell>
          <cell r="P142">
            <v>126.2</v>
          </cell>
          <cell r="Q142">
            <v>141.80000000000001</v>
          </cell>
          <cell r="R142">
            <v>136.1</v>
          </cell>
          <cell r="S142">
            <v>142</v>
          </cell>
          <cell r="T142">
            <v>135.80000000000001</v>
          </cell>
          <cell r="U142">
            <v>129.30000000000001</v>
          </cell>
          <cell r="V142">
            <v>135</v>
          </cell>
          <cell r="Z142">
            <v>126.4</v>
          </cell>
          <cell r="AA142">
            <v>115.7</v>
          </cell>
          <cell r="AB142">
            <v>124</v>
          </cell>
          <cell r="AC142">
            <v>132.80000000000001</v>
          </cell>
          <cell r="AD142">
            <v>122.6</v>
          </cell>
          <cell r="AE142">
            <v>123.8</v>
          </cell>
          <cell r="AF142">
            <v>131.19999999999999</v>
          </cell>
        </row>
        <row r="143">
          <cell r="A143" t="str">
            <v>Rural</v>
          </cell>
          <cell r="B143">
            <v>2016</v>
          </cell>
          <cell r="C143" t="str">
            <v>December</v>
          </cell>
          <cell r="F143">
            <v>132.6</v>
          </cell>
          <cell r="G143">
            <v>137.30000000000001</v>
          </cell>
          <cell r="H143">
            <v>131.6</v>
          </cell>
          <cell r="I143">
            <v>136.30000000000001</v>
          </cell>
          <cell r="J143">
            <v>121.6</v>
          </cell>
          <cell r="K143">
            <v>135.6</v>
          </cell>
          <cell r="L143">
            <v>127.5</v>
          </cell>
          <cell r="M143">
            <v>167.9</v>
          </cell>
          <cell r="N143">
            <v>113.8</v>
          </cell>
          <cell r="O143">
            <v>137.5</v>
          </cell>
          <cell r="P143">
            <v>129.1</v>
          </cell>
          <cell r="Q143">
            <v>143.6</v>
          </cell>
          <cell r="R143">
            <v>134.69999999999999</v>
          </cell>
          <cell r="S143">
            <v>142.4</v>
          </cell>
          <cell r="T143">
            <v>140.4</v>
          </cell>
          <cell r="U143">
            <v>135.19999999999999</v>
          </cell>
          <cell r="V143">
            <v>139.69999999999999</v>
          </cell>
          <cell r="Z143">
            <v>129.69999999999999</v>
          </cell>
          <cell r="AA143">
            <v>118.6</v>
          </cell>
          <cell r="AB143">
            <v>127.3</v>
          </cell>
          <cell r="AC143">
            <v>134.19999999999999</v>
          </cell>
          <cell r="AD143">
            <v>121.9</v>
          </cell>
          <cell r="AE143">
            <v>126.3</v>
          </cell>
          <cell r="AF143">
            <v>132.80000000000001</v>
          </cell>
        </row>
        <row r="144">
          <cell r="A144" t="str">
            <v>Urban</v>
          </cell>
          <cell r="B144">
            <v>2016</v>
          </cell>
          <cell r="C144" t="str">
            <v>December</v>
          </cell>
          <cell r="F144">
            <v>131.6</v>
          </cell>
          <cell r="G144">
            <v>138.19999999999999</v>
          </cell>
          <cell r="H144">
            <v>134.9</v>
          </cell>
          <cell r="I144">
            <v>133.1</v>
          </cell>
          <cell r="J144">
            <v>113.5</v>
          </cell>
          <cell r="K144">
            <v>129.30000000000001</v>
          </cell>
          <cell r="L144">
            <v>121.1</v>
          </cell>
          <cell r="M144">
            <v>170.3</v>
          </cell>
          <cell r="N144">
            <v>115.5</v>
          </cell>
          <cell r="O144">
            <v>145.5</v>
          </cell>
          <cell r="P144">
            <v>123.1</v>
          </cell>
          <cell r="Q144">
            <v>140.9</v>
          </cell>
          <cell r="R144">
            <v>132.80000000000001</v>
          </cell>
          <cell r="S144">
            <v>145</v>
          </cell>
          <cell r="T144">
            <v>130</v>
          </cell>
          <cell r="U144">
            <v>122.2</v>
          </cell>
          <cell r="V144">
            <v>128.80000000000001</v>
          </cell>
          <cell r="Z144">
            <v>122.3</v>
          </cell>
          <cell r="AA144">
            <v>113.7</v>
          </cell>
          <cell r="AB144">
            <v>121.8</v>
          </cell>
          <cell r="AC144">
            <v>132.30000000000001</v>
          </cell>
          <cell r="AD144">
            <v>119.9</v>
          </cell>
          <cell r="AE144">
            <v>121.4</v>
          </cell>
          <cell r="AF144">
            <v>127.6</v>
          </cell>
        </row>
        <row r="145">
          <cell r="A145" t="str">
            <v>Rural+Urban</v>
          </cell>
          <cell r="B145">
            <v>2016</v>
          </cell>
          <cell r="C145" t="str">
            <v>December</v>
          </cell>
          <cell r="F145">
            <v>132.30000000000001</v>
          </cell>
          <cell r="G145">
            <v>137.6</v>
          </cell>
          <cell r="H145">
            <v>132.9</v>
          </cell>
          <cell r="I145">
            <v>135.1</v>
          </cell>
          <cell r="J145">
            <v>118.6</v>
          </cell>
          <cell r="K145">
            <v>132.69999999999999</v>
          </cell>
          <cell r="L145">
            <v>125.3</v>
          </cell>
          <cell r="M145">
            <v>168.7</v>
          </cell>
          <cell r="N145">
            <v>114.4</v>
          </cell>
          <cell r="O145">
            <v>140.19999999999999</v>
          </cell>
          <cell r="P145">
            <v>126.6</v>
          </cell>
          <cell r="Q145">
            <v>142.30000000000001</v>
          </cell>
          <cell r="R145">
            <v>134</v>
          </cell>
          <cell r="S145">
            <v>143.1</v>
          </cell>
          <cell r="T145">
            <v>136.30000000000001</v>
          </cell>
          <cell r="U145">
            <v>129.80000000000001</v>
          </cell>
          <cell r="V145">
            <v>135.4</v>
          </cell>
          <cell r="Z145">
            <v>126.9</v>
          </cell>
          <cell r="AA145">
            <v>116</v>
          </cell>
          <cell r="AB145">
            <v>124.2</v>
          </cell>
          <cell r="AC145">
            <v>133.1</v>
          </cell>
          <cell r="AD145">
            <v>121.1</v>
          </cell>
          <cell r="AE145">
            <v>123.9</v>
          </cell>
          <cell r="AF145">
            <v>130.4</v>
          </cell>
        </row>
        <row r="146">
          <cell r="A146" t="str">
            <v>Rural</v>
          </cell>
          <cell r="B146">
            <v>2017</v>
          </cell>
          <cell r="C146" t="str">
            <v>January</v>
          </cell>
          <cell r="F146">
            <v>133.1</v>
          </cell>
          <cell r="G146">
            <v>137.80000000000001</v>
          </cell>
          <cell r="H146">
            <v>131.9</v>
          </cell>
          <cell r="I146">
            <v>136.69999999999999</v>
          </cell>
          <cell r="J146">
            <v>122</v>
          </cell>
          <cell r="K146">
            <v>136</v>
          </cell>
          <cell r="L146">
            <v>119.8</v>
          </cell>
          <cell r="M146">
            <v>161.69999999999999</v>
          </cell>
          <cell r="N146">
            <v>114.8</v>
          </cell>
          <cell r="O146">
            <v>136.9</v>
          </cell>
          <cell r="P146">
            <v>129</v>
          </cell>
          <cell r="Q146">
            <v>143.9</v>
          </cell>
          <cell r="R146">
            <v>133.69999999999999</v>
          </cell>
          <cell r="S146">
            <v>143.1</v>
          </cell>
          <cell r="T146">
            <v>140.69999999999999</v>
          </cell>
          <cell r="U146">
            <v>135.80000000000001</v>
          </cell>
          <cell r="V146">
            <v>140</v>
          </cell>
          <cell r="Z146">
            <v>129.9</v>
          </cell>
          <cell r="AA146">
            <v>119.1</v>
          </cell>
          <cell r="AB146">
            <v>127</v>
          </cell>
          <cell r="AC146">
            <v>134.6</v>
          </cell>
          <cell r="AD146">
            <v>122.3</v>
          </cell>
          <cell r="AE146">
            <v>126.6</v>
          </cell>
          <cell r="AF146">
            <v>132.4</v>
          </cell>
        </row>
        <row r="147">
          <cell r="A147" t="str">
            <v>Urban</v>
          </cell>
          <cell r="B147">
            <v>2017</v>
          </cell>
          <cell r="C147" t="str">
            <v>January</v>
          </cell>
          <cell r="F147">
            <v>132.19999999999999</v>
          </cell>
          <cell r="G147">
            <v>138.9</v>
          </cell>
          <cell r="H147">
            <v>132.6</v>
          </cell>
          <cell r="I147">
            <v>133.1</v>
          </cell>
          <cell r="J147">
            <v>114</v>
          </cell>
          <cell r="K147">
            <v>129.6</v>
          </cell>
          <cell r="L147">
            <v>118.7</v>
          </cell>
          <cell r="M147">
            <v>155.1</v>
          </cell>
          <cell r="N147">
            <v>117.3</v>
          </cell>
          <cell r="O147">
            <v>144.9</v>
          </cell>
          <cell r="P147">
            <v>123.2</v>
          </cell>
          <cell r="Q147">
            <v>141.6</v>
          </cell>
          <cell r="R147">
            <v>132</v>
          </cell>
          <cell r="S147">
            <v>145.6</v>
          </cell>
          <cell r="T147">
            <v>130.19999999999999</v>
          </cell>
          <cell r="U147">
            <v>122.3</v>
          </cell>
          <cell r="V147">
            <v>129</v>
          </cell>
          <cell r="Z147">
            <v>122.6</v>
          </cell>
          <cell r="AA147">
            <v>115.2</v>
          </cell>
          <cell r="AB147">
            <v>122</v>
          </cell>
          <cell r="AC147">
            <v>132.4</v>
          </cell>
          <cell r="AD147">
            <v>120.9</v>
          </cell>
          <cell r="AE147">
            <v>122.1</v>
          </cell>
          <cell r="AF147">
            <v>127.8</v>
          </cell>
        </row>
        <row r="148">
          <cell r="A148" t="str">
            <v>Rural+Urban</v>
          </cell>
          <cell r="B148">
            <v>2017</v>
          </cell>
          <cell r="C148" t="str">
            <v>January</v>
          </cell>
          <cell r="F148">
            <v>132.80000000000001</v>
          </cell>
          <cell r="G148">
            <v>138.19999999999999</v>
          </cell>
          <cell r="H148">
            <v>132.19999999999999</v>
          </cell>
          <cell r="I148">
            <v>135.4</v>
          </cell>
          <cell r="J148">
            <v>119.1</v>
          </cell>
          <cell r="K148">
            <v>133</v>
          </cell>
          <cell r="L148">
            <v>119.4</v>
          </cell>
          <cell r="M148">
            <v>159.5</v>
          </cell>
          <cell r="N148">
            <v>115.6</v>
          </cell>
          <cell r="O148">
            <v>139.6</v>
          </cell>
          <cell r="P148">
            <v>126.6</v>
          </cell>
          <cell r="Q148">
            <v>142.80000000000001</v>
          </cell>
          <cell r="R148">
            <v>133.1</v>
          </cell>
          <cell r="S148">
            <v>143.80000000000001</v>
          </cell>
          <cell r="T148">
            <v>136.6</v>
          </cell>
          <cell r="U148">
            <v>130.19999999999999</v>
          </cell>
          <cell r="V148">
            <v>135.6</v>
          </cell>
          <cell r="Z148">
            <v>127.1</v>
          </cell>
          <cell r="AA148">
            <v>117</v>
          </cell>
          <cell r="AB148">
            <v>124.2</v>
          </cell>
          <cell r="AC148">
            <v>133.30000000000001</v>
          </cell>
          <cell r="AD148">
            <v>121.7</v>
          </cell>
          <cell r="AE148">
            <v>124.4</v>
          </cell>
          <cell r="AF148">
            <v>130.30000000000001</v>
          </cell>
        </row>
        <row r="149">
          <cell r="A149" t="str">
            <v>Rural</v>
          </cell>
          <cell r="B149">
            <v>2017</v>
          </cell>
          <cell r="C149" t="str">
            <v>February</v>
          </cell>
          <cell r="F149">
            <v>133.30000000000001</v>
          </cell>
          <cell r="G149">
            <v>138.30000000000001</v>
          </cell>
          <cell r="H149">
            <v>129.30000000000001</v>
          </cell>
          <cell r="I149">
            <v>137.19999999999999</v>
          </cell>
          <cell r="J149">
            <v>122.1</v>
          </cell>
          <cell r="K149">
            <v>138.69999999999999</v>
          </cell>
          <cell r="L149">
            <v>119.1</v>
          </cell>
          <cell r="M149">
            <v>156.9</v>
          </cell>
          <cell r="N149">
            <v>116.2</v>
          </cell>
          <cell r="O149">
            <v>136</v>
          </cell>
          <cell r="P149">
            <v>129.4</v>
          </cell>
          <cell r="Q149">
            <v>144.4</v>
          </cell>
          <cell r="R149">
            <v>133.6</v>
          </cell>
          <cell r="S149">
            <v>143.69999999999999</v>
          </cell>
          <cell r="T149">
            <v>140.9</v>
          </cell>
          <cell r="U149">
            <v>135.80000000000001</v>
          </cell>
          <cell r="V149">
            <v>140.19999999999999</v>
          </cell>
          <cell r="Z149">
            <v>130.1</v>
          </cell>
          <cell r="AA149">
            <v>119.5</v>
          </cell>
          <cell r="AB149">
            <v>127.7</v>
          </cell>
          <cell r="AC149">
            <v>134.9</v>
          </cell>
          <cell r="AD149">
            <v>123.2</v>
          </cell>
          <cell r="AE149">
            <v>127</v>
          </cell>
          <cell r="AF149">
            <v>132.6</v>
          </cell>
        </row>
        <row r="150">
          <cell r="A150" t="str">
            <v>Urban</v>
          </cell>
          <cell r="B150">
            <v>2017</v>
          </cell>
          <cell r="C150" t="str">
            <v>February</v>
          </cell>
          <cell r="F150">
            <v>132.80000000000001</v>
          </cell>
          <cell r="G150">
            <v>139.80000000000001</v>
          </cell>
          <cell r="H150">
            <v>129.30000000000001</v>
          </cell>
          <cell r="I150">
            <v>133.5</v>
          </cell>
          <cell r="J150">
            <v>114.3</v>
          </cell>
          <cell r="K150">
            <v>131.4</v>
          </cell>
          <cell r="L150">
            <v>120.2</v>
          </cell>
          <cell r="M150">
            <v>143.1</v>
          </cell>
          <cell r="N150">
            <v>119.5</v>
          </cell>
          <cell r="O150">
            <v>144</v>
          </cell>
          <cell r="P150">
            <v>123.4</v>
          </cell>
          <cell r="Q150">
            <v>141.9</v>
          </cell>
          <cell r="R150">
            <v>132.1</v>
          </cell>
          <cell r="S150">
            <v>146.30000000000001</v>
          </cell>
          <cell r="T150">
            <v>130.5</v>
          </cell>
          <cell r="U150">
            <v>122.5</v>
          </cell>
          <cell r="V150">
            <v>129.30000000000001</v>
          </cell>
          <cell r="Z150">
            <v>122.9</v>
          </cell>
          <cell r="AA150">
            <v>115.5</v>
          </cell>
          <cell r="AB150">
            <v>122.2</v>
          </cell>
          <cell r="AC150">
            <v>132.4</v>
          </cell>
          <cell r="AD150">
            <v>121.7</v>
          </cell>
          <cell r="AE150">
            <v>122.4</v>
          </cell>
          <cell r="AF150">
            <v>128.19999999999999</v>
          </cell>
        </row>
        <row r="151">
          <cell r="A151" t="str">
            <v>Rural+Urban</v>
          </cell>
          <cell r="B151">
            <v>2017</v>
          </cell>
          <cell r="C151" t="str">
            <v>February</v>
          </cell>
          <cell r="F151">
            <v>133.1</v>
          </cell>
          <cell r="G151">
            <v>138.80000000000001</v>
          </cell>
          <cell r="H151">
            <v>129.30000000000001</v>
          </cell>
          <cell r="I151">
            <v>135.80000000000001</v>
          </cell>
          <cell r="J151">
            <v>119.2</v>
          </cell>
          <cell r="K151">
            <v>135.30000000000001</v>
          </cell>
          <cell r="L151">
            <v>119.5</v>
          </cell>
          <cell r="M151">
            <v>152.19999999999999</v>
          </cell>
          <cell r="N151">
            <v>117.3</v>
          </cell>
          <cell r="O151">
            <v>138.69999999999999</v>
          </cell>
          <cell r="P151">
            <v>126.9</v>
          </cell>
          <cell r="Q151">
            <v>143.19999999999999</v>
          </cell>
          <cell r="R151">
            <v>133</v>
          </cell>
          <cell r="S151">
            <v>144.4</v>
          </cell>
          <cell r="T151">
            <v>136.80000000000001</v>
          </cell>
          <cell r="U151">
            <v>130.30000000000001</v>
          </cell>
          <cell r="V151">
            <v>135.9</v>
          </cell>
          <cell r="Z151">
            <v>127.4</v>
          </cell>
          <cell r="AA151">
            <v>117.4</v>
          </cell>
          <cell r="AB151">
            <v>124.6</v>
          </cell>
          <cell r="AC151">
            <v>133.4</v>
          </cell>
          <cell r="AD151">
            <v>122.6</v>
          </cell>
          <cell r="AE151">
            <v>124.8</v>
          </cell>
          <cell r="AF151">
            <v>130.6</v>
          </cell>
        </row>
        <row r="152">
          <cell r="A152" t="str">
            <v>Rural</v>
          </cell>
          <cell r="B152">
            <v>2017</v>
          </cell>
          <cell r="C152" t="str">
            <v>March</v>
          </cell>
          <cell r="F152">
            <v>133.6</v>
          </cell>
          <cell r="G152">
            <v>138.80000000000001</v>
          </cell>
          <cell r="H152">
            <v>128.80000000000001</v>
          </cell>
          <cell r="I152">
            <v>137.19999999999999</v>
          </cell>
          <cell r="J152">
            <v>121.6</v>
          </cell>
          <cell r="K152">
            <v>139.69999999999999</v>
          </cell>
          <cell r="L152">
            <v>119.7</v>
          </cell>
          <cell r="M152">
            <v>148</v>
          </cell>
          <cell r="N152">
            <v>116.9</v>
          </cell>
          <cell r="O152">
            <v>135.6</v>
          </cell>
          <cell r="P152">
            <v>129.80000000000001</v>
          </cell>
          <cell r="Q152">
            <v>145.4</v>
          </cell>
          <cell r="R152">
            <v>133.4</v>
          </cell>
          <cell r="S152">
            <v>144.19999999999999</v>
          </cell>
          <cell r="T152">
            <v>141.6</v>
          </cell>
          <cell r="U152">
            <v>136.19999999999999</v>
          </cell>
          <cell r="V152">
            <v>140.80000000000001</v>
          </cell>
          <cell r="Z152">
            <v>130.6</v>
          </cell>
          <cell r="AA152">
            <v>119.8</v>
          </cell>
          <cell r="AB152">
            <v>128.30000000000001</v>
          </cell>
          <cell r="AC152">
            <v>135.19999999999999</v>
          </cell>
          <cell r="AD152">
            <v>123.3</v>
          </cell>
          <cell r="AE152">
            <v>127.4</v>
          </cell>
          <cell r="AF152">
            <v>132.80000000000001</v>
          </cell>
        </row>
        <row r="153">
          <cell r="A153" t="str">
            <v>Urban</v>
          </cell>
          <cell r="B153">
            <v>2017</v>
          </cell>
          <cell r="C153" t="str">
            <v>March</v>
          </cell>
          <cell r="F153">
            <v>132.69999999999999</v>
          </cell>
          <cell r="G153">
            <v>139.4</v>
          </cell>
          <cell r="H153">
            <v>128.4</v>
          </cell>
          <cell r="I153">
            <v>134.9</v>
          </cell>
          <cell r="J153">
            <v>114</v>
          </cell>
          <cell r="K153">
            <v>136.80000000000001</v>
          </cell>
          <cell r="L153">
            <v>122.2</v>
          </cell>
          <cell r="M153">
            <v>135.80000000000001</v>
          </cell>
          <cell r="N153">
            <v>120.3</v>
          </cell>
          <cell r="O153">
            <v>142.6</v>
          </cell>
          <cell r="P153">
            <v>123.6</v>
          </cell>
          <cell r="Q153">
            <v>142.4</v>
          </cell>
          <cell r="R153">
            <v>132.6</v>
          </cell>
          <cell r="S153">
            <v>147.5</v>
          </cell>
          <cell r="T153">
            <v>130.80000000000001</v>
          </cell>
          <cell r="U153">
            <v>122.8</v>
          </cell>
          <cell r="V153">
            <v>129.6</v>
          </cell>
          <cell r="Z153">
            <v>123.1</v>
          </cell>
          <cell r="AA153">
            <v>115.6</v>
          </cell>
          <cell r="AB153">
            <v>122.4</v>
          </cell>
          <cell r="AC153">
            <v>132.80000000000001</v>
          </cell>
          <cell r="AD153">
            <v>121.7</v>
          </cell>
          <cell r="AE153">
            <v>122.6</v>
          </cell>
          <cell r="AF153">
            <v>128.69999999999999</v>
          </cell>
        </row>
        <row r="154">
          <cell r="A154" t="str">
            <v>Rural+Urban</v>
          </cell>
          <cell r="B154">
            <v>2017</v>
          </cell>
          <cell r="C154" t="str">
            <v>March</v>
          </cell>
          <cell r="F154">
            <v>133.30000000000001</v>
          </cell>
          <cell r="G154">
            <v>139</v>
          </cell>
          <cell r="H154">
            <v>128.6</v>
          </cell>
          <cell r="I154">
            <v>136.30000000000001</v>
          </cell>
          <cell r="J154">
            <v>118.8</v>
          </cell>
          <cell r="K154">
            <v>138.30000000000001</v>
          </cell>
          <cell r="L154">
            <v>120.5</v>
          </cell>
          <cell r="M154">
            <v>143.9</v>
          </cell>
          <cell r="N154">
            <v>118</v>
          </cell>
          <cell r="O154">
            <v>137.9</v>
          </cell>
          <cell r="P154">
            <v>127.2</v>
          </cell>
          <cell r="Q154">
            <v>144</v>
          </cell>
          <cell r="R154">
            <v>133.1</v>
          </cell>
          <cell r="S154">
            <v>145.1</v>
          </cell>
          <cell r="T154">
            <v>137.30000000000001</v>
          </cell>
          <cell r="U154">
            <v>130.6</v>
          </cell>
          <cell r="V154">
            <v>136.4</v>
          </cell>
          <cell r="Z154">
            <v>127.8</v>
          </cell>
          <cell r="AA154">
            <v>117.6</v>
          </cell>
          <cell r="AB154">
            <v>125</v>
          </cell>
          <cell r="AC154">
            <v>133.80000000000001</v>
          </cell>
          <cell r="AD154">
            <v>122.6</v>
          </cell>
          <cell r="AE154">
            <v>125.1</v>
          </cell>
          <cell r="AF154">
            <v>130.9</v>
          </cell>
        </row>
        <row r="155">
          <cell r="A155" t="str">
            <v>Rural</v>
          </cell>
          <cell r="B155">
            <v>2017</v>
          </cell>
          <cell r="C155" t="str">
            <v>April</v>
          </cell>
          <cell r="F155">
            <v>133.19999999999999</v>
          </cell>
          <cell r="G155">
            <v>138.69999999999999</v>
          </cell>
          <cell r="H155">
            <v>127.1</v>
          </cell>
          <cell r="I155">
            <v>137.69999999999999</v>
          </cell>
          <cell r="J155">
            <v>121.3</v>
          </cell>
          <cell r="K155">
            <v>141.80000000000001</v>
          </cell>
          <cell r="L155">
            <v>121.5</v>
          </cell>
          <cell r="M155">
            <v>144.5</v>
          </cell>
          <cell r="N155">
            <v>117.4</v>
          </cell>
          <cell r="O155">
            <v>134.1</v>
          </cell>
          <cell r="P155">
            <v>130</v>
          </cell>
          <cell r="Q155">
            <v>145.5</v>
          </cell>
          <cell r="R155">
            <v>133.5</v>
          </cell>
          <cell r="S155">
            <v>144.4</v>
          </cell>
          <cell r="T155">
            <v>142.4</v>
          </cell>
          <cell r="U155">
            <v>136.80000000000001</v>
          </cell>
          <cell r="V155">
            <v>141.6</v>
          </cell>
          <cell r="Z155">
            <v>131</v>
          </cell>
          <cell r="AA155">
            <v>119.2</v>
          </cell>
          <cell r="AB155">
            <v>128.30000000000001</v>
          </cell>
          <cell r="AC155">
            <v>135.69999999999999</v>
          </cell>
          <cell r="AD155">
            <v>123.7</v>
          </cell>
          <cell r="AE155">
            <v>127.5</v>
          </cell>
          <cell r="AF155">
            <v>132.9</v>
          </cell>
        </row>
        <row r="156">
          <cell r="A156" t="str">
            <v>Urban</v>
          </cell>
          <cell r="B156">
            <v>2017</v>
          </cell>
          <cell r="C156" t="str">
            <v>April</v>
          </cell>
          <cell r="F156">
            <v>132.69999999999999</v>
          </cell>
          <cell r="G156">
            <v>140.6</v>
          </cell>
          <cell r="H156">
            <v>124.5</v>
          </cell>
          <cell r="I156">
            <v>136.30000000000001</v>
          </cell>
          <cell r="J156">
            <v>113.5</v>
          </cell>
          <cell r="K156">
            <v>137.69999999999999</v>
          </cell>
          <cell r="L156">
            <v>127.1</v>
          </cell>
          <cell r="M156">
            <v>133.80000000000001</v>
          </cell>
          <cell r="N156">
            <v>120.8</v>
          </cell>
          <cell r="O156">
            <v>141.30000000000001</v>
          </cell>
          <cell r="P156">
            <v>123.8</v>
          </cell>
          <cell r="Q156">
            <v>142.6</v>
          </cell>
          <cell r="R156">
            <v>133.4</v>
          </cell>
          <cell r="S156">
            <v>148</v>
          </cell>
          <cell r="T156">
            <v>131.19999999999999</v>
          </cell>
          <cell r="U156">
            <v>123</v>
          </cell>
          <cell r="V156">
            <v>130</v>
          </cell>
          <cell r="Z156">
            <v>123.4</v>
          </cell>
          <cell r="AA156">
            <v>114.3</v>
          </cell>
          <cell r="AB156">
            <v>122.6</v>
          </cell>
          <cell r="AC156">
            <v>133.6</v>
          </cell>
          <cell r="AD156">
            <v>122.2</v>
          </cell>
          <cell r="AE156">
            <v>122.5</v>
          </cell>
          <cell r="AF156">
            <v>129.1</v>
          </cell>
        </row>
        <row r="157">
          <cell r="A157" t="str">
            <v>Rural+Urban</v>
          </cell>
          <cell r="B157">
            <v>2017</v>
          </cell>
          <cell r="C157" t="str">
            <v>April</v>
          </cell>
          <cell r="F157">
            <v>133</v>
          </cell>
          <cell r="G157">
            <v>139.4</v>
          </cell>
          <cell r="H157">
            <v>126.1</v>
          </cell>
          <cell r="I157">
            <v>137.19999999999999</v>
          </cell>
          <cell r="J157">
            <v>118.4</v>
          </cell>
          <cell r="K157">
            <v>139.9</v>
          </cell>
          <cell r="L157">
            <v>123.4</v>
          </cell>
          <cell r="M157">
            <v>140.9</v>
          </cell>
          <cell r="N157">
            <v>118.5</v>
          </cell>
          <cell r="O157">
            <v>136.5</v>
          </cell>
          <cell r="P157">
            <v>127.4</v>
          </cell>
          <cell r="Q157">
            <v>144.19999999999999</v>
          </cell>
          <cell r="R157">
            <v>133.5</v>
          </cell>
          <cell r="S157">
            <v>145.4</v>
          </cell>
          <cell r="T157">
            <v>138</v>
          </cell>
          <cell r="U157">
            <v>131.1</v>
          </cell>
          <cell r="V157">
            <v>137</v>
          </cell>
          <cell r="Z157">
            <v>128.1</v>
          </cell>
          <cell r="AA157">
            <v>116.6</v>
          </cell>
          <cell r="AB157">
            <v>125.1</v>
          </cell>
          <cell r="AC157">
            <v>134.5</v>
          </cell>
          <cell r="AD157">
            <v>123.1</v>
          </cell>
          <cell r="AE157">
            <v>125.1</v>
          </cell>
          <cell r="AF157">
            <v>131.1</v>
          </cell>
        </row>
        <row r="158">
          <cell r="A158" t="str">
            <v>Rural</v>
          </cell>
          <cell r="B158">
            <v>2017</v>
          </cell>
          <cell r="C158" t="str">
            <v>May</v>
          </cell>
          <cell r="F158">
            <v>133.1</v>
          </cell>
          <cell r="G158">
            <v>140.30000000000001</v>
          </cell>
          <cell r="H158">
            <v>126.8</v>
          </cell>
          <cell r="I158">
            <v>138.19999999999999</v>
          </cell>
          <cell r="J158">
            <v>120.8</v>
          </cell>
          <cell r="K158">
            <v>140.19999999999999</v>
          </cell>
          <cell r="L158">
            <v>123.8</v>
          </cell>
          <cell r="M158">
            <v>141.80000000000001</v>
          </cell>
          <cell r="N158">
            <v>118.6</v>
          </cell>
          <cell r="O158">
            <v>134</v>
          </cell>
          <cell r="P158">
            <v>130.30000000000001</v>
          </cell>
          <cell r="Q158">
            <v>145.80000000000001</v>
          </cell>
          <cell r="R158">
            <v>133.80000000000001</v>
          </cell>
          <cell r="S158">
            <v>145.5</v>
          </cell>
          <cell r="T158">
            <v>142.5</v>
          </cell>
          <cell r="U158">
            <v>137.30000000000001</v>
          </cell>
          <cell r="V158">
            <v>141.80000000000001</v>
          </cell>
          <cell r="Z158">
            <v>131.4</v>
          </cell>
          <cell r="AA158">
            <v>119.4</v>
          </cell>
          <cell r="AB158">
            <v>129.4</v>
          </cell>
          <cell r="AC158">
            <v>136.30000000000001</v>
          </cell>
          <cell r="AD158">
            <v>123.7</v>
          </cell>
          <cell r="AE158">
            <v>127.9</v>
          </cell>
          <cell r="AF158">
            <v>133.30000000000001</v>
          </cell>
        </row>
        <row r="159">
          <cell r="A159" t="str">
            <v>Urban</v>
          </cell>
          <cell r="B159">
            <v>2017</v>
          </cell>
          <cell r="C159" t="str">
            <v>May</v>
          </cell>
          <cell r="F159">
            <v>132.6</v>
          </cell>
          <cell r="G159">
            <v>144.1</v>
          </cell>
          <cell r="H159">
            <v>125.6</v>
          </cell>
          <cell r="I159">
            <v>136.80000000000001</v>
          </cell>
          <cell r="J159">
            <v>113.4</v>
          </cell>
          <cell r="K159">
            <v>135.19999999999999</v>
          </cell>
          <cell r="L159">
            <v>129.19999999999999</v>
          </cell>
          <cell r="M159">
            <v>131.5</v>
          </cell>
          <cell r="N159">
            <v>121</v>
          </cell>
          <cell r="O159">
            <v>139.9</v>
          </cell>
          <cell r="P159">
            <v>123.8</v>
          </cell>
          <cell r="Q159">
            <v>142.9</v>
          </cell>
          <cell r="R159">
            <v>133.6</v>
          </cell>
          <cell r="S159">
            <v>148.30000000000001</v>
          </cell>
          <cell r="T159">
            <v>131.5</v>
          </cell>
          <cell r="U159">
            <v>123.2</v>
          </cell>
          <cell r="V159">
            <v>130.19999999999999</v>
          </cell>
          <cell r="Z159">
            <v>123.6</v>
          </cell>
          <cell r="AA159">
            <v>114.3</v>
          </cell>
          <cell r="AB159">
            <v>122.8</v>
          </cell>
          <cell r="AC159">
            <v>133.80000000000001</v>
          </cell>
          <cell r="AD159">
            <v>122</v>
          </cell>
          <cell r="AE159">
            <v>122.6</v>
          </cell>
          <cell r="AF159">
            <v>129.30000000000001</v>
          </cell>
        </row>
        <row r="160">
          <cell r="A160" t="str">
            <v>Rural+Urban</v>
          </cell>
          <cell r="B160">
            <v>2017</v>
          </cell>
          <cell r="C160" t="str">
            <v>May</v>
          </cell>
          <cell r="F160">
            <v>132.9</v>
          </cell>
          <cell r="G160">
            <v>141.6</v>
          </cell>
          <cell r="H160">
            <v>126.3</v>
          </cell>
          <cell r="I160">
            <v>137.69999999999999</v>
          </cell>
          <cell r="J160">
            <v>118.1</v>
          </cell>
          <cell r="K160">
            <v>137.9</v>
          </cell>
          <cell r="L160">
            <v>125.6</v>
          </cell>
          <cell r="M160">
            <v>138.30000000000001</v>
          </cell>
          <cell r="N160">
            <v>119.4</v>
          </cell>
          <cell r="O160">
            <v>136</v>
          </cell>
          <cell r="P160">
            <v>127.6</v>
          </cell>
          <cell r="Q160">
            <v>144.5</v>
          </cell>
          <cell r="R160">
            <v>133.69999999999999</v>
          </cell>
          <cell r="S160">
            <v>146.19999999999999</v>
          </cell>
          <cell r="T160">
            <v>138.19999999999999</v>
          </cell>
          <cell r="U160">
            <v>131.4</v>
          </cell>
          <cell r="V160">
            <v>137.19999999999999</v>
          </cell>
          <cell r="Z160">
            <v>128.4</v>
          </cell>
          <cell r="AA160">
            <v>116.7</v>
          </cell>
          <cell r="AB160">
            <v>125.7</v>
          </cell>
          <cell r="AC160">
            <v>134.80000000000001</v>
          </cell>
          <cell r="AD160">
            <v>123</v>
          </cell>
          <cell r="AE160">
            <v>125.3</v>
          </cell>
          <cell r="AF160">
            <v>131.4</v>
          </cell>
        </row>
        <row r="161">
          <cell r="A161" t="str">
            <v>Rural</v>
          </cell>
          <cell r="B161">
            <v>2017</v>
          </cell>
          <cell r="C161" t="str">
            <v>June</v>
          </cell>
          <cell r="F161">
            <v>133.5</v>
          </cell>
          <cell r="G161">
            <v>143.69999999999999</v>
          </cell>
          <cell r="H161">
            <v>128</v>
          </cell>
          <cell r="I161">
            <v>138.6</v>
          </cell>
          <cell r="J161">
            <v>120.9</v>
          </cell>
          <cell r="K161">
            <v>140.9</v>
          </cell>
          <cell r="L161">
            <v>128.80000000000001</v>
          </cell>
          <cell r="M161">
            <v>140.19999999999999</v>
          </cell>
          <cell r="N161">
            <v>118.9</v>
          </cell>
          <cell r="O161">
            <v>133.5</v>
          </cell>
          <cell r="P161">
            <v>130.4</v>
          </cell>
          <cell r="Q161">
            <v>146.5</v>
          </cell>
          <cell r="R161">
            <v>134.9</v>
          </cell>
          <cell r="S161">
            <v>145.80000000000001</v>
          </cell>
          <cell r="T161">
            <v>143.1</v>
          </cell>
          <cell r="U161">
            <v>137.69999999999999</v>
          </cell>
          <cell r="V161">
            <v>142.30000000000001</v>
          </cell>
          <cell r="Z161">
            <v>131.30000000000001</v>
          </cell>
          <cell r="AA161">
            <v>119.4</v>
          </cell>
          <cell r="AB161">
            <v>129.80000000000001</v>
          </cell>
          <cell r="AC161">
            <v>136.9</v>
          </cell>
          <cell r="AD161">
            <v>124.1</v>
          </cell>
          <cell r="AE161">
            <v>128.1</v>
          </cell>
          <cell r="AF161">
            <v>133.9</v>
          </cell>
        </row>
        <row r="162">
          <cell r="A162" t="str">
            <v>Urban</v>
          </cell>
          <cell r="B162">
            <v>2017</v>
          </cell>
          <cell r="C162" t="str">
            <v>June</v>
          </cell>
          <cell r="F162">
            <v>132.9</v>
          </cell>
          <cell r="G162">
            <v>148.69999999999999</v>
          </cell>
          <cell r="H162">
            <v>128.30000000000001</v>
          </cell>
          <cell r="I162">
            <v>137.30000000000001</v>
          </cell>
          <cell r="J162">
            <v>113.5</v>
          </cell>
          <cell r="K162">
            <v>137.19999999999999</v>
          </cell>
          <cell r="L162">
            <v>142.19999999999999</v>
          </cell>
          <cell r="M162">
            <v>128.19999999999999</v>
          </cell>
          <cell r="N162">
            <v>120.9</v>
          </cell>
          <cell r="O162">
            <v>138.80000000000001</v>
          </cell>
          <cell r="P162">
            <v>124.2</v>
          </cell>
          <cell r="Q162">
            <v>143.1</v>
          </cell>
          <cell r="R162">
            <v>135.69999999999999</v>
          </cell>
          <cell r="S162">
            <v>148.6</v>
          </cell>
          <cell r="T162">
            <v>131.5</v>
          </cell>
          <cell r="U162">
            <v>123.2</v>
          </cell>
          <cell r="V162">
            <v>130.19999999999999</v>
          </cell>
          <cell r="Z162">
            <v>123.8</v>
          </cell>
          <cell r="AA162">
            <v>113.9</v>
          </cell>
          <cell r="AB162">
            <v>122.9</v>
          </cell>
          <cell r="AC162">
            <v>134.30000000000001</v>
          </cell>
          <cell r="AD162">
            <v>122.5</v>
          </cell>
          <cell r="AE162">
            <v>122.7</v>
          </cell>
          <cell r="AF162">
            <v>129.9</v>
          </cell>
        </row>
        <row r="163">
          <cell r="A163" t="str">
            <v>Rural+Urban</v>
          </cell>
          <cell r="B163">
            <v>2017</v>
          </cell>
          <cell r="C163" t="str">
            <v>June</v>
          </cell>
          <cell r="F163">
            <v>133.30000000000001</v>
          </cell>
          <cell r="G163">
            <v>145.5</v>
          </cell>
          <cell r="H163">
            <v>128.1</v>
          </cell>
          <cell r="I163">
            <v>138.1</v>
          </cell>
          <cell r="J163">
            <v>118.2</v>
          </cell>
          <cell r="K163">
            <v>139.19999999999999</v>
          </cell>
          <cell r="L163">
            <v>133.30000000000001</v>
          </cell>
          <cell r="M163">
            <v>136.19999999999999</v>
          </cell>
          <cell r="N163">
            <v>119.6</v>
          </cell>
          <cell r="O163">
            <v>135.30000000000001</v>
          </cell>
          <cell r="P163">
            <v>127.8</v>
          </cell>
          <cell r="Q163">
            <v>144.9</v>
          </cell>
          <cell r="R163">
            <v>135.19999999999999</v>
          </cell>
          <cell r="S163">
            <v>146.5</v>
          </cell>
          <cell r="T163">
            <v>138.5</v>
          </cell>
          <cell r="U163">
            <v>131.69999999999999</v>
          </cell>
          <cell r="V163">
            <v>137.5</v>
          </cell>
          <cell r="Z163">
            <v>128.5</v>
          </cell>
          <cell r="AA163">
            <v>116.5</v>
          </cell>
          <cell r="AB163">
            <v>125.9</v>
          </cell>
          <cell r="AC163">
            <v>135.4</v>
          </cell>
          <cell r="AD163">
            <v>123.4</v>
          </cell>
          <cell r="AE163">
            <v>125.5</v>
          </cell>
          <cell r="AF163">
            <v>132</v>
          </cell>
        </row>
        <row r="164">
          <cell r="A164" t="str">
            <v>Rural</v>
          </cell>
          <cell r="B164">
            <v>2017</v>
          </cell>
          <cell r="C164" t="str">
            <v>July</v>
          </cell>
          <cell r="F164">
            <v>134</v>
          </cell>
          <cell r="G164">
            <v>144.19999999999999</v>
          </cell>
          <cell r="H164">
            <v>129.80000000000001</v>
          </cell>
          <cell r="I164">
            <v>139</v>
          </cell>
          <cell r="J164">
            <v>120.9</v>
          </cell>
          <cell r="K164">
            <v>143.9</v>
          </cell>
          <cell r="L164">
            <v>151.5</v>
          </cell>
          <cell r="M164">
            <v>138.1</v>
          </cell>
          <cell r="N164">
            <v>120</v>
          </cell>
          <cell r="O164">
            <v>133.9</v>
          </cell>
          <cell r="P164">
            <v>131.4</v>
          </cell>
          <cell r="Q164">
            <v>147.69999999999999</v>
          </cell>
          <cell r="R164">
            <v>138.5</v>
          </cell>
          <cell r="S164">
            <v>147.4</v>
          </cell>
          <cell r="T164">
            <v>144.30000000000001</v>
          </cell>
          <cell r="U164">
            <v>138.1</v>
          </cell>
          <cell r="V164">
            <v>143.5</v>
          </cell>
          <cell r="Z164">
            <v>132.1</v>
          </cell>
          <cell r="AA164">
            <v>119.1</v>
          </cell>
          <cell r="AB164">
            <v>130.6</v>
          </cell>
          <cell r="AC164">
            <v>138.6</v>
          </cell>
          <cell r="AD164">
            <v>124.4</v>
          </cell>
          <cell r="AE164">
            <v>128.6</v>
          </cell>
          <cell r="AF164">
            <v>136.19999999999999</v>
          </cell>
        </row>
        <row r="165">
          <cell r="A165" t="str">
            <v>Urban</v>
          </cell>
          <cell r="B165">
            <v>2017</v>
          </cell>
          <cell r="C165" t="str">
            <v>July</v>
          </cell>
          <cell r="F165">
            <v>132.80000000000001</v>
          </cell>
          <cell r="G165">
            <v>148.4</v>
          </cell>
          <cell r="H165">
            <v>129.4</v>
          </cell>
          <cell r="I165">
            <v>137.69999999999999</v>
          </cell>
          <cell r="J165">
            <v>113.4</v>
          </cell>
          <cell r="K165">
            <v>139.4</v>
          </cell>
          <cell r="L165">
            <v>175.1</v>
          </cell>
          <cell r="M165">
            <v>124.7</v>
          </cell>
          <cell r="N165">
            <v>121.5</v>
          </cell>
          <cell r="O165">
            <v>137.80000000000001</v>
          </cell>
          <cell r="P165">
            <v>124.4</v>
          </cell>
          <cell r="Q165">
            <v>143.69999999999999</v>
          </cell>
          <cell r="R165">
            <v>139.80000000000001</v>
          </cell>
          <cell r="S165">
            <v>150.5</v>
          </cell>
          <cell r="T165">
            <v>131.6</v>
          </cell>
          <cell r="U165">
            <v>123.7</v>
          </cell>
          <cell r="V165">
            <v>130.4</v>
          </cell>
          <cell r="Z165">
            <v>125</v>
          </cell>
          <cell r="AA165">
            <v>113.2</v>
          </cell>
          <cell r="AB165">
            <v>123.5</v>
          </cell>
          <cell r="AC165">
            <v>135.5</v>
          </cell>
          <cell r="AD165">
            <v>122.4</v>
          </cell>
          <cell r="AE165">
            <v>123</v>
          </cell>
          <cell r="AF165">
            <v>131.80000000000001</v>
          </cell>
        </row>
        <row r="166">
          <cell r="A166" t="str">
            <v>Rural+Urban</v>
          </cell>
          <cell r="B166">
            <v>2017</v>
          </cell>
          <cell r="C166" t="str">
            <v>July</v>
          </cell>
          <cell r="F166">
            <v>133.6</v>
          </cell>
          <cell r="G166">
            <v>145.69999999999999</v>
          </cell>
          <cell r="H166">
            <v>129.6</v>
          </cell>
          <cell r="I166">
            <v>138.5</v>
          </cell>
          <cell r="J166">
            <v>118.1</v>
          </cell>
          <cell r="K166">
            <v>141.80000000000001</v>
          </cell>
          <cell r="L166">
            <v>159.5</v>
          </cell>
          <cell r="M166">
            <v>133.6</v>
          </cell>
          <cell r="N166">
            <v>120.5</v>
          </cell>
          <cell r="O166">
            <v>135.19999999999999</v>
          </cell>
          <cell r="P166">
            <v>128.5</v>
          </cell>
          <cell r="Q166">
            <v>145.80000000000001</v>
          </cell>
          <cell r="R166">
            <v>139</v>
          </cell>
          <cell r="S166">
            <v>148.19999999999999</v>
          </cell>
          <cell r="T166">
            <v>139.30000000000001</v>
          </cell>
          <cell r="U166">
            <v>132.1</v>
          </cell>
          <cell r="V166">
            <v>138.30000000000001</v>
          </cell>
          <cell r="Z166">
            <v>129.4</v>
          </cell>
          <cell r="AA166">
            <v>116</v>
          </cell>
          <cell r="AB166">
            <v>126.6</v>
          </cell>
          <cell r="AC166">
            <v>136.80000000000001</v>
          </cell>
          <cell r="AD166">
            <v>123.6</v>
          </cell>
          <cell r="AE166">
            <v>125.9</v>
          </cell>
          <cell r="AF166">
            <v>134.19999999999999</v>
          </cell>
        </row>
        <row r="167">
          <cell r="A167" t="str">
            <v>Rural</v>
          </cell>
          <cell r="B167">
            <v>2017</v>
          </cell>
          <cell r="C167" t="str">
            <v>August</v>
          </cell>
          <cell r="F167">
            <v>134.80000000000001</v>
          </cell>
          <cell r="G167">
            <v>143.1</v>
          </cell>
          <cell r="H167">
            <v>130</v>
          </cell>
          <cell r="I167">
            <v>139.4</v>
          </cell>
          <cell r="J167">
            <v>120.5</v>
          </cell>
          <cell r="K167">
            <v>148</v>
          </cell>
          <cell r="L167">
            <v>162.9</v>
          </cell>
          <cell r="M167">
            <v>137.4</v>
          </cell>
          <cell r="N167">
            <v>120.8</v>
          </cell>
          <cell r="O167">
            <v>134.69999999999999</v>
          </cell>
          <cell r="P167">
            <v>131.6</v>
          </cell>
          <cell r="Q167">
            <v>148.69999999999999</v>
          </cell>
          <cell r="R167">
            <v>140.6</v>
          </cell>
          <cell r="S167">
            <v>149</v>
          </cell>
          <cell r="T167">
            <v>145.30000000000001</v>
          </cell>
          <cell r="U167">
            <v>139.19999999999999</v>
          </cell>
          <cell r="V167">
            <v>144.5</v>
          </cell>
          <cell r="Z167">
            <v>133</v>
          </cell>
          <cell r="AA167">
            <v>120.3</v>
          </cell>
          <cell r="AB167">
            <v>131.5</v>
          </cell>
          <cell r="AC167">
            <v>140.19999999999999</v>
          </cell>
          <cell r="AD167">
            <v>125.4</v>
          </cell>
          <cell r="AE167">
            <v>129.69999999999999</v>
          </cell>
          <cell r="AF167">
            <v>137.80000000000001</v>
          </cell>
        </row>
        <row r="168">
          <cell r="A168" t="str">
            <v>Urban</v>
          </cell>
          <cell r="B168">
            <v>2017</v>
          </cell>
          <cell r="C168" t="str">
            <v>August</v>
          </cell>
          <cell r="F168">
            <v>133.19999999999999</v>
          </cell>
          <cell r="G168">
            <v>143.9</v>
          </cell>
          <cell r="H168">
            <v>128.30000000000001</v>
          </cell>
          <cell r="I168">
            <v>138.30000000000001</v>
          </cell>
          <cell r="J168">
            <v>114.1</v>
          </cell>
          <cell r="K168">
            <v>142.69999999999999</v>
          </cell>
          <cell r="L168">
            <v>179.8</v>
          </cell>
          <cell r="M168">
            <v>123.5</v>
          </cell>
          <cell r="N168">
            <v>122.1</v>
          </cell>
          <cell r="O168">
            <v>137.5</v>
          </cell>
          <cell r="P168">
            <v>124.6</v>
          </cell>
          <cell r="Q168">
            <v>144.5</v>
          </cell>
          <cell r="R168">
            <v>140.5</v>
          </cell>
          <cell r="S168">
            <v>152.1</v>
          </cell>
          <cell r="T168">
            <v>132.69999999999999</v>
          </cell>
          <cell r="U168">
            <v>124.3</v>
          </cell>
          <cell r="V168">
            <v>131.4</v>
          </cell>
          <cell r="Z168">
            <v>125.7</v>
          </cell>
          <cell r="AA168">
            <v>114.6</v>
          </cell>
          <cell r="AB168">
            <v>124.1</v>
          </cell>
          <cell r="AC168">
            <v>135.69999999999999</v>
          </cell>
          <cell r="AD168">
            <v>123.3</v>
          </cell>
          <cell r="AE168">
            <v>123.8</v>
          </cell>
          <cell r="AF168">
            <v>132.69999999999999</v>
          </cell>
        </row>
        <row r="169">
          <cell r="A169" t="str">
            <v>Rural+Urban</v>
          </cell>
          <cell r="B169">
            <v>2017</v>
          </cell>
          <cell r="C169" t="str">
            <v>August</v>
          </cell>
          <cell r="F169">
            <v>134.30000000000001</v>
          </cell>
          <cell r="G169">
            <v>143.4</v>
          </cell>
          <cell r="H169">
            <v>129.30000000000001</v>
          </cell>
          <cell r="I169">
            <v>139</v>
          </cell>
          <cell r="J169">
            <v>118.1</v>
          </cell>
          <cell r="K169">
            <v>145.5</v>
          </cell>
          <cell r="L169">
            <v>168.6</v>
          </cell>
          <cell r="M169">
            <v>132.69999999999999</v>
          </cell>
          <cell r="N169">
            <v>121.2</v>
          </cell>
          <cell r="O169">
            <v>135.6</v>
          </cell>
          <cell r="P169">
            <v>128.69999999999999</v>
          </cell>
          <cell r="Q169">
            <v>146.80000000000001</v>
          </cell>
          <cell r="R169">
            <v>140.6</v>
          </cell>
          <cell r="S169">
            <v>149.80000000000001</v>
          </cell>
          <cell r="T169">
            <v>140.30000000000001</v>
          </cell>
          <cell r="U169">
            <v>133</v>
          </cell>
          <cell r="V169">
            <v>139.30000000000001</v>
          </cell>
          <cell r="Z169">
            <v>130.19999999999999</v>
          </cell>
          <cell r="AA169">
            <v>117.3</v>
          </cell>
          <cell r="AB169">
            <v>127.3</v>
          </cell>
          <cell r="AC169">
            <v>137.6</v>
          </cell>
          <cell r="AD169">
            <v>124.5</v>
          </cell>
          <cell r="AE169">
            <v>126.8</v>
          </cell>
          <cell r="AF169">
            <v>135.4</v>
          </cell>
        </row>
        <row r="170">
          <cell r="A170" t="str">
            <v>Rural</v>
          </cell>
          <cell r="B170">
            <v>2017</v>
          </cell>
          <cell r="C170" t="str">
            <v>September</v>
          </cell>
          <cell r="F170">
            <v>135.19999999999999</v>
          </cell>
          <cell r="G170">
            <v>142</v>
          </cell>
          <cell r="H170">
            <v>130.5</v>
          </cell>
          <cell r="I170">
            <v>140.19999999999999</v>
          </cell>
          <cell r="J170">
            <v>120.7</v>
          </cell>
          <cell r="K170">
            <v>147.80000000000001</v>
          </cell>
          <cell r="L170">
            <v>154.5</v>
          </cell>
          <cell r="M170">
            <v>137.1</v>
          </cell>
          <cell r="N170">
            <v>121</v>
          </cell>
          <cell r="O170">
            <v>134.69999999999999</v>
          </cell>
          <cell r="P170">
            <v>131.69999999999999</v>
          </cell>
          <cell r="Q170">
            <v>149.30000000000001</v>
          </cell>
          <cell r="R170">
            <v>139.6</v>
          </cell>
          <cell r="S170">
            <v>149.80000000000001</v>
          </cell>
          <cell r="T170">
            <v>146.1</v>
          </cell>
          <cell r="U170">
            <v>139.69999999999999</v>
          </cell>
          <cell r="V170">
            <v>145.19999999999999</v>
          </cell>
          <cell r="Z170">
            <v>133.4</v>
          </cell>
          <cell r="AA170">
            <v>121.2</v>
          </cell>
          <cell r="AB170">
            <v>132.30000000000001</v>
          </cell>
          <cell r="AC170">
            <v>139.6</v>
          </cell>
          <cell r="AD170">
            <v>126.7</v>
          </cell>
          <cell r="AE170">
            <v>130.30000000000001</v>
          </cell>
          <cell r="AF170">
            <v>137.6</v>
          </cell>
        </row>
        <row r="171">
          <cell r="A171" t="str">
            <v>Urban</v>
          </cell>
          <cell r="B171">
            <v>2017</v>
          </cell>
          <cell r="C171" t="str">
            <v>September</v>
          </cell>
          <cell r="F171">
            <v>133.6</v>
          </cell>
          <cell r="G171">
            <v>143</v>
          </cell>
          <cell r="H171">
            <v>129.69999999999999</v>
          </cell>
          <cell r="I171">
            <v>138.69999999999999</v>
          </cell>
          <cell r="J171">
            <v>114.5</v>
          </cell>
          <cell r="K171">
            <v>137.5</v>
          </cell>
          <cell r="L171">
            <v>160.69999999999999</v>
          </cell>
          <cell r="M171">
            <v>124.5</v>
          </cell>
          <cell r="N171">
            <v>122.4</v>
          </cell>
          <cell r="O171">
            <v>137.30000000000001</v>
          </cell>
          <cell r="P171">
            <v>124.8</v>
          </cell>
          <cell r="Q171">
            <v>145</v>
          </cell>
          <cell r="R171">
            <v>138</v>
          </cell>
          <cell r="S171">
            <v>153.6</v>
          </cell>
          <cell r="T171">
            <v>133.30000000000001</v>
          </cell>
          <cell r="U171">
            <v>124.6</v>
          </cell>
          <cell r="V171">
            <v>132</v>
          </cell>
          <cell r="Z171">
            <v>126.1</v>
          </cell>
          <cell r="AA171">
            <v>115.7</v>
          </cell>
          <cell r="AB171">
            <v>124.5</v>
          </cell>
          <cell r="AC171">
            <v>135.9</v>
          </cell>
          <cell r="AD171">
            <v>124.4</v>
          </cell>
          <cell r="AE171">
            <v>124.5</v>
          </cell>
          <cell r="AF171">
            <v>132.4</v>
          </cell>
        </row>
        <row r="172">
          <cell r="A172" t="str">
            <v>Rural+Urban</v>
          </cell>
          <cell r="B172">
            <v>2017</v>
          </cell>
          <cell r="C172" t="str">
            <v>September</v>
          </cell>
          <cell r="F172">
            <v>134.69999999999999</v>
          </cell>
          <cell r="G172">
            <v>142.4</v>
          </cell>
          <cell r="H172">
            <v>130.19999999999999</v>
          </cell>
          <cell r="I172">
            <v>139.6</v>
          </cell>
          <cell r="J172">
            <v>118.4</v>
          </cell>
          <cell r="K172">
            <v>143</v>
          </cell>
          <cell r="L172">
            <v>156.6</v>
          </cell>
          <cell r="M172">
            <v>132.9</v>
          </cell>
          <cell r="N172">
            <v>121.5</v>
          </cell>
          <cell r="O172">
            <v>135.6</v>
          </cell>
          <cell r="P172">
            <v>128.80000000000001</v>
          </cell>
          <cell r="Q172">
            <v>147.30000000000001</v>
          </cell>
          <cell r="R172">
            <v>139</v>
          </cell>
          <cell r="S172">
            <v>150.80000000000001</v>
          </cell>
          <cell r="T172">
            <v>141.1</v>
          </cell>
          <cell r="U172">
            <v>133.4</v>
          </cell>
          <cell r="V172">
            <v>140</v>
          </cell>
          <cell r="Z172">
            <v>130.6</v>
          </cell>
          <cell r="AA172">
            <v>118.3</v>
          </cell>
          <cell r="AB172">
            <v>127.9</v>
          </cell>
          <cell r="AC172">
            <v>137.4</v>
          </cell>
          <cell r="AD172">
            <v>125.7</v>
          </cell>
          <cell r="AE172">
            <v>127.5</v>
          </cell>
          <cell r="AF172">
            <v>135.19999999999999</v>
          </cell>
        </row>
        <row r="173">
          <cell r="A173" t="str">
            <v>Rural</v>
          </cell>
          <cell r="B173">
            <v>2017</v>
          </cell>
          <cell r="C173" t="str">
            <v>October</v>
          </cell>
          <cell r="F173">
            <v>135.9</v>
          </cell>
          <cell r="G173">
            <v>141.9</v>
          </cell>
          <cell r="H173">
            <v>131</v>
          </cell>
          <cell r="I173">
            <v>141.5</v>
          </cell>
          <cell r="J173">
            <v>121.4</v>
          </cell>
          <cell r="K173">
            <v>146.69999999999999</v>
          </cell>
          <cell r="L173">
            <v>157.1</v>
          </cell>
          <cell r="M173">
            <v>136.4</v>
          </cell>
          <cell r="N173">
            <v>121.4</v>
          </cell>
          <cell r="O173">
            <v>135.6</v>
          </cell>
          <cell r="P173">
            <v>131.30000000000001</v>
          </cell>
          <cell r="Q173">
            <v>150.30000000000001</v>
          </cell>
          <cell r="R173">
            <v>140.4</v>
          </cell>
          <cell r="S173">
            <v>150.5</v>
          </cell>
          <cell r="T173">
            <v>147.19999999999999</v>
          </cell>
          <cell r="U173">
            <v>140.6</v>
          </cell>
          <cell r="V173">
            <v>146.19999999999999</v>
          </cell>
          <cell r="Z173">
            <v>134.19999999999999</v>
          </cell>
          <cell r="AA173">
            <v>121</v>
          </cell>
          <cell r="AB173">
            <v>133</v>
          </cell>
          <cell r="AC173">
            <v>140.1</v>
          </cell>
          <cell r="AD173">
            <v>127.4</v>
          </cell>
          <cell r="AE173">
            <v>130.69999999999999</v>
          </cell>
          <cell r="AF173">
            <v>138.30000000000001</v>
          </cell>
        </row>
        <row r="174">
          <cell r="A174" t="str">
            <v>Urban</v>
          </cell>
          <cell r="B174">
            <v>2017</v>
          </cell>
          <cell r="C174" t="str">
            <v>October</v>
          </cell>
          <cell r="F174">
            <v>133.9</v>
          </cell>
          <cell r="G174">
            <v>142.80000000000001</v>
          </cell>
          <cell r="H174">
            <v>131.4</v>
          </cell>
          <cell r="I174">
            <v>139.1</v>
          </cell>
          <cell r="J174">
            <v>114.9</v>
          </cell>
          <cell r="K174">
            <v>135.6</v>
          </cell>
          <cell r="L174">
            <v>173.2</v>
          </cell>
          <cell r="M174">
            <v>124.1</v>
          </cell>
          <cell r="N174">
            <v>122.6</v>
          </cell>
          <cell r="O174">
            <v>137.80000000000001</v>
          </cell>
          <cell r="P174">
            <v>125.1</v>
          </cell>
          <cell r="Q174">
            <v>145.5</v>
          </cell>
          <cell r="R174">
            <v>139.69999999999999</v>
          </cell>
          <cell r="S174">
            <v>154.6</v>
          </cell>
          <cell r="T174">
            <v>134</v>
          </cell>
          <cell r="U174">
            <v>124.9</v>
          </cell>
          <cell r="V174">
            <v>132.6</v>
          </cell>
          <cell r="Z174">
            <v>126.6</v>
          </cell>
          <cell r="AA174">
            <v>115</v>
          </cell>
          <cell r="AB174">
            <v>124.8</v>
          </cell>
          <cell r="AC174">
            <v>136.30000000000001</v>
          </cell>
          <cell r="AD174">
            <v>124.6</v>
          </cell>
          <cell r="AE174">
            <v>124.5</v>
          </cell>
          <cell r="AF174">
            <v>133.5</v>
          </cell>
        </row>
        <row r="175">
          <cell r="A175" t="str">
            <v>Rural+Urban</v>
          </cell>
          <cell r="B175">
            <v>2017</v>
          </cell>
          <cell r="C175" t="str">
            <v>October</v>
          </cell>
          <cell r="F175">
            <v>135.30000000000001</v>
          </cell>
          <cell r="G175">
            <v>142.19999999999999</v>
          </cell>
          <cell r="H175">
            <v>131.19999999999999</v>
          </cell>
          <cell r="I175">
            <v>140.6</v>
          </cell>
          <cell r="J175">
            <v>119</v>
          </cell>
          <cell r="K175">
            <v>141.5</v>
          </cell>
          <cell r="L175">
            <v>162.6</v>
          </cell>
          <cell r="M175">
            <v>132.30000000000001</v>
          </cell>
          <cell r="N175">
            <v>121.8</v>
          </cell>
          <cell r="O175">
            <v>136.30000000000001</v>
          </cell>
          <cell r="P175">
            <v>128.69999999999999</v>
          </cell>
          <cell r="Q175">
            <v>148.1</v>
          </cell>
          <cell r="R175">
            <v>140.1</v>
          </cell>
          <cell r="S175">
            <v>151.6</v>
          </cell>
          <cell r="T175">
            <v>142</v>
          </cell>
          <cell r="U175">
            <v>134.1</v>
          </cell>
          <cell r="V175">
            <v>140.80000000000001</v>
          </cell>
          <cell r="Z175">
            <v>131.30000000000001</v>
          </cell>
          <cell r="AA175">
            <v>117.8</v>
          </cell>
          <cell r="AB175">
            <v>128.4</v>
          </cell>
          <cell r="AC175">
            <v>137.9</v>
          </cell>
          <cell r="AD175">
            <v>126.2</v>
          </cell>
          <cell r="AE175">
            <v>127.7</v>
          </cell>
          <cell r="AF175">
            <v>136.1</v>
          </cell>
        </row>
        <row r="176">
          <cell r="A176" t="str">
            <v>Rural</v>
          </cell>
          <cell r="B176">
            <v>2017</v>
          </cell>
          <cell r="C176" t="str">
            <v>November</v>
          </cell>
          <cell r="F176">
            <v>136.30000000000001</v>
          </cell>
          <cell r="G176">
            <v>142.5</v>
          </cell>
          <cell r="H176">
            <v>140.5</v>
          </cell>
          <cell r="I176">
            <v>141.5</v>
          </cell>
          <cell r="J176">
            <v>121.6</v>
          </cell>
          <cell r="K176">
            <v>147.30000000000001</v>
          </cell>
          <cell r="L176">
            <v>168</v>
          </cell>
          <cell r="M176">
            <v>135.80000000000001</v>
          </cell>
          <cell r="N176">
            <v>122.5</v>
          </cell>
          <cell r="O176">
            <v>136</v>
          </cell>
          <cell r="P176">
            <v>131.9</v>
          </cell>
          <cell r="Q176">
            <v>151.4</v>
          </cell>
          <cell r="R176">
            <v>142.4</v>
          </cell>
          <cell r="S176">
            <v>152.1</v>
          </cell>
          <cell r="T176">
            <v>148.19999999999999</v>
          </cell>
          <cell r="U176">
            <v>141.5</v>
          </cell>
          <cell r="V176">
            <v>147.30000000000001</v>
          </cell>
          <cell r="Z176">
            <v>135.80000000000001</v>
          </cell>
          <cell r="AA176">
            <v>121.6</v>
          </cell>
          <cell r="AB176">
            <v>133.69999999999999</v>
          </cell>
          <cell r="AC176">
            <v>141.5</v>
          </cell>
          <cell r="AD176">
            <v>128.1</v>
          </cell>
          <cell r="AE176">
            <v>131.69999999999999</v>
          </cell>
          <cell r="AF176">
            <v>140</v>
          </cell>
        </row>
        <row r="177">
          <cell r="A177" t="str">
            <v>Urban</v>
          </cell>
          <cell r="B177">
            <v>2017</v>
          </cell>
          <cell r="C177" t="str">
            <v>November</v>
          </cell>
          <cell r="F177">
            <v>134.30000000000001</v>
          </cell>
          <cell r="G177">
            <v>142.1</v>
          </cell>
          <cell r="H177">
            <v>146.69999999999999</v>
          </cell>
          <cell r="I177">
            <v>139.5</v>
          </cell>
          <cell r="J177">
            <v>115.2</v>
          </cell>
          <cell r="K177">
            <v>136.4</v>
          </cell>
          <cell r="L177">
            <v>185.2</v>
          </cell>
          <cell r="M177">
            <v>122.2</v>
          </cell>
          <cell r="N177">
            <v>123.9</v>
          </cell>
          <cell r="O177">
            <v>138.30000000000001</v>
          </cell>
          <cell r="P177">
            <v>125.4</v>
          </cell>
          <cell r="Q177">
            <v>146</v>
          </cell>
          <cell r="R177">
            <v>141.5</v>
          </cell>
          <cell r="S177">
            <v>156.19999999999999</v>
          </cell>
          <cell r="T177">
            <v>135</v>
          </cell>
          <cell r="U177">
            <v>125.4</v>
          </cell>
          <cell r="V177">
            <v>133.5</v>
          </cell>
          <cell r="Z177">
            <v>127.4</v>
          </cell>
          <cell r="AA177">
            <v>115.3</v>
          </cell>
          <cell r="AB177">
            <v>125.1</v>
          </cell>
          <cell r="AC177">
            <v>136.6</v>
          </cell>
          <cell r="AD177">
            <v>124.9</v>
          </cell>
          <cell r="AE177">
            <v>124.9</v>
          </cell>
          <cell r="AF177">
            <v>134.80000000000001</v>
          </cell>
        </row>
        <row r="178">
          <cell r="A178" t="str">
            <v>Rural+Urban</v>
          </cell>
          <cell r="B178">
            <v>2017</v>
          </cell>
          <cell r="C178" t="str">
            <v>November</v>
          </cell>
          <cell r="F178">
            <v>135.69999999999999</v>
          </cell>
          <cell r="G178">
            <v>142.4</v>
          </cell>
          <cell r="H178">
            <v>142.9</v>
          </cell>
          <cell r="I178">
            <v>140.80000000000001</v>
          </cell>
          <cell r="J178">
            <v>119.2</v>
          </cell>
          <cell r="K178">
            <v>142.19999999999999</v>
          </cell>
          <cell r="L178">
            <v>173.8</v>
          </cell>
          <cell r="M178">
            <v>131.19999999999999</v>
          </cell>
          <cell r="N178">
            <v>123</v>
          </cell>
          <cell r="O178">
            <v>136.80000000000001</v>
          </cell>
          <cell r="P178">
            <v>129.19999999999999</v>
          </cell>
          <cell r="Q178">
            <v>148.9</v>
          </cell>
          <cell r="R178">
            <v>142.1</v>
          </cell>
          <cell r="S178">
            <v>153.19999999999999</v>
          </cell>
          <cell r="T178">
            <v>143</v>
          </cell>
          <cell r="U178">
            <v>134.80000000000001</v>
          </cell>
          <cell r="V178">
            <v>141.80000000000001</v>
          </cell>
          <cell r="Z178">
            <v>132.6</v>
          </cell>
          <cell r="AA178">
            <v>118.3</v>
          </cell>
          <cell r="AB178">
            <v>128.9</v>
          </cell>
          <cell r="AC178">
            <v>138.6</v>
          </cell>
          <cell r="AD178">
            <v>126.8</v>
          </cell>
          <cell r="AE178">
            <v>128.4</v>
          </cell>
          <cell r="AF178">
            <v>137.6</v>
          </cell>
        </row>
        <row r="179">
          <cell r="A179" t="str">
            <v>Rural</v>
          </cell>
          <cell r="B179">
            <v>2017</v>
          </cell>
          <cell r="C179" t="str">
            <v>December</v>
          </cell>
          <cell r="F179">
            <v>136.4</v>
          </cell>
          <cell r="G179">
            <v>143.69999999999999</v>
          </cell>
          <cell r="H179">
            <v>144.80000000000001</v>
          </cell>
          <cell r="I179">
            <v>141.9</v>
          </cell>
          <cell r="J179">
            <v>123.1</v>
          </cell>
          <cell r="K179">
            <v>147.19999999999999</v>
          </cell>
          <cell r="L179">
            <v>161</v>
          </cell>
          <cell r="M179">
            <v>133.80000000000001</v>
          </cell>
          <cell r="N179">
            <v>121.9</v>
          </cell>
          <cell r="O179">
            <v>135.80000000000001</v>
          </cell>
          <cell r="P179">
            <v>131.1</v>
          </cell>
          <cell r="Q179">
            <v>151.4</v>
          </cell>
          <cell r="R179">
            <v>141.5</v>
          </cell>
          <cell r="S179">
            <v>153.19999999999999</v>
          </cell>
          <cell r="T179">
            <v>148</v>
          </cell>
          <cell r="U179">
            <v>141.9</v>
          </cell>
          <cell r="V179">
            <v>147.19999999999999</v>
          </cell>
          <cell r="Z179">
            <v>136.1</v>
          </cell>
          <cell r="AA179">
            <v>122</v>
          </cell>
          <cell r="AB179">
            <v>133.4</v>
          </cell>
          <cell r="AC179">
            <v>141.1</v>
          </cell>
          <cell r="AD179">
            <v>127.8</v>
          </cell>
          <cell r="AE179">
            <v>131.9</v>
          </cell>
          <cell r="AF179">
            <v>139.80000000000001</v>
          </cell>
        </row>
        <row r="180">
          <cell r="A180" t="str">
            <v>Urban</v>
          </cell>
          <cell r="B180">
            <v>2017</v>
          </cell>
          <cell r="C180" t="str">
            <v>December</v>
          </cell>
          <cell r="F180">
            <v>134.4</v>
          </cell>
          <cell r="G180">
            <v>142.6</v>
          </cell>
          <cell r="H180">
            <v>145.9</v>
          </cell>
          <cell r="I180">
            <v>139.5</v>
          </cell>
          <cell r="J180">
            <v>115.9</v>
          </cell>
          <cell r="K180">
            <v>135</v>
          </cell>
          <cell r="L180">
            <v>163.19999999999999</v>
          </cell>
          <cell r="M180">
            <v>119.8</v>
          </cell>
          <cell r="N180">
            <v>120.7</v>
          </cell>
          <cell r="O180">
            <v>139.69999999999999</v>
          </cell>
          <cell r="P180">
            <v>125.7</v>
          </cell>
          <cell r="Q180">
            <v>146.30000000000001</v>
          </cell>
          <cell r="R180">
            <v>138.80000000000001</v>
          </cell>
          <cell r="S180">
            <v>157</v>
          </cell>
          <cell r="T180">
            <v>135.6</v>
          </cell>
          <cell r="U180">
            <v>125.6</v>
          </cell>
          <cell r="V180">
            <v>134</v>
          </cell>
          <cell r="Z180">
            <v>128.19999999999999</v>
          </cell>
          <cell r="AA180">
            <v>115.3</v>
          </cell>
          <cell r="AB180">
            <v>125.6</v>
          </cell>
          <cell r="AC180">
            <v>136.69999999999999</v>
          </cell>
          <cell r="AD180">
            <v>124.6</v>
          </cell>
          <cell r="AE180">
            <v>125.1</v>
          </cell>
          <cell r="AF180">
            <v>134.1</v>
          </cell>
        </row>
        <row r="181">
          <cell r="A181" t="str">
            <v>Rural+Urban</v>
          </cell>
          <cell r="B181">
            <v>2017</v>
          </cell>
          <cell r="C181" t="str">
            <v>December</v>
          </cell>
          <cell r="F181">
            <v>135.80000000000001</v>
          </cell>
          <cell r="G181">
            <v>143.30000000000001</v>
          </cell>
          <cell r="H181">
            <v>145.19999999999999</v>
          </cell>
          <cell r="I181">
            <v>141</v>
          </cell>
          <cell r="J181">
            <v>120.5</v>
          </cell>
          <cell r="K181">
            <v>141.5</v>
          </cell>
          <cell r="L181">
            <v>161.69999999999999</v>
          </cell>
          <cell r="M181">
            <v>129.1</v>
          </cell>
          <cell r="N181">
            <v>121.5</v>
          </cell>
          <cell r="O181">
            <v>137.1</v>
          </cell>
          <cell r="P181">
            <v>128.80000000000001</v>
          </cell>
          <cell r="Q181">
            <v>149</v>
          </cell>
          <cell r="R181">
            <v>140.5</v>
          </cell>
          <cell r="S181">
            <v>154.19999999999999</v>
          </cell>
          <cell r="T181">
            <v>143.1</v>
          </cell>
          <cell r="U181">
            <v>135.1</v>
          </cell>
          <cell r="V181">
            <v>142</v>
          </cell>
          <cell r="Z181">
            <v>133.1</v>
          </cell>
          <cell r="AA181">
            <v>118.5</v>
          </cell>
          <cell r="AB181">
            <v>129</v>
          </cell>
          <cell r="AC181">
            <v>138.5</v>
          </cell>
          <cell r="AD181">
            <v>126.5</v>
          </cell>
          <cell r="AE181">
            <v>128.6</v>
          </cell>
          <cell r="AF181">
            <v>137.19999999999999</v>
          </cell>
        </row>
        <row r="182">
          <cell r="A182" t="str">
            <v>Rural</v>
          </cell>
          <cell r="B182">
            <v>2018</v>
          </cell>
          <cell r="C182" t="str">
            <v>January</v>
          </cell>
          <cell r="F182">
            <v>136.6</v>
          </cell>
          <cell r="G182">
            <v>144.4</v>
          </cell>
          <cell r="H182">
            <v>143.80000000000001</v>
          </cell>
          <cell r="I182">
            <v>142</v>
          </cell>
          <cell r="J182">
            <v>123.2</v>
          </cell>
          <cell r="K182">
            <v>147.9</v>
          </cell>
          <cell r="L182">
            <v>152.1</v>
          </cell>
          <cell r="M182">
            <v>131.80000000000001</v>
          </cell>
          <cell r="N182">
            <v>119.5</v>
          </cell>
          <cell r="O182">
            <v>136</v>
          </cell>
          <cell r="P182">
            <v>131.19999999999999</v>
          </cell>
          <cell r="Q182">
            <v>151.80000000000001</v>
          </cell>
          <cell r="R182">
            <v>140.4</v>
          </cell>
          <cell r="S182">
            <v>153.6</v>
          </cell>
          <cell r="T182">
            <v>148.30000000000001</v>
          </cell>
          <cell r="U182">
            <v>142.30000000000001</v>
          </cell>
          <cell r="V182">
            <v>147.5</v>
          </cell>
          <cell r="Z182">
            <v>136</v>
          </cell>
          <cell r="AA182">
            <v>122.7</v>
          </cell>
          <cell r="AB182">
            <v>134.30000000000001</v>
          </cell>
          <cell r="AC182">
            <v>141.6</v>
          </cell>
          <cell r="AD182">
            <v>128.6</v>
          </cell>
          <cell r="AE182">
            <v>132.30000000000001</v>
          </cell>
          <cell r="AF182">
            <v>139.30000000000001</v>
          </cell>
        </row>
        <row r="183">
          <cell r="A183" t="str">
            <v>Urban</v>
          </cell>
          <cell r="B183">
            <v>2018</v>
          </cell>
          <cell r="C183" t="str">
            <v>January</v>
          </cell>
          <cell r="F183">
            <v>134.6</v>
          </cell>
          <cell r="G183">
            <v>143.69999999999999</v>
          </cell>
          <cell r="H183">
            <v>143.6</v>
          </cell>
          <cell r="I183">
            <v>139.6</v>
          </cell>
          <cell r="J183">
            <v>116.4</v>
          </cell>
          <cell r="K183">
            <v>133.80000000000001</v>
          </cell>
          <cell r="L183">
            <v>150.5</v>
          </cell>
          <cell r="M183">
            <v>118.4</v>
          </cell>
          <cell r="N183">
            <v>117.3</v>
          </cell>
          <cell r="O183">
            <v>140.5</v>
          </cell>
          <cell r="P183">
            <v>125.9</v>
          </cell>
          <cell r="Q183">
            <v>146.80000000000001</v>
          </cell>
          <cell r="R183">
            <v>137.19999999999999</v>
          </cell>
          <cell r="S183">
            <v>157.69999999999999</v>
          </cell>
          <cell r="T183">
            <v>136</v>
          </cell>
          <cell r="U183">
            <v>125.9</v>
          </cell>
          <cell r="V183">
            <v>134.4</v>
          </cell>
          <cell r="Z183">
            <v>129</v>
          </cell>
          <cell r="AA183">
            <v>116.3</v>
          </cell>
          <cell r="AB183">
            <v>126.2</v>
          </cell>
          <cell r="AC183">
            <v>137.1</v>
          </cell>
          <cell r="AD183">
            <v>125.5</v>
          </cell>
          <cell r="AE183">
            <v>125.8</v>
          </cell>
          <cell r="AF183">
            <v>134.1</v>
          </cell>
        </row>
        <row r="184">
          <cell r="A184" t="str">
            <v>Rural+Urban</v>
          </cell>
          <cell r="B184">
            <v>2018</v>
          </cell>
          <cell r="C184" t="str">
            <v>January</v>
          </cell>
          <cell r="F184">
            <v>136</v>
          </cell>
          <cell r="G184">
            <v>144.19999999999999</v>
          </cell>
          <cell r="H184">
            <v>143.69999999999999</v>
          </cell>
          <cell r="I184">
            <v>141.1</v>
          </cell>
          <cell r="J184">
            <v>120.7</v>
          </cell>
          <cell r="K184">
            <v>141.30000000000001</v>
          </cell>
          <cell r="L184">
            <v>151.6</v>
          </cell>
          <cell r="M184">
            <v>127.3</v>
          </cell>
          <cell r="N184">
            <v>118.8</v>
          </cell>
          <cell r="O184">
            <v>137.5</v>
          </cell>
          <cell r="P184">
            <v>129</v>
          </cell>
          <cell r="Q184">
            <v>149.5</v>
          </cell>
          <cell r="R184">
            <v>139.19999999999999</v>
          </cell>
          <cell r="S184">
            <v>154.69999999999999</v>
          </cell>
          <cell r="T184">
            <v>143.5</v>
          </cell>
          <cell r="U184">
            <v>135.5</v>
          </cell>
          <cell r="V184">
            <v>142.30000000000001</v>
          </cell>
          <cell r="Z184">
            <v>133.30000000000001</v>
          </cell>
          <cell r="AA184">
            <v>119.3</v>
          </cell>
          <cell r="AB184">
            <v>129.69999999999999</v>
          </cell>
          <cell r="AC184">
            <v>139</v>
          </cell>
          <cell r="AD184">
            <v>127.3</v>
          </cell>
          <cell r="AE184">
            <v>129.1</v>
          </cell>
          <cell r="AF184">
            <v>136.9</v>
          </cell>
        </row>
        <row r="185">
          <cell r="A185" t="str">
            <v>Rural</v>
          </cell>
          <cell r="B185">
            <v>2018</v>
          </cell>
          <cell r="C185" t="str">
            <v>February</v>
          </cell>
          <cell r="F185">
            <v>136.4</v>
          </cell>
          <cell r="G185">
            <v>143.69999999999999</v>
          </cell>
          <cell r="H185">
            <v>140.6</v>
          </cell>
          <cell r="I185">
            <v>141.5</v>
          </cell>
          <cell r="J185">
            <v>122.9</v>
          </cell>
          <cell r="K185">
            <v>149.4</v>
          </cell>
          <cell r="L185">
            <v>142.4</v>
          </cell>
          <cell r="M185">
            <v>130.19999999999999</v>
          </cell>
          <cell r="N185">
            <v>117.9</v>
          </cell>
          <cell r="O185">
            <v>135.6</v>
          </cell>
          <cell r="P185">
            <v>130.5</v>
          </cell>
          <cell r="Q185">
            <v>151.69999999999999</v>
          </cell>
          <cell r="R185">
            <v>138.69999999999999</v>
          </cell>
          <cell r="S185">
            <v>153.30000000000001</v>
          </cell>
          <cell r="T185">
            <v>148.69999999999999</v>
          </cell>
          <cell r="U185">
            <v>142.4</v>
          </cell>
          <cell r="V185">
            <v>147.80000000000001</v>
          </cell>
          <cell r="Z185">
            <v>136.19999999999999</v>
          </cell>
          <cell r="AA185">
            <v>123.3</v>
          </cell>
          <cell r="AB185">
            <v>134.30000000000001</v>
          </cell>
          <cell r="AC185">
            <v>141.5</v>
          </cell>
          <cell r="AD185">
            <v>128.80000000000001</v>
          </cell>
          <cell r="AE185">
            <v>132.5</v>
          </cell>
          <cell r="AF185">
            <v>138.5</v>
          </cell>
        </row>
        <row r="186">
          <cell r="A186" t="str">
            <v>Urban</v>
          </cell>
          <cell r="B186">
            <v>2018</v>
          </cell>
          <cell r="C186" t="str">
            <v>February</v>
          </cell>
          <cell r="F186">
            <v>134.80000000000001</v>
          </cell>
          <cell r="G186">
            <v>143</v>
          </cell>
          <cell r="H186">
            <v>139.9</v>
          </cell>
          <cell r="I186">
            <v>139.9</v>
          </cell>
          <cell r="J186">
            <v>116.2</v>
          </cell>
          <cell r="K186">
            <v>135.5</v>
          </cell>
          <cell r="L186">
            <v>136.9</v>
          </cell>
          <cell r="M186">
            <v>117</v>
          </cell>
          <cell r="N186">
            <v>115.4</v>
          </cell>
          <cell r="O186">
            <v>140.69999999999999</v>
          </cell>
          <cell r="P186">
            <v>125.9</v>
          </cell>
          <cell r="Q186">
            <v>147.1</v>
          </cell>
          <cell r="R186">
            <v>135.6</v>
          </cell>
          <cell r="S186">
            <v>159.30000000000001</v>
          </cell>
          <cell r="T186">
            <v>136.30000000000001</v>
          </cell>
          <cell r="U186">
            <v>126.1</v>
          </cell>
          <cell r="V186">
            <v>134.69999999999999</v>
          </cell>
          <cell r="Z186">
            <v>129.80000000000001</v>
          </cell>
          <cell r="AA186">
            <v>117.4</v>
          </cell>
          <cell r="AB186">
            <v>126.5</v>
          </cell>
          <cell r="AC186">
            <v>137.19999999999999</v>
          </cell>
          <cell r="AD186">
            <v>126.2</v>
          </cell>
          <cell r="AE186">
            <v>126.5</v>
          </cell>
          <cell r="AF186">
            <v>134</v>
          </cell>
        </row>
        <row r="187">
          <cell r="A187" t="str">
            <v>Rural+Urban</v>
          </cell>
          <cell r="B187">
            <v>2018</v>
          </cell>
          <cell r="C187" t="str">
            <v>February</v>
          </cell>
          <cell r="F187">
            <v>135.9</v>
          </cell>
          <cell r="G187">
            <v>143.5</v>
          </cell>
          <cell r="H187">
            <v>140.30000000000001</v>
          </cell>
          <cell r="I187">
            <v>140.9</v>
          </cell>
          <cell r="J187">
            <v>120.4</v>
          </cell>
          <cell r="K187">
            <v>142.9</v>
          </cell>
          <cell r="L187">
            <v>140.5</v>
          </cell>
          <cell r="M187">
            <v>125.8</v>
          </cell>
          <cell r="N187">
            <v>117.1</v>
          </cell>
          <cell r="O187">
            <v>137.30000000000001</v>
          </cell>
          <cell r="P187">
            <v>128.6</v>
          </cell>
          <cell r="Q187">
            <v>149.6</v>
          </cell>
          <cell r="R187">
            <v>137.6</v>
          </cell>
          <cell r="S187">
            <v>154.9</v>
          </cell>
          <cell r="T187">
            <v>143.80000000000001</v>
          </cell>
          <cell r="U187">
            <v>135.6</v>
          </cell>
          <cell r="V187">
            <v>142.6</v>
          </cell>
          <cell r="Z187">
            <v>133.80000000000001</v>
          </cell>
          <cell r="AA187">
            <v>120.2</v>
          </cell>
          <cell r="AB187">
            <v>129.9</v>
          </cell>
          <cell r="AC187">
            <v>139</v>
          </cell>
          <cell r="AD187">
            <v>127.7</v>
          </cell>
          <cell r="AE187">
            <v>129.6</v>
          </cell>
          <cell r="AF187">
            <v>136.4</v>
          </cell>
        </row>
        <row r="188">
          <cell r="A188" t="str">
            <v>Rural</v>
          </cell>
          <cell r="B188">
            <v>2018</v>
          </cell>
          <cell r="C188" t="str">
            <v>March</v>
          </cell>
          <cell r="F188">
            <v>136.80000000000001</v>
          </cell>
          <cell r="G188">
            <v>143.80000000000001</v>
          </cell>
          <cell r="H188">
            <v>140</v>
          </cell>
          <cell r="I188">
            <v>142</v>
          </cell>
          <cell r="J188">
            <v>123.2</v>
          </cell>
          <cell r="K188">
            <v>152.9</v>
          </cell>
          <cell r="L188">
            <v>138</v>
          </cell>
          <cell r="M188">
            <v>129.30000000000001</v>
          </cell>
          <cell r="N188">
            <v>117.1</v>
          </cell>
          <cell r="O188">
            <v>136.30000000000001</v>
          </cell>
          <cell r="P188">
            <v>131.19999999999999</v>
          </cell>
          <cell r="Q188">
            <v>152.80000000000001</v>
          </cell>
          <cell r="R188">
            <v>138.6</v>
          </cell>
          <cell r="S188">
            <v>155.1</v>
          </cell>
          <cell r="T188">
            <v>149.19999999999999</v>
          </cell>
          <cell r="U188">
            <v>143</v>
          </cell>
          <cell r="V188">
            <v>148.30000000000001</v>
          </cell>
          <cell r="Z188">
            <v>136.69999999999999</v>
          </cell>
          <cell r="AA188">
            <v>124.6</v>
          </cell>
          <cell r="AB188">
            <v>135.1</v>
          </cell>
          <cell r="AC188">
            <v>142.69999999999999</v>
          </cell>
          <cell r="AD188">
            <v>129.30000000000001</v>
          </cell>
          <cell r="AE188">
            <v>133.30000000000001</v>
          </cell>
          <cell r="AF188">
            <v>138.69999999999999</v>
          </cell>
        </row>
        <row r="189">
          <cell r="A189" t="str">
            <v>Urban</v>
          </cell>
          <cell r="B189">
            <v>2018</v>
          </cell>
          <cell r="C189" t="str">
            <v>March</v>
          </cell>
          <cell r="F189">
            <v>135</v>
          </cell>
          <cell r="G189">
            <v>143.1</v>
          </cell>
          <cell r="H189">
            <v>135.5</v>
          </cell>
          <cell r="I189">
            <v>139.9</v>
          </cell>
          <cell r="J189">
            <v>116.5</v>
          </cell>
          <cell r="K189">
            <v>138.5</v>
          </cell>
          <cell r="L189">
            <v>128</v>
          </cell>
          <cell r="M189">
            <v>115.5</v>
          </cell>
          <cell r="N189">
            <v>114.2</v>
          </cell>
          <cell r="O189">
            <v>140.69999999999999</v>
          </cell>
          <cell r="P189">
            <v>126.2</v>
          </cell>
          <cell r="Q189">
            <v>147.6</v>
          </cell>
          <cell r="R189">
            <v>134.80000000000001</v>
          </cell>
          <cell r="S189">
            <v>159.69999999999999</v>
          </cell>
          <cell r="T189">
            <v>136.69999999999999</v>
          </cell>
          <cell r="U189">
            <v>126.7</v>
          </cell>
          <cell r="V189">
            <v>135.19999999999999</v>
          </cell>
          <cell r="Z189">
            <v>130.5</v>
          </cell>
          <cell r="AA189">
            <v>117.8</v>
          </cell>
          <cell r="AB189">
            <v>126.8</v>
          </cell>
          <cell r="AC189">
            <v>137.80000000000001</v>
          </cell>
          <cell r="AD189">
            <v>126.7</v>
          </cell>
          <cell r="AE189">
            <v>127.1</v>
          </cell>
          <cell r="AF189">
            <v>134</v>
          </cell>
        </row>
        <row r="190">
          <cell r="A190" t="str">
            <v>Rural+Urban</v>
          </cell>
          <cell r="B190">
            <v>2018</v>
          </cell>
          <cell r="C190" t="str">
            <v>March</v>
          </cell>
          <cell r="F190">
            <v>136.19999999999999</v>
          </cell>
          <cell r="G190">
            <v>143.6</v>
          </cell>
          <cell r="H190">
            <v>138.30000000000001</v>
          </cell>
          <cell r="I190">
            <v>141.19999999999999</v>
          </cell>
          <cell r="J190">
            <v>120.7</v>
          </cell>
          <cell r="K190">
            <v>146.19999999999999</v>
          </cell>
          <cell r="L190">
            <v>134.6</v>
          </cell>
          <cell r="M190">
            <v>124.6</v>
          </cell>
          <cell r="N190">
            <v>116.1</v>
          </cell>
          <cell r="O190">
            <v>137.80000000000001</v>
          </cell>
          <cell r="P190">
            <v>129.1</v>
          </cell>
          <cell r="Q190">
            <v>150.4</v>
          </cell>
          <cell r="R190">
            <v>137.19999999999999</v>
          </cell>
          <cell r="S190">
            <v>156.30000000000001</v>
          </cell>
          <cell r="T190">
            <v>144.30000000000001</v>
          </cell>
          <cell r="U190">
            <v>136.19999999999999</v>
          </cell>
          <cell r="V190">
            <v>143.1</v>
          </cell>
          <cell r="Z190">
            <v>134.30000000000001</v>
          </cell>
          <cell r="AA190">
            <v>121</v>
          </cell>
          <cell r="AB190">
            <v>130.4</v>
          </cell>
          <cell r="AC190">
            <v>139.80000000000001</v>
          </cell>
          <cell r="AD190">
            <v>128.19999999999999</v>
          </cell>
          <cell r="AE190">
            <v>130.30000000000001</v>
          </cell>
          <cell r="AF190">
            <v>136.5</v>
          </cell>
        </row>
        <row r="191">
          <cell r="A191" t="str">
            <v>Rural</v>
          </cell>
          <cell r="B191">
            <v>2018</v>
          </cell>
          <cell r="C191" t="str">
            <v>April</v>
          </cell>
          <cell r="F191">
            <v>137.1</v>
          </cell>
          <cell r="G191">
            <v>144.5</v>
          </cell>
          <cell r="H191">
            <v>135.9</v>
          </cell>
          <cell r="I191">
            <v>142.4</v>
          </cell>
          <cell r="J191">
            <v>123.5</v>
          </cell>
          <cell r="K191">
            <v>156.4</v>
          </cell>
          <cell r="L191">
            <v>135.1</v>
          </cell>
          <cell r="M191">
            <v>128.4</v>
          </cell>
          <cell r="N191">
            <v>115.2</v>
          </cell>
          <cell r="O191">
            <v>137.19999999999999</v>
          </cell>
          <cell r="P191">
            <v>131.9</v>
          </cell>
          <cell r="Q191">
            <v>153.80000000000001</v>
          </cell>
          <cell r="R191">
            <v>138.6</v>
          </cell>
          <cell r="S191">
            <v>156.1</v>
          </cell>
          <cell r="T191">
            <v>150.1</v>
          </cell>
          <cell r="U191">
            <v>143.30000000000001</v>
          </cell>
          <cell r="V191">
            <v>149.1</v>
          </cell>
          <cell r="Z191">
            <v>137.6</v>
          </cell>
          <cell r="AA191">
            <v>125.3</v>
          </cell>
          <cell r="AB191">
            <v>136</v>
          </cell>
          <cell r="AC191">
            <v>143.69999999999999</v>
          </cell>
          <cell r="AD191">
            <v>130.4</v>
          </cell>
          <cell r="AE191">
            <v>134.19999999999999</v>
          </cell>
          <cell r="AF191">
            <v>139.1</v>
          </cell>
        </row>
        <row r="192">
          <cell r="A192" t="str">
            <v>Urban</v>
          </cell>
          <cell r="B192">
            <v>2018</v>
          </cell>
          <cell r="C192" t="str">
            <v>April</v>
          </cell>
          <cell r="F192">
            <v>135</v>
          </cell>
          <cell r="G192">
            <v>144.30000000000001</v>
          </cell>
          <cell r="H192">
            <v>130.80000000000001</v>
          </cell>
          <cell r="I192">
            <v>140.30000000000001</v>
          </cell>
          <cell r="J192">
            <v>116.6</v>
          </cell>
          <cell r="K192">
            <v>150.1</v>
          </cell>
          <cell r="L192">
            <v>127.6</v>
          </cell>
          <cell r="M192">
            <v>114</v>
          </cell>
          <cell r="N192">
            <v>110.6</v>
          </cell>
          <cell r="O192">
            <v>140.19999999999999</v>
          </cell>
          <cell r="P192">
            <v>126.5</v>
          </cell>
          <cell r="Q192">
            <v>148.30000000000001</v>
          </cell>
          <cell r="R192">
            <v>135.69999999999999</v>
          </cell>
          <cell r="S192">
            <v>159.19999999999999</v>
          </cell>
          <cell r="T192">
            <v>137.80000000000001</v>
          </cell>
          <cell r="U192">
            <v>127.4</v>
          </cell>
          <cell r="V192">
            <v>136.19999999999999</v>
          </cell>
          <cell r="Z192">
            <v>131.30000000000001</v>
          </cell>
          <cell r="AA192">
            <v>118.9</v>
          </cell>
          <cell r="AB192">
            <v>127.6</v>
          </cell>
          <cell r="AC192">
            <v>139.69999999999999</v>
          </cell>
          <cell r="AD192">
            <v>127.6</v>
          </cell>
          <cell r="AE192">
            <v>128.19999999999999</v>
          </cell>
          <cell r="AF192">
            <v>134.80000000000001</v>
          </cell>
        </row>
        <row r="193">
          <cell r="A193" t="str">
            <v>Rural+Urban</v>
          </cell>
          <cell r="B193">
            <v>2018</v>
          </cell>
          <cell r="C193" t="str">
            <v>April</v>
          </cell>
          <cell r="F193">
            <v>136.4</v>
          </cell>
          <cell r="G193">
            <v>144.4</v>
          </cell>
          <cell r="H193">
            <v>133.9</v>
          </cell>
          <cell r="I193">
            <v>141.6</v>
          </cell>
          <cell r="J193">
            <v>121</v>
          </cell>
          <cell r="K193">
            <v>153.5</v>
          </cell>
          <cell r="L193">
            <v>132.6</v>
          </cell>
          <cell r="M193">
            <v>123.5</v>
          </cell>
          <cell r="N193">
            <v>113.7</v>
          </cell>
          <cell r="O193">
            <v>138.19999999999999</v>
          </cell>
          <cell r="P193">
            <v>129.6</v>
          </cell>
          <cell r="Q193">
            <v>151.19999999999999</v>
          </cell>
          <cell r="R193">
            <v>137.5</v>
          </cell>
          <cell r="S193">
            <v>156.9</v>
          </cell>
          <cell r="T193">
            <v>145.30000000000001</v>
          </cell>
          <cell r="U193">
            <v>136.69999999999999</v>
          </cell>
          <cell r="V193">
            <v>144</v>
          </cell>
          <cell r="Z193">
            <v>135.19999999999999</v>
          </cell>
          <cell r="AA193">
            <v>121.9</v>
          </cell>
          <cell r="AB193">
            <v>131.30000000000001</v>
          </cell>
          <cell r="AC193">
            <v>141.4</v>
          </cell>
          <cell r="AD193">
            <v>129.19999999999999</v>
          </cell>
          <cell r="AE193">
            <v>131.30000000000001</v>
          </cell>
          <cell r="AF193">
            <v>137.1</v>
          </cell>
        </row>
        <row r="194">
          <cell r="A194" t="str">
            <v>Rural</v>
          </cell>
          <cell r="B194">
            <v>2018</v>
          </cell>
          <cell r="C194" t="str">
            <v>May</v>
          </cell>
          <cell r="F194">
            <v>137.4</v>
          </cell>
          <cell r="G194">
            <v>145.69999999999999</v>
          </cell>
          <cell r="H194">
            <v>135.5</v>
          </cell>
          <cell r="I194">
            <v>142.9</v>
          </cell>
          <cell r="J194">
            <v>123.6</v>
          </cell>
          <cell r="K194">
            <v>157.5</v>
          </cell>
          <cell r="L194">
            <v>137.80000000000001</v>
          </cell>
          <cell r="M194">
            <v>127.2</v>
          </cell>
          <cell r="N194">
            <v>111.8</v>
          </cell>
          <cell r="O194">
            <v>137.4</v>
          </cell>
          <cell r="P194">
            <v>132.19999999999999</v>
          </cell>
          <cell r="Q194">
            <v>154.30000000000001</v>
          </cell>
          <cell r="R194">
            <v>139.1</v>
          </cell>
          <cell r="S194">
            <v>157</v>
          </cell>
          <cell r="T194">
            <v>150.80000000000001</v>
          </cell>
          <cell r="U194">
            <v>144.1</v>
          </cell>
          <cell r="V194">
            <v>149.80000000000001</v>
          </cell>
          <cell r="Z194">
            <v>138.4</v>
          </cell>
          <cell r="AA194">
            <v>126.4</v>
          </cell>
          <cell r="AB194">
            <v>136.80000000000001</v>
          </cell>
          <cell r="AC194">
            <v>144.4</v>
          </cell>
          <cell r="AD194">
            <v>131.19999999999999</v>
          </cell>
          <cell r="AE194">
            <v>135.1</v>
          </cell>
          <cell r="AF194">
            <v>139.80000000000001</v>
          </cell>
        </row>
        <row r="195">
          <cell r="A195" t="str">
            <v>Urban</v>
          </cell>
          <cell r="B195">
            <v>2018</v>
          </cell>
          <cell r="C195" t="str">
            <v>May</v>
          </cell>
          <cell r="F195">
            <v>135</v>
          </cell>
          <cell r="G195">
            <v>148.19999999999999</v>
          </cell>
          <cell r="H195">
            <v>130.5</v>
          </cell>
          <cell r="I195">
            <v>140.69999999999999</v>
          </cell>
          <cell r="J195">
            <v>116.4</v>
          </cell>
          <cell r="K195">
            <v>151.30000000000001</v>
          </cell>
          <cell r="L195">
            <v>131.4</v>
          </cell>
          <cell r="M195">
            <v>112.8</v>
          </cell>
          <cell r="N195">
            <v>105.3</v>
          </cell>
          <cell r="O195">
            <v>139.6</v>
          </cell>
          <cell r="P195">
            <v>126.6</v>
          </cell>
          <cell r="Q195">
            <v>148.69999999999999</v>
          </cell>
          <cell r="R195">
            <v>136.4</v>
          </cell>
          <cell r="S195">
            <v>160.30000000000001</v>
          </cell>
          <cell r="T195">
            <v>138.6</v>
          </cell>
          <cell r="U195">
            <v>127.9</v>
          </cell>
          <cell r="V195">
            <v>137</v>
          </cell>
          <cell r="Z195">
            <v>132</v>
          </cell>
          <cell r="AA195">
            <v>119.8</v>
          </cell>
          <cell r="AB195">
            <v>128</v>
          </cell>
          <cell r="AC195">
            <v>140.4</v>
          </cell>
          <cell r="AD195">
            <v>128.1</v>
          </cell>
          <cell r="AE195">
            <v>128.9</v>
          </cell>
          <cell r="AF195">
            <v>135.4</v>
          </cell>
        </row>
        <row r="196">
          <cell r="A196" t="str">
            <v>Rural+Urban</v>
          </cell>
          <cell r="B196">
            <v>2018</v>
          </cell>
          <cell r="C196" t="str">
            <v>May</v>
          </cell>
          <cell r="F196">
            <v>136.6</v>
          </cell>
          <cell r="G196">
            <v>146.6</v>
          </cell>
          <cell r="H196">
            <v>133.6</v>
          </cell>
          <cell r="I196">
            <v>142.1</v>
          </cell>
          <cell r="J196">
            <v>121</v>
          </cell>
          <cell r="K196">
            <v>154.6</v>
          </cell>
          <cell r="L196">
            <v>135.6</v>
          </cell>
          <cell r="M196">
            <v>122.3</v>
          </cell>
          <cell r="N196">
            <v>109.6</v>
          </cell>
          <cell r="O196">
            <v>138.1</v>
          </cell>
          <cell r="P196">
            <v>129.9</v>
          </cell>
          <cell r="Q196">
            <v>151.69999999999999</v>
          </cell>
          <cell r="R196">
            <v>138.1</v>
          </cell>
          <cell r="S196">
            <v>157.9</v>
          </cell>
          <cell r="T196">
            <v>146</v>
          </cell>
          <cell r="U196">
            <v>137.4</v>
          </cell>
          <cell r="V196">
            <v>144.69999999999999</v>
          </cell>
          <cell r="Z196">
            <v>136</v>
          </cell>
          <cell r="AA196">
            <v>122.9</v>
          </cell>
          <cell r="AB196">
            <v>131.80000000000001</v>
          </cell>
          <cell r="AC196">
            <v>142.1</v>
          </cell>
          <cell r="AD196">
            <v>129.9</v>
          </cell>
          <cell r="AE196">
            <v>132.1</v>
          </cell>
          <cell r="AF196">
            <v>137.80000000000001</v>
          </cell>
        </row>
        <row r="197">
          <cell r="A197" t="str">
            <v>Rural</v>
          </cell>
          <cell r="B197">
            <v>2018</v>
          </cell>
          <cell r="C197" t="str">
            <v>June</v>
          </cell>
          <cell r="F197">
            <v>137.6</v>
          </cell>
          <cell r="G197">
            <v>148.1</v>
          </cell>
          <cell r="H197">
            <v>136.69999999999999</v>
          </cell>
          <cell r="I197">
            <v>143.19999999999999</v>
          </cell>
          <cell r="J197">
            <v>124</v>
          </cell>
          <cell r="K197">
            <v>154.1</v>
          </cell>
          <cell r="L197">
            <v>143.5</v>
          </cell>
          <cell r="M197">
            <v>126</v>
          </cell>
          <cell r="N197">
            <v>112.4</v>
          </cell>
          <cell r="O197">
            <v>137.6</v>
          </cell>
          <cell r="P197">
            <v>132.80000000000001</v>
          </cell>
          <cell r="Q197">
            <v>154.30000000000001</v>
          </cell>
          <cell r="R197">
            <v>140</v>
          </cell>
          <cell r="S197">
            <v>157.30000000000001</v>
          </cell>
          <cell r="T197">
            <v>151.30000000000001</v>
          </cell>
          <cell r="U197">
            <v>144.69999999999999</v>
          </cell>
          <cell r="V197">
            <v>150.30000000000001</v>
          </cell>
          <cell r="Z197">
            <v>138.4</v>
          </cell>
          <cell r="AA197">
            <v>127.4</v>
          </cell>
          <cell r="AB197">
            <v>137.80000000000001</v>
          </cell>
          <cell r="AC197">
            <v>145.1</v>
          </cell>
          <cell r="AD197">
            <v>131.4</v>
          </cell>
          <cell r="AE197">
            <v>135.6</v>
          </cell>
          <cell r="AF197">
            <v>140.5</v>
          </cell>
        </row>
        <row r="198">
          <cell r="A198" t="str">
            <v>Urban</v>
          </cell>
          <cell r="B198">
            <v>2018</v>
          </cell>
          <cell r="C198" t="str">
            <v>June</v>
          </cell>
          <cell r="F198">
            <v>135.30000000000001</v>
          </cell>
          <cell r="G198">
            <v>149.69999999999999</v>
          </cell>
          <cell r="H198">
            <v>133.9</v>
          </cell>
          <cell r="I198">
            <v>140.80000000000001</v>
          </cell>
          <cell r="J198">
            <v>116.6</v>
          </cell>
          <cell r="K198">
            <v>152.19999999999999</v>
          </cell>
          <cell r="L198">
            <v>144</v>
          </cell>
          <cell r="M198">
            <v>112.3</v>
          </cell>
          <cell r="N198">
            <v>108.4</v>
          </cell>
          <cell r="O198">
            <v>140</v>
          </cell>
          <cell r="P198">
            <v>126.7</v>
          </cell>
          <cell r="Q198">
            <v>149</v>
          </cell>
          <cell r="R198">
            <v>138.4</v>
          </cell>
          <cell r="S198">
            <v>161</v>
          </cell>
          <cell r="T198">
            <v>138.9</v>
          </cell>
          <cell r="U198">
            <v>128.69999999999999</v>
          </cell>
          <cell r="V198">
            <v>137.4</v>
          </cell>
          <cell r="Z198">
            <v>132.6</v>
          </cell>
          <cell r="AA198">
            <v>120.4</v>
          </cell>
          <cell r="AB198">
            <v>128.5</v>
          </cell>
          <cell r="AC198">
            <v>141.19999999999999</v>
          </cell>
          <cell r="AD198">
            <v>128.19999999999999</v>
          </cell>
          <cell r="AE198">
            <v>129.5</v>
          </cell>
          <cell r="AF198">
            <v>136.19999999999999</v>
          </cell>
        </row>
        <row r="199">
          <cell r="A199" t="str">
            <v>Rural+Urban</v>
          </cell>
          <cell r="B199">
            <v>2018</v>
          </cell>
          <cell r="C199" t="str">
            <v>June</v>
          </cell>
          <cell r="F199">
            <v>136.9</v>
          </cell>
          <cell r="G199">
            <v>148.69999999999999</v>
          </cell>
          <cell r="H199">
            <v>135.6</v>
          </cell>
          <cell r="I199">
            <v>142.30000000000001</v>
          </cell>
          <cell r="J199">
            <v>121.3</v>
          </cell>
          <cell r="K199">
            <v>153.19999999999999</v>
          </cell>
          <cell r="L199">
            <v>143.69999999999999</v>
          </cell>
          <cell r="M199">
            <v>121.4</v>
          </cell>
          <cell r="N199">
            <v>111.1</v>
          </cell>
          <cell r="O199">
            <v>138.4</v>
          </cell>
          <cell r="P199">
            <v>130.30000000000001</v>
          </cell>
          <cell r="Q199">
            <v>151.80000000000001</v>
          </cell>
          <cell r="R199">
            <v>139.4</v>
          </cell>
          <cell r="S199">
            <v>158.30000000000001</v>
          </cell>
          <cell r="T199">
            <v>146.4</v>
          </cell>
          <cell r="U199">
            <v>138.1</v>
          </cell>
          <cell r="V199">
            <v>145.19999999999999</v>
          </cell>
          <cell r="Z199">
            <v>136.19999999999999</v>
          </cell>
          <cell r="AA199">
            <v>123.7</v>
          </cell>
          <cell r="AB199">
            <v>132.6</v>
          </cell>
          <cell r="AC199">
            <v>142.80000000000001</v>
          </cell>
          <cell r="AD199">
            <v>130.1</v>
          </cell>
          <cell r="AE199">
            <v>132.6</v>
          </cell>
          <cell r="AF199">
            <v>138.5</v>
          </cell>
        </row>
        <row r="200">
          <cell r="A200" t="str">
            <v>Rural</v>
          </cell>
          <cell r="B200">
            <v>2018</v>
          </cell>
          <cell r="C200" t="str">
            <v>July</v>
          </cell>
          <cell r="F200">
            <v>138.4</v>
          </cell>
          <cell r="G200">
            <v>149.30000000000001</v>
          </cell>
          <cell r="H200">
            <v>139.30000000000001</v>
          </cell>
          <cell r="I200">
            <v>143.4</v>
          </cell>
          <cell r="J200">
            <v>124.1</v>
          </cell>
          <cell r="K200">
            <v>153.30000000000001</v>
          </cell>
          <cell r="L200">
            <v>154.19999999999999</v>
          </cell>
          <cell r="M200">
            <v>126.4</v>
          </cell>
          <cell r="N200">
            <v>114.3</v>
          </cell>
          <cell r="O200">
            <v>138.19999999999999</v>
          </cell>
          <cell r="P200">
            <v>132.80000000000001</v>
          </cell>
          <cell r="Q200">
            <v>154.80000000000001</v>
          </cell>
          <cell r="R200">
            <v>142</v>
          </cell>
          <cell r="S200">
            <v>156.1</v>
          </cell>
          <cell r="T200">
            <v>151.5</v>
          </cell>
          <cell r="U200">
            <v>145.1</v>
          </cell>
          <cell r="V200">
            <v>150.6</v>
          </cell>
          <cell r="Z200">
            <v>139</v>
          </cell>
          <cell r="AA200">
            <v>127.5</v>
          </cell>
          <cell r="AB200">
            <v>138.4</v>
          </cell>
          <cell r="AC200">
            <v>145.80000000000001</v>
          </cell>
          <cell r="AD200">
            <v>131.4</v>
          </cell>
          <cell r="AE200">
            <v>136</v>
          </cell>
          <cell r="AF200">
            <v>141.80000000000001</v>
          </cell>
        </row>
        <row r="201">
          <cell r="A201" t="str">
            <v>Urban</v>
          </cell>
          <cell r="B201">
            <v>2018</v>
          </cell>
          <cell r="C201" t="str">
            <v>July</v>
          </cell>
          <cell r="F201">
            <v>135.6</v>
          </cell>
          <cell r="G201">
            <v>148.6</v>
          </cell>
          <cell r="H201">
            <v>139.1</v>
          </cell>
          <cell r="I201">
            <v>141</v>
          </cell>
          <cell r="J201">
            <v>116.7</v>
          </cell>
          <cell r="K201">
            <v>149.69999999999999</v>
          </cell>
          <cell r="L201">
            <v>159.19999999999999</v>
          </cell>
          <cell r="M201">
            <v>112.6</v>
          </cell>
          <cell r="N201">
            <v>111.8</v>
          </cell>
          <cell r="O201">
            <v>140.30000000000001</v>
          </cell>
          <cell r="P201">
            <v>126.8</v>
          </cell>
          <cell r="Q201">
            <v>149.4</v>
          </cell>
          <cell r="R201">
            <v>140.30000000000001</v>
          </cell>
          <cell r="S201">
            <v>161.4</v>
          </cell>
          <cell r="T201">
            <v>139.6</v>
          </cell>
          <cell r="U201">
            <v>128.9</v>
          </cell>
          <cell r="V201">
            <v>137.9</v>
          </cell>
          <cell r="Z201">
            <v>133.6</v>
          </cell>
          <cell r="AA201">
            <v>120.1</v>
          </cell>
          <cell r="AB201">
            <v>129</v>
          </cell>
          <cell r="AC201">
            <v>144</v>
          </cell>
          <cell r="AD201">
            <v>128.19999999999999</v>
          </cell>
          <cell r="AE201">
            <v>130.19999999999999</v>
          </cell>
          <cell r="AF201">
            <v>137.5</v>
          </cell>
        </row>
        <row r="202">
          <cell r="A202" t="str">
            <v>Rural+Urban</v>
          </cell>
          <cell r="B202">
            <v>2018</v>
          </cell>
          <cell r="C202" t="str">
            <v>July</v>
          </cell>
          <cell r="F202">
            <v>137.5</v>
          </cell>
          <cell r="G202">
            <v>149.1</v>
          </cell>
          <cell r="H202">
            <v>139.19999999999999</v>
          </cell>
          <cell r="I202">
            <v>142.5</v>
          </cell>
          <cell r="J202">
            <v>121.4</v>
          </cell>
          <cell r="K202">
            <v>151.6</v>
          </cell>
          <cell r="L202">
            <v>155.9</v>
          </cell>
          <cell r="M202">
            <v>121.7</v>
          </cell>
          <cell r="N202">
            <v>113.5</v>
          </cell>
          <cell r="O202">
            <v>138.9</v>
          </cell>
          <cell r="P202">
            <v>130.30000000000001</v>
          </cell>
          <cell r="Q202">
            <v>152.30000000000001</v>
          </cell>
          <cell r="R202">
            <v>141.4</v>
          </cell>
          <cell r="S202">
            <v>157.5</v>
          </cell>
          <cell r="T202">
            <v>146.80000000000001</v>
          </cell>
          <cell r="U202">
            <v>138.4</v>
          </cell>
          <cell r="V202">
            <v>145.6</v>
          </cell>
          <cell r="Z202">
            <v>137</v>
          </cell>
          <cell r="AA202">
            <v>123.6</v>
          </cell>
          <cell r="AB202">
            <v>133.1</v>
          </cell>
          <cell r="AC202">
            <v>144.69999999999999</v>
          </cell>
          <cell r="AD202">
            <v>130.1</v>
          </cell>
          <cell r="AE202">
            <v>133.19999999999999</v>
          </cell>
          <cell r="AF202">
            <v>139.80000000000001</v>
          </cell>
        </row>
        <row r="203">
          <cell r="A203" t="str">
            <v>Rural</v>
          </cell>
          <cell r="B203">
            <v>2018</v>
          </cell>
          <cell r="C203" t="str">
            <v>August</v>
          </cell>
          <cell r="F203">
            <v>139.19999999999999</v>
          </cell>
          <cell r="G203">
            <v>148.80000000000001</v>
          </cell>
          <cell r="H203">
            <v>139.1</v>
          </cell>
          <cell r="I203">
            <v>143.5</v>
          </cell>
          <cell r="J203">
            <v>125</v>
          </cell>
          <cell r="K203">
            <v>154.4</v>
          </cell>
          <cell r="L203">
            <v>156.30000000000001</v>
          </cell>
          <cell r="M203">
            <v>126.8</v>
          </cell>
          <cell r="N203">
            <v>115.4</v>
          </cell>
          <cell r="O203">
            <v>138.6</v>
          </cell>
          <cell r="P203">
            <v>133.80000000000001</v>
          </cell>
          <cell r="Q203">
            <v>155.19999999999999</v>
          </cell>
          <cell r="R203">
            <v>142.69999999999999</v>
          </cell>
          <cell r="S203">
            <v>156.4</v>
          </cell>
          <cell r="T203">
            <v>152.1</v>
          </cell>
          <cell r="U203">
            <v>145.80000000000001</v>
          </cell>
          <cell r="V203">
            <v>151.30000000000001</v>
          </cell>
          <cell r="Z203">
            <v>139.4</v>
          </cell>
          <cell r="AA203">
            <v>128.30000000000001</v>
          </cell>
          <cell r="AB203">
            <v>138.6</v>
          </cell>
          <cell r="AC203">
            <v>146.9</v>
          </cell>
          <cell r="AD203">
            <v>131.30000000000001</v>
          </cell>
          <cell r="AE203">
            <v>136.6</v>
          </cell>
          <cell r="AF203">
            <v>142.5</v>
          </cell>
        </row>
        <row r="204">
          <cell r="A204" t="str">
            <v>Urban</v>
          </cell>
          <cell r="B204">
            <v>2018</v>
          </cell>
          <cell r="C204" t="str">
            <v>August</v>
          </cell>
          <cell r="F204">
            <v>136.5</v>
          </cell>
          <cell r="G204">
            <v>146.4</v>
          </cell>
          <cell r="H204">
            <v>136.6</v>
          </cell>
          <cell r="I204">
            <v>141.19999999999999</v>
          </cell>
          <cell r="J204">
            <v>117.4</v>
          </cell>
          <cell r="K204">
            <v>146.30000000000001</v>
          </cell>
          <cell r="L204">
            <v>157.30000000000001</v>
          </cell>
          <cell r="M204">
            <v>113.6</v>
          </cell>
          <cell r="N204">
            <v>113.3</v>
          </cell>
          <cell r="O204">
            <v>141.1</v>
          </cell>
          <cell r="P204">
            <v>127.4</v>
          </cell>
          <cell r="Q204">
            <v>150.4</v>
          </cell>
          <cell r="R204">
            <v>140.1</v>
          </cell>
          <cell r="S204">
            <v>162.1</v>
          </cell>
          <cell r="T204">
            <v>140</v>
          </cell>
          <cell r="U204">
            <v>129</v>
          </cell>
          <cell r="V204">
            <v>138.30000000000001</v>
          </cell>
          <cell r="Z204">
            <v>134.9</v>
          </cell>
          <cell r="AA204">
            <v>120.7</v>
          </cell>
          <cell r="AB204">
            <v>129.80000000000001</v>
          </cell>
          <cell r="AC204">
            <v>145.30000000000001</v>
          </cell>
          <cell r="AD204">
            <v>128.30000000000001</v>
          </cell>
          <cell r="AE204">
            <v>131</v>
          </cell>
          <cell r="AF204">
            <v>138</v>
          </cell>
        </row>
        <row r="205">
          <cell r="A205" t="str">
            <v>Rural+Urban</v>
          </cell>
          <cell r="B205">
            <v>2018</v>
          </cell>
          <cell r="C205" t="str">
            <v>August</v>
          </cell>
          <cell r="F205">
            <v>138.30000000000001</v>
          </cell>
          <cell r="G205">
            <v>148</v>
          </cell>
          <cell r="H205">
            <v>138.1</v>
          </cell>
          <cell r="I205">
            <v>142.6</v>
          </cell>
          <cell r="J205">
            <v>122.2</v>
          </cell>
          <cell r="K205">
            <v>150.6</v>
          </cell>
          <cell r="L205">
            <v>156.6</v>
          </cell>
          <cell r="M205">
            <v>122.4</v>
          </cell>
          <cell r="N205">
            <v>114.7</v>
          </cell>
          <cell r="O205">
            <v>139.4</v>
          </cell>
          <cell r="P205">
            <v>131.1</v>
          </cell>
          <cell r="Q205">
            <v>153</v>
          </cell>
          <cell r="R205">
            <v>141.69999999999999</v>
          </cell>
          <cell r="S205">
            <v>157.9</v>
          </cell>
          <cell r="T205">
            <v>147.30000000000001</v>
          </cell>
          <cell r="U205">
            <v>138.80000000000001</v>
          </cell>
          <cell r="V205">
            <v>146.1</v>
          </cell>
          <cell r="Z205">
            <v>137.69999999999999</v>
          </cell>
          <cell r="AA205">
            <v>124.3</v>
          </cell>
          <cell r="AB205">
            <v>133.6</v>
          </cell>
          <cell r="AC205">
            <v>146</v>
          </cell>
          <cell r="AD205">
            <v>130.1</v>
          </cell>
          <cell r="AE205">
            <v>133.9</v>
          </cell>
          <cell r="AF205">
            <v>140.4</v>
          </cell>
        </row>
        <row r="206">
          <cell r="A206" t="str">
            <v>Rural</v>
          </cell>
          <cell r="B206">
            <v>2018</v>
          </cell>
          <cell r="C206" t="str">
            <v>September</v>
          </cell>
          <cell r="F206">
            <v>139.4</v>
          </cell>
          <cell r="G206">
            <v>147.19999999999999</v>
          </cell>
          <cell r="H206">
            <v>136.6</v>
          </cell>
          <cell r="I206">
            <v>143.69999999999999</v>
          </cell>
          <cell r="J206">
            <v>124.6</v>
          </cell>
          <cell r="K206">
            <v>150.1</v>
          </cell>
          <cell r="L206">
            <v>149.4</v>
          </cell>
          <cell r="M206">
            <v>125.4</v>
          </cell>
          <cell r="N206">
            <v>114.4</v>
          </cell>
          <cell r="O206">
            <v>138.69999999999999</v>
          </cell>
          <cell r="P206">
            <v>133.1</v>
          </cell>
          <cell r="Q206">
            <v>155.9</v>
          </cell>
          <cell r="R206">
            <v>141.30000000000001</v>
          </cell>
          <cell r="S206">
            <v>157.69999999999999</v>
          </cell>
          <cell r="T206">
            <v>152.1</v>
          </cell>
          <cell r="U206">
            <v>146.1</v>
          </cell>
          <cell r="V206">
            <v>151.30000000000001</v>
          </cell>
          <cell r="Z206">
            <v>140</v>
          </cell>
          <cell r="AA206">
            <v>129.9</v>
          </cell>
          <cell r="AB206">
            <v>140</v>
          </cell>
          <cell r="AC206">
            <v>147.6</v>
          </cell>
          <cell r="AD206">
            <v>132</v>
          </cell>
          <cell r="AE206">
            <v>137.4</v>
          </cell>
          <cell r="AF206">
            <v>142.1</v>
          </cell>
        </row>
        <row r="207">
          <cell r="A207" t="str">
            <v>Urban</v>
          </cell>
          <cell r="B207">
            <v>2018</v>
          </cell>
          <cell r="C207" t="str">
            <v>September</v>
          </cell>
          <cell r="F207">
            <v>137</v>
          </cell>
          <cell r="G207">
            <v>143.1</v>
          </cell>
          <cell r="H207">
            <v>132.80000000000001</v>
          </cell>
          <cell r="I207">
            <v>141.5</v>
          </cell>
          <cell r="J207">
            <v>117.8</v>
          </cell>
          <cell r="K207">
            <v>140</v>
          </cell>
          <cell r="L207">
            <v>151.30000000000001</v>
          </cell>
          <cell r="M207">
            <v>113.5</v>
          </cell>
          <cell r="N207">
            <v>112.3</v>
          </cell>
          <cell r="O207">
            <v>141.19999999999999</v>
          </cell>
          <cell r="P207">
            <v>127.7</v>
          </cell>
          <cell r="Q207">
            <v>151.30000000000001</v>
          </cell>
          <cell r="R207">
            <v>138.9</v>
          </cell>
          <cell r="S207">
            <v>163.30000000000001</v>
          </cell>
          <cell r="T207">
            <v>140.80000000000001</v>
          </cell>
          <cell r="U207">
            <v>129.30000000000001</v>
          </cell>
          <cell r="V207">
            <v>139.1</v>
          </cell>
          <cell r="Z207">
            <v>135.69999999999999</v>
          </cell>
          <cell r="AA207">
            <v>122.5</v>
          </cell>
          <cell r="AB207">
            <v>130.19999999999999</v>
          </cell>
          <cell r="AC207">
            <v>145.19999999999999</v>
          </cell>
          <cell r="AD207">
            <v>129.30000000000001</v>
          </cell>
          <cell r="AE207">
            <v>131.9</v>
          </cell>
          <cell r="AF207">
            <v>138.1</v>
          </cell>
        </row>
        <row r="208">
          <cell r="A208" t="str">
            <v>Rural+Urban</v>
          </cell>
          <cell r="B208">
            <v>2018</v>
          </cell>
          <cell r="C208" t="str">
            <v>September</v>
          </cell>
          <cell r="F208">
            <v>138.6</v>
          </cell>
          <cell r="G208">
            <v>145.80000000000001</v>
          </cell>
          <cell r="H208">
            <v>135.1</v>
          </cell>
          <cell r="I208">
            <v>142.9</v>
          </cell>
          <cell r="J208">
            <v>122.1</v>
          </cell>
          <cell r="K208">
            <v>145.4</v>
          </cell>
          <cell r="L208">
            <v>150</v>
          </cell>
          <cell r="M208">
            <v>121.4</v>
          </cell>
          <cell r="N208">
            <v>113.7</v>
          </cell>
          <cell r="O208">
            <v>139.5</v>
          </cell>
          <cell r="P208">
            <v>130.80000000000001</v>
          </cell>
          <cell r="Q208">
            <v>153.80000000000001</v>
          </cell>
          <cell r="R208">
            <v>140.4</v>
          </cell>
          <cell r="S208">
            <v>159.19999999999999</v>
          </cell>
          <cell r="T208">
            <v>147.69999999999999</v>
          </cell>
          <cell r="U208">
            <v>139.1</v>
          </cell>
          <cell r="V208">
            <v>146.5</v>
          </cell>
          <cell r="Z208">
            <v>138.4</v>
          </cell>
          <cell r="AA208">
            <v>126</v>
          </cell>
          <cell r="AB208">
            <v>134.5</v>
          </cell>
          <cell r="AC208">
            <v>146.19999999999999</v>
          </cell>
          <cell r="AD208">
            <v>130.9</v>
          </cell>
          <cell r="AE208">
            <v>134.69999999999999</v>
          </cell>
          <cell r="AF208">
            <v>140.19999999999999</v>
          </cell>
        </row>
        <row r="209">
          <cell r="A209" t="str">
            <v>Rural</v>
          </cell>
          <cell r="B209">
            <v>2018</v>
          </cell>
          <cell r="C209" t="str">
            <v>October</v>
          </cell>
          <cell r="F209">
            <v>139.30000000000001</v>
          </cell>
          <cell r="G209">
            <v>147.6</v>
          </cell>
          <cell r="H209">
            <v>134.6</v>
          </cell>
          <cell r="I209">
            <v>141.9</v>
          </cell>
          <cell r="J209">
            <v>123.5</v>
          </cell>
          <cell r="K209">
            <v>144.5</v>
          </cell>
          <cell r="L209">
            <v>147.6</v>
          </cell>
          <cell r="M209">
            <v>121.4</v>
          </cell>
          <cell r="N209">
            <v>112.3</v>
          </cell>
          <cell r="O209">
            <v>139.5</v>
          </cell>
          <cell r="P209">
            <v>134.6</v>
          </cell>
          <cell r="Q209">
            <v>155.19999999999999</v>
          </cell>
          <cell r="R209">
            <v>140.19999999999999</v>
          </cell>
          <cell r="S209">
            <v>159.6</v>
          </cell>
          <cell r="T209">
            <v>150.69999999999999</v>
          </cell>
          <cell r="U209">
            <v>144.5</v>
          </cell>
          <cell r="V209">
            <v>149.80000000000001</v>
          </cell>
          <cell r="Z209">
            <v>144.80000000000001</v>
          </cell>
          <cell r="AA209">
            <v>130.80000000000001</v>
          </cell>
          <cell r="AB209">
            <v>140.1</v>
          </cell>
          <cell r="AC209">
            <v>148</v>
          </cell>
          <cell r="AD209">
            <v>134.4</v>
          </cell>
          <cell r="AE209">
            <v>139.80000000000001</v>
          </cell>
          <cell r="AF209">
            <v>142.19999999999999</v>
          </cell>
        </row>
        <row r="210">
          <cell r="A210" t="str">
            <v>Urban</v>
          </cell>
          <cell r="B210">
            <v>2018</v>
          </cell>
          <cell r="C210" t="str">
            <v>October</v>
          </cell>
          <cell r="F210">
            <v>137.6</v>
          </cell>
          <cell r="G210">
            <v>144.9</v>
          </cell>
          <cell r="H210">
            <v>133.5</v>
          </cell>
          <cell r="I210">
            <v>141.5</v>
          </cell>
          <cell r="J210">
            <v>118</v>
          </cell>
          <cell r="K210">
            <v>139.5</v>
          </cell>
          <cell r="L210">
            <v>153</v>
          </cell>
          <cell r="M210">
            <v>113.2</v>
          </cell>
          <cell r="N210">
            <v>112.8</v>
          </cell>
          <cell r="O210">
            <v>141.1</v>
          </cell>
          <cell r="P210">
            <v>127.6</v>
          </cell>
          <cell r="Q210">
            <v>152</v>
          </cell>
          <cell r="R210">
            <v>139.4</v>
          </cell>
          <cell r="S210">
            <v>164</v>
          </cell>
          <cell r="T210">
            <v>141.5</v>
          </cell>
          <cell r="U210">
            <v>129.80000000000001</v>
          </cell>
          <cell r="V210">
            <v>139.69999999999999</v>
          </cell>
          <cell r="Z210">
            <v>136.19999999999999</v>
          </cell>
          <cell r="AA210">
            <v>123.3</v>
          </cell>
          <cell r="AB210">
            <v>130.69999999999999</v>
          </cell>
          <cell r="AC210">
            <v>145.5</v>
          </cell>
          <cell r="AD210">
            <v>130.4</v>
          </cell>
          <cell r="AE210">
            <v>132.5</v>
          </cell>
          <cell r="AF210">
            <v>138.9</v>
          </cell>
        </row>
        <row r="211">
          <cell r="A211" t="str">
            <v>Rural+Urban</v>
          </cell>
          <cell r="B211">
            <v>2018</v>
          </cell>
          <cell r="C211" t="str">
            <v>October</v>
          </cell>
          <cell r="F211">
            <v>137.4</v>
          </cell>
          <cell r="G211">
            <v>149.5</v>
          </cell>
          <cell r="H211">
            <v>137.30000000000001</v>
          </cell>
          <cell r="I211">
            <v>141.9</v>
          </cell>
          <cell r="J211">
            <v>121.1</v>
          </cell>
          <cell r="K211">
            <v>142.5</v>
          </cell>
          <cell r="L211">
            <v>146.69999999999999</v>
          </cell>
          <cell r="M211">
            <v>119.1</v>
          </cell>
          <cell r="N211">
            <v>111.9</v>
          </cell>
          <cell r="O211">
            <v>141</v>
          </cell>
          <cell r="P211">
            <v>133.6</v>
          </cell>
          <cell r="Q211">
            <v>154.5</v>
          </cell>
          <cell r="R211">
            <v>139.69999999999999</v>
          </cell>
          <cell r="S211">
            <v>162.6</v>
          </cell>
          <cell r="T211">
            <v>148</v>
          </cell>
          <cell r="U211">
            <v>139.19999999999999</v>
          </cell>
          <cell r="V211">
            <v>146.80000000000001</v>
          </cell>
          <cell r="Z211">
            <v>142.1</v>
          </cell>
          <cell r="AA211">
            <v>125.5</v>
          </cell>
          <cell r="AB211">
            <v>136.5</v>
          </cell>
          <cell r="AC211">
            <v>147.80000000000001</v>
          </cell>
          <cell r="AD211">
            <v>132</v>
          </cell>
          <cell r="AE211">
            <v>136.30000000000001</v>
          </cell>
          <cell r="AF211">
            <v>140.80000000000001</v>
          </cell>
        </row>
        <row r="212">
          <cell r="A212" t="str">
            <v>Rural</v>
          </cell>
          <cell r="B212">
            <v>2018</v>
          </cell>
          <cell r="C212" t="str">
            <v>November</v>
          </cell>
          <cell r="F212">
            <v>137.1</v>
          </cell>
          <cell r="G212">
            <v>150.80000000000001</v>
          </cell>
          <cell r="H212">
            <v>136.69999999999999</v>
          </cell>
          <cell r="I212">
            <v>141.9</v>
          </cell>
          <cell r="J212">
            <v>122.8</v>
          </cell>
          <cell r="K212">
            <v>143.9</v>
          </cell>
          <cell r="L212">
            <v>147.5</v>
          </cell>
          <cell r="M212">
            <v>121</v>
          </cell>
          <cell r="N212">
            <v>111.6</v>
          </cell>
          <cell r="O212">
            <v>140.6</v>
          </cell>
          <cell r="P212">
            <v>137.5</v>
          </cell>
          <cell r="Q212">
            <v>156.1</v>
          </cell>
          <cell r="R212">
            <v>140</v>
          </cell>
          <cell r="S212">
            <v>161.9</v>
          </cell>
          <cell r="T212">
            <v>151.69999999999999</v>
          </cell>
          <cell r="U212">
            <v>145.5</v>
          </cell>
          <cell r="V212">
            <v>150.80000000000001</v>
          </cell>
          <cell r="Z212">
            <v>145.4</v>
          </cell>
          <cell r="AA212">
            <v>130.30000000000001</v>
          </cell>
          <cell r="AB212">
            <v>143.1</v>
          </cell>
          <cell r="AC212">
            <v>150.19999999999999</v>
          </cell>
          <cell r="AD212">
            <v>133.1</v>
          </cell>
          <cell r="AE212">
            <v>140.1</v>
          </cell>
          <cell r="AF212">
            <v>142.4</v>
          </cell>
        </row>
        <row r="213">
          <cell r="A213" t="str">
            <v>Urban</v>
          </cell>
          <cell r="B213">
            <v>2018</v>
          </cell>
          <cell r="C213" t="str">
            <v>November</v>
          </cell>
          <cell r="F213">
            <v>138.1</v>
          </cell>
          <cell r="G213">
            <v>146.30000000000001</v>
          </cell>
          <cell r="H213">
            <v>137.80000000000001</v>
          </cell>
          <cell r="I213">
            <v>141.6</v>
          </cell>
          <cell r="J213">
            <v>118.1</v>
          </cell>
          <cell r="K213">
            <v>141.5</v>
          </cell>
          <cell r="L213">
            <v>145.19999999999999</v>
          </cell>
          <cell r="M213">
            <v>115.3</v>
          </cell>
          <cell r="N213">
            <v>112.5</v>
          </cell>
          <cell r="O213">
            <v>141.4</v>
          </cell>
          <cell r="P213">
            <v>128</v>
          </cell>
          <cell r="Q213">
            <v>152.6</v>
          </cell>
          <cell r="R213">
            <v>139.1</v>
          </cell>
          <cell r="S213">
            <v>164.4</v>
          </cell>
          <cell r="T213">
            <v>142.4</v>
          </cell>
          <cell r="U213">
            <v>130.19999999999999</v>
          </cell>
          <cell r="V213">
            <v>140.5</v>
          </cell>
          <cell r="Z213">
            <v>136.80000000000001</v>
          </cell>
          <cell r="AA213">
            <v>121.2</v>
          </cell>
          <cell r="AB213">
            <v>131.30000000000001</v>
          </cell>
          <cell r="AC213">
            <v>146.1</v>
          </cell>
          <cell r="AD213">
            <v>130.5</v>
          </cell>
          <cell r="AE213">
            <v>132.19999999999999</v>
          </cell>
          <cell r="AF213">
            <v>139</v>
          </cell>
        </row>
        <row r="214">
          <cell r="A214" t="str">
            <v>Rural+Urban</v>
          </cell>
          <cell r="B214">
            <v>2018</v>
          </cell>
          <cell r="C214" t="str">
            <v>November</v>
          </cell>
          <cell r="F214">
            <v>137.4</v>
          </cell>
          <cell r="G214">
            <v>149.19999999999999</v>
          </cell>
          <cell r="H214">
            <v>137.1</v>
          </cell>
          <cell r="I214">
            <v>141.80000000000001</v>
          </cell>
          <cell r="J214">
            <v>121.1</v>
          </cell>
          <cell r="K214">
            <v>142.80000000000001</v>
          </cell>
          <cell r="L214">
            <v>146.69999999999999</v>
          </cell>
          <cell r="M214">
            <v>119.1</v>
          </cell>
          <cell r="N214">
            <v>111.9</v>
          </cell>
          <cell r="O214">
            <v>140.9</v>
          </cell>
          <cell r="P214">
            <v>133.5</v>
          </cell>
          <cell r="Q214">
            <v>154.5</v>
          </cell>
          <cell r="R214">
            <v>139.69999999999999</v>
          </cell>
          <cell r="S214">
            <v>162.6</v>
          </cell>
          <cell r="T214">
            <v>148</v>
          </cell>
          <cell r="U214">
            <v>139.1</v>
          </cell>
          <cell r="V214">
            <v>146.69999999999999</v>
          </cell>
          <cell r="Z214">
            <v>142.1</v>
          </cell>
          <cell r="AA214">
            <v>125.5</v>
          </cell>
          <cell r="AB214">
            <v>136.5</v>
          </cell>
          <cell r="AC214">
            <v>147.80000000000001</v>
          </cell>
          <cell r="AD214">
            <v>132</v>
          </cell>
          <cell r="AE214">
            <v>136.30000000000001</v>
          </cell>
          <cell r="AF214">
            <v>140.80000000000001</v>
          </cell>
        </row>
        <row r="215">
          <cell r="A215" t="str">
            <v>Rural</v>
          </cell>
          <cell r="B215">
            <v>2018</v>
          </cell>
          <cell r="C215" t="str">
            <v>December</v>
          </cell>
          <cell r="F215">
            <v>137.1</v>
          </cell>
          <cell r="G215">
            <v>151.9</v>
          </cell>
          <cell r="H215">
            <v>137.4</v>
          </cell>
          <cell r="I215">
            <v>142.4</v>
          </cell>
          <cell r="J215">
            <v>124.2</v>
          </cell>
          <cell r="K215">
            <v>140.19999999999999</v>
          </cell>
          <cell r="L215">
            <v>136.6</v>
          </cell>
          <cell r="M215">
            <v>120.9</v>
          </cell>
          <cell r="N215">
            <v>109.9</v>
          </cell>
          <cell r="O215">
            <v>140.19999999999999</v>
          </cell>
          <cell r="P215">
            <v>137.80000000000001</v>
          </cell>
          <cell r="Q215">
            <v>156</v>
          </cell>
          <cell r="R215">
            <v>138.5</v>
          </cell>
          <cell r="S215">
            <v>162.4</v>
          </cell>
          <cell r="T215">
            <v>151.6</v>
          </cell>
          <cell r="U215">
            <v>145.9</v>
          </cell>
          <cell r="V215">
            <v>150.80000000000001</v>
          </cell>
          <cell r="Z215">
            <v>149.6</v>
          </cell>
          <cell r="AA215">
            <v>128.9</v>
          </cell>
          <cell r="AB215">
            <v>143.30000000000001</v>
          </cell>
          <cell r="AC215">
            <v>155.1</v>
          </cell>
          <cell r="AD215">
            <v>133.19999999999999</v>
          </cell>
          <cell r="AE215">
            <v>141.6</v>
          </cell>
          <cell r="AF215">
            <v>141.9</v>
          </cell>
        </row>
        <row r="216">
          <cell r="A216" t="str">
            <v>Urban</v>
          </cell>
          <cell r="B216">
            <v>2018</v>
          </cell>
          <cell r="C216" t="str">
            <v>December</v>
          </cell>
          <cell r="F216">
            <v>138.5</v>
          </cell>
          <cell r="G216">
            <v>147.80000000000001</v>
          </cell>
          <cell r="H216">
            <v>141.1</v>
          </cell>
          <cell r="I216">
            <v>141.6</v>
          </cell>
          <cell r="J216">
            <v>118.1</v>
          </cell>
          <cell r="K216">
            <v>138.5</v>
          </cell>
          <cell r="L216">
            <v>132.4</v>
          </cell>
          <cell r="M216">
            <v>117.5</v>
          </cell>
          <cell r="N216">
            <v>111</v>
          </cell>
          <cell r="O216">
            <v>141.5</v>
          </cell>
          <cell r="P216">
            <v>128.1</v>
          </cell>
          <cell r="Q216">
            <v>152.9</v>
          </cell>
          <cell r="R216">
            <v>137.6</v>
          </cell>
          <cell r="S216">
            <v>164.6</v>
          </cell>
          <cell r="T216">
            <v>142.69999999999999</v>
          </cell>
          <cell r="U216">
            <v>130.30000000000001</v>
          </cell>
          <cell r="V216">
            <v>140.80000000000001</v>
          </cell>
          <cell r="Z216">
            <v>137.30000000000001</v>
          </cell>
          <cell r="AA216">
            <v>118.8</v>
          </cell>
          <cell r="AB216">
            <v>131.69999999999999</v>
          </cell>
          <cell r="AC216">
            <v>146.5</v>
          </cell>
          <cell r="AD216">
            <v>130.80000000000001</v>
          </cell>
          <cell r="AE216">
            <v>131.69999999999999</v>
          </cell>
          <cell r="AF216">
            <v>138</v>
          </cell>
        </row>
        <row r="217">
          <cell r="A217" t="str">
            <v>Rural+Urban</v>
          </cell>
          <cell r="B217">
            <v>2018</v>
          </cell>
          <cell r="C217" t="str">
            <v>December</v>
          </cell>
          <cell r="F217">
            <v>137.5</v>
          </cell>
          <cell r="G217">
            <v>150.5</v>
          </cell>
          <cell r="H217">
            <v>138.80000000000001</v>
          </cell>
          <cell r="I217">
            <v>142.1</v>
          </cell>
          <cell r="J217">
            <v>122</v>
          </cell>
          <cell r="K217">
            <v>139.4</v>
          </cell>
          <cell r="L217">
            <v>135.19999999999999</v>
          </cell>
          <cell r="M217">
            <v>119.8</v>
          </cell>
          <cell r="N217">
            <v>110.3</v>
          </cell>
          <cell r="O217">
            <v>140.6</v>
          </cell>
          <cell r="P217">
            <v>133.80000000000001</v>
          </cell>
          <cell r="Q217">
            <v>154.6</v>
          </cell>
          <cell r="R217">
            <v>138.19999999999999</v>
          </cell>
          <cell r="S217">
            <v>163</v>
          </cell>
          <cell r="T217">
            <v>148.1</v>
          </cell>
          <cell r="U217">
            <v>139.4</v>
          </cell>
          <cell r="V217">
            <v>146.80000000000001</v>
          </cell>
          <cell r="Z217">
            <v>144.9</v>
          </cell>
          <cell r="AA217">
            <v>123.6</v>
          </cell>
          <cell r="AB217">
            <v>136.80000000000001</v>
          </cell>
          <cell r="AC217">
            <v>150.1</v>
          </cell>
          <cell r="AD217">
            <v>132.19999999999999</v>
          </cell>
          <cell r="AE217">
            <v>136.80000000000001</v>
          </cell>
          <cell r="AF217">
            <v>140.1</v>
          </cell>
        </row>
        <row r="218">
          <cell r="A218" t="str">
            <v>Rural</v>
          </cell>
          <cell r="B218">
            <v>2019</v>
          </cell>
          <cell r="C218" t="str">
            <v>January</v>
          </cell>
          <cell r="F218">
            <v>136.6</v>
          </cell>
          <cell r="G218">
            <v>152.5</v>
          </cell>
          <cell r="H218">
            <v>138.19999999999999</v>
          </cell>
          <cell r="I218">
            <v>142.4</v>
          </cell>
          <cell r="J218">
            <v>123.9</v>
          </cell>
          <cell r="K218">
            <v>135.5</v>
          </cell>
          <cell r="L218">
            <v>131.69999999999999</v>
          </cell>
          <cell r="M218">
            <v>121.3</v>
          </cell>
          <cell r="N218">
            <v>108.4</v>
          </cell>
          <cell r="O218">
            <v>138.9</v>
          </cell>
          <cell r="P218">
            <v>137</v>
          </cell>
          <cell r="Q218">
            <v>155.80000000000001</v>
          </cell>
          <cell r="R218">
            <v>137.4</v>
          </cell>
          <cell r="S218">
            <v>162.69999999999999</v>
          </cell>
          <cell r="T218">
            <v>150.6</v>
          </cell>
          <cell r="U218">
            <v>145.1</v>
          </cell>
          <cell r="V218">
            <v>149.9</v>
          </cell>
          <cell r="Z218">
            <v>149.6</v>
          </cell>
          <cell r="AA218">
            <v>128.6</v>
          </cell>
          <cell r="AB218">
            <v>142.9</v>
          </cell>
          <cell r="AC218">
            <v>155.19999999999999</v>
          </cell>
          <cell r="AD218">
            <v>133.5</v>
          </cell>
          <cell r="AE218">
            <v>141.69999999999999</v>
          </cell>
          <cell r="AF218">
            <v>141</v>
          </cell>
        </row>
        <row r="219">
          <cell r="A219" t="str">
            <v>Urban</v>
          </cell>
          <cell r="B219">
            <v>2019</v>
          </cell>
          <cell r="C219" t="str">
            <v>January</v>
          </cell>
          <cell r="F219">
            <v>138.30000000000001</v>
          </cell>
          <cell r="G219">
            <v>149.4</v>
          </cell>
          <cell r="H219">
            <v>143.5</v>
          </cell>
          <cell r="I219">
            <v>141.69999999999999</v>
          </cell>
          <cell r="J219">
            <v>118.1</v>
          </cell>
          <cell r="K219">
            <v>135.19999999999999</v>
          </cell>
          <cell r="L219">
            <v>130.5</v>
          </cell>
          <cell r="M219">
            <v>118.2</v>
          </cell>
          <cell r="N219">
            <v>110.4</v>
          </cell>
          <cell r="O219">
            <v>140.4</v>
          </cell>
          <cell r="P219">
            <v>128.1</v>
          </cell>
          <cell r="Q219">
            <v>153.19999999999999</v>
          </cell>
          <cell r="R219">
            <v>137.30000000000001</v>
          </cell>
          <cell r="S219">
            <v>164.7</v>
          </cell>
          <cell r="T219">
            <v>143</v>
          </cell>
          <cell r="U219">
            <v>130.4</v>
          </cell>
          <cell r="V219">
            <v>141.1</v>
          </cell>
          <cell r="Z219">
            <v>137.80000000000001</v>
          </cell>
          <cell r="AA219">
            <v>118.6</v>
          </cell>
          <cell r="AB219">
            <v>131.9</v>
          </cell>
          <cell r="AC219">
            <v>146.6</v>
          </cell>
          <cell r="AD219">
            <v>131.69999999999999</v>
          </cell>
          <cell r="AE219">
            <v>131.80000000000001</v>
          </cell>
          <cell r="AF219">
            <v>138</v>
          </cell>
        </row>
        <row r="220">
          <cell r="A220" t="str">
            <v>Rural+Urban</v>
          </cell>
          <cell r="B220">
            <v>2019</v>
          </cell>
          <cell r="C220" t="str">
            <v>January</v>
          </cell>
          <cell r="F220">
            <v>137.1</v>
          </cell>
          <cell r="G220">
            <v>151.4</v>
          </cell>
          <cell r="H220">
            <v>140.19999999999999</v>
          </cell>
          <cell r="I220">
            <v>142.1</v>
          </cell>
          <cell r="J220">
            <v>121.8</v>
          </cell>
          <cell r="K220">
            <v>135.4</v>
          </cell>
          <cell r="L220">
            <v>131.30000000000001</v>
          </cell>
          <cell r="M220">
            <v>120.3</v>
          </cell>
          <cell r="N220">
            <v>109.1</v>
          </cell>
          <cell r="O220">
            <v>139.4</v>
          </cell>
          <cell r="P220">
            <v>133.30000000000001</v>
          </cell>
          <cell r="Q220">
            <v>154.6</v>
          </cell>
          <cell r="R220">
            <v>137.4</v>
          </cell>
          <cell r="S220">
            <v>163.19999999999999</v>
          </cell>
          <cell r="T220">
            <v>147.6</v>
          </cell>
          <cell r="U220">
            <v>139</v>
          </cell>
          <cell r="V220">
            <v>146.4</v>
          </cell>
          <cell r="Z220">
            <v>145.1</v>
          </cell>
          <cell r="AA220">
            <v>123.3</v>
          </cell>
          <cell r="AB220">
            <v>136.69999999999999</v>
          </cell>
          <cell r="AC220">
            <v>150.19999999999999</v>
          </cell>
          <cell r="AD220">
            <v>132.80000000000001</v>
          </cell>
          <cell r="AE220">
            <v>136.9</v>
          </cell>
          <cell r="AF220">
            <v>139.6</v>
          </cell>
        </row>
        <row r="221">
          <cell r="A221" t="str">
            <v>Rural</v>
          </cell>
          <cell r="B221">
            <v>2019</v>
          </cell>
          <cell r="C221" t="str">
            <v>February</v>
          </cell>
          <cell r="F221">
            <v>136.80000000000001</v>
          </cell>
          <cell r="G221">
            <v>153</v>
          </cell>
          <cell r="H221">
            <v>139.1</v>
          </cell>
          <cell r="I221">
            <v>142.5</v>
          </cell>
          <cell r="J221">
            <v>124.1</v>
          </cell>
          <cell r="K221">
            <v>135.80000000000001</v>
          </cell>
          <cell r="L221">
            <v>128.69999999999999</v>
          </cell>
          <cell r="M221">
            <v>121.5</v>
          </cell>
          <cell r="N221">
            <v>108.3</v>
          </cell>
          <cell r="O221">
            <v>139.19999999999999</v>
          </cell>
          <cell r="P221">
            <v>137.4</v>
          </cell>
          <cell r="Q221">
            <v>156.19999999999999</v>
          </cell>
          <cell r="R221">
            <v>137.19999999999999</v>
          </cell>
          <cell r="S221">
            <v>162.80000000000001</v>
          </cell>
          <cell r="T221">
            <v>150.5</v>
          </cell>
          <cell r="U221">
            <v>146.1</v>
          </cell>
          <cell r="V221">
            <v>149.9</v>
          </cell>
          <cell r="Z221">
            <v>149.9</v>
          </cell>
          <cell r="AA221">
            <v>129.19999999999999</v>
          </cell>
          <cell r="AB221">
            <v>143.4</v>
          </cell>
          <cell r="AC221">
            <v>155.5</v>
          </cell>
          <cell r="AD221">
            <v>134.9</v>
          </cell>
          <cell r="AE221">
            <v>142.19999999999999</v>
          </cell>
          <cell r="AF221">
            <v>141</v>
          </cell>
        </row>
        <row r="222">
          <cell r="A222" t="str">
            <v>Urban</v>
          </cell>
          <cell r="B222">
            <v>2019</v>
          </cell>
          <cell r="C222" t="str">
            <v>February</v>
          </cell>
          <cell r="F222">
            <v>139.4</v>
          </cell>
          <cell r="G222">
            <v>150.1</v>
          </cell>
          <cell r="H222">
            <v>145.30000000000001</v>
          </cell>
          <cell r="I222">
            <v>141.69999999999999</v>
          </cell>
          <cell r="J222">
            <v>118.4</v>
          </cell>
          <cell r="K222">
            <v>137</v>
          </cell>
          <cell r="L222">
            <v>131.6</v>
          </cell>
          <cell r="M222">
            <v>119.9</v>
          </cell>
          <cell r="N222">
            <v>110.4</v>
          </cell>
          <cell r="O222">
            <v>140.80000000000001</v>
          </cell>
          <cell r="P222">
            <v>128.30000000000001</v>
          </cell>
          <cell r="Q222">
            <v>153.5</v>
          </cell>
          <cell r="R222">
            <v>138</v>
          </cell>
          <cell r="S222">
            <v>164.9</v>
          </cell>
          <cell r="T222">
            <v>143.30000000000001</v>
          </cell>
          <cell r="U222">
            <v>130.80000000000001</v>
          </cell>
          <cell r="V222">
            <v>141.4</v>
          </cell>
          <cell r="Z222">
            <v>138.5</v>
          </cell>
          <cell r="AA222">
            <v>119.2</v>
          </cell>
          <cell r="AB222">
            <v>132.19999999999999</v>
          </cell>
          <cell r="AC222">
            <v>146.6</v>
          </cell>
          <cell r="AD222">
            <v>133</v>
          </cell>
          <cell r="AE222">
            <v>132.4</v>
          </cell>
          <cell r="AF222">
            <v>138.6</v>
          </cell>
        </row>
        <row r="223">
          <cell r="A223" t="str">
            <v>Rural+Urban</v>
          </cell>
          <cell r="B223">
            <v>2019</v>
          </cell>
          <cell r="C223" t="str">
            <v>February</v>
          </cell>
          <cell r="F223">
            <v>137.6</v>
          </cell>
          <cell r="G223">
            <v>152</v>
          </cell>
          <cell r="H223">
            <v>141.5</v>
          </cell>
          <cell r="I223">
            <v>142.19999999999999</v>
          </cell>
          <cell r="J223">
            <v>122</v>
          </cell>
          <cell r="K223">
            <v>136.4</v>
          </cell>
          <cell r="L223">
            <v>129.69999999999999</v>
          </cell>
          <cell r="M223">
            <v>121</v>
          </cell>
          <cell r="N223">
            <v>109</v>
          </cell>
          <cell r="O223">
            <v>139.69999999999999</v>
          </cell>
          <cell r="P223">
            <v>133.6</v>
          </cell>
          <cell r="Q223">
            <v>154.9</v>
          </cell>
          <cell r="R223">
            <v>137.5</v>
          </cell>
          <cell r="S223">
            <v>163.4</v>
          </cell>
          <cell r="T223">
            <v>147.69999999999999</v>
          </cell>
          <cell r="U223">
            <v>139.69999999999999</v>
          </cell>
          <cell r="V223">
            <v>146.5</v>
          </cell>
          <cell r="Z223">
            <v>145.6</v>
          </cell>
          <cell r="AA223">
            <v>123.9</v>
          </cell>
          <cell r="AB223">
            <v>137.1</v>
          </cell>
          <cell r="AC223">
            <v>150.30000000000001</v>
          </cell>
          <cell r="AD223">
            <v>134.1</v>
          </cell>
          <cell r="AE223">
            <v>137.4</v>
          </cell>
          <cell r="AF223">
            <v>139.9</v>
          </cell>
        </row>
        <row r="224">
          <cell r="A224" t="str">
            <v>Rural</v>
          </cell>
          <cell r="B224">
            <v>2019</v>
          </cell>
          <cell r="C224" t="str">
            <v>March</v>
          </cell>
          <cell r="F224">
            <v>136.9</v>
          </cell>
          <cell r="G224">
            <v>154.1</v>
          </cell>
          <cell r="H224">
            <v>138.69999999999999</v>
          </cell>
          <cell r="I224">
            <v>142.5</v>
          </cell>
          <cell r="J224">
            <v>124.1</v>
          </cell>
          <cell r="K224">
            <v>136.1</v>
          </cell>
          <cell r="L224">
            <v>128.19999999999999</v>
          </cell>
          <cell r="M224">
            <v>122.3</v>
          </cell>
          <cell r="N224">
            <v>108.3</v>
          </cell>
          <cell r="O224">
            <v>138.9</v>
          </cell>
          <cell r="P224">
            <v>137.4</v>
          </cell>
          <cell r="Q224">
            <v>156.4</v>
          </cell>
          <cell r="R224">
            <v>137.30000000000001</v>
          </cell>
          <cell r="S224">
            <v>162.9</v>
          </cell>
          <cell r="T224">
            <v>150.80000000000001</v>
          </cell>
          <cell r="U224">
            <v>146.1</v>
          </cell>
          <cell r="V224">
            <v>150.1</v>
          </cell>
          <cell r="Z224">
            <v>150.4</v>
          </cell>
          <cell r="AA224">
            <v>129.9</v>
          </cell>
          <cell r="AB224">
            <v>143.80000000000001</v>
          </cell>
          <cell r="AC224">
            <v>155.5</v>
          </cell>
          <cell r="AD224">
            <v>134</v>
          </cell>
          <cell r="AE224">
            <v>142.4</v>
          </cell>
          <cell r="AF224">
            <v>141.19999999999999</v>
          </cell>
        </row>
        <row r="225">
          <cell r="A225" t="str">
            <v>Urban</v>
          </cell>
          <cell r="B225">
            <v>2019</v>
          </cell>
          <cell r="C225" t="str">
            <v>March</v>
          </cell>
          <cell r="F225">
            <v>139.69999999999999</v>
          </cell>
          <cell r="G225">
            <v>151.1</v>
          </cell>
          <cell r="H225">
            <v>142.9</v>
          </cell>
          <cell r="I225">
            <v>141.9</v>
          </cell>
          <cell r="J225">
            <v>118.4</v>
          </cell>
          <cell r="K225">
            <v>139.4</v>
          </cell>
          <cell r="L225">
            <v>141.19999999999999</v>
          </cell>
          <cell r="M225">
            <v>120.7</v>
          </cell>
          <cell r="N225">
            <v>110.4</v>
          </cell>
          <cell r="O225">
            <v>140.69999999999999</v>
          </cell>
          <cell r="P225">
            <v>128.5</v>
          </cell>
          <cell r="Q225">
            <v>153.9</v>
          </cell>
          <cell r="R225">
            <v>139.6</v>
          </cell>
          <cell r="S225">
            <v>165.3</v>
          </cell>
          <cell r="T225">
            <v>143.5</v>
          </cell>
          <cell r="U225">
            <v>131.19999999999999</v>
          </cell>
          <cell r="V225">
            <v>141.6</v>
          </cell>
          <cell r="Z225">
            <v>139.19999999999999</v>
          </cell>
          <cell r="AA225">
            <v>119.9</v>
          </cell>
          <cell r="AB225">
            <v>133</v>
          </cell>
          <cell r="AC225">
            <v>146.69999999999999</v>
          </cell>
          <cell r="AD225">
            <v>132.5</v>
          </cell>
          <cell r="AE225">
            <v>132.80000000000001</v>
          </cell>
          <cell r="AF225">
            <v>139.5</v>
          </cell>
        </row>
        <row r="226">
          <cell r="A226" t="str">
            <v>Rural+Urban</v>
          </cell>
          <cell r="B226">
            <v>2019</v>
          </cell>
          <cell r="C226" t="str">
            <v>March</v>
          </cell>
          <cell r="F226">
            <v>137.80000000000001</v>
          </cell>
          <cell r="G226">
            <v>153</v>
          </cell>
          <cell r="H226">
            <v>140.30000000000001</v>
          </cell>
          <cell r="I226">
            <v>142.30000000000001</v>
          </cell>
          <cell r="J226">
            <v>122</v>
          </cell>
          <cell r="K226">
            <v>137.6</v>
          </cell>
          <cell r="L226">
            <v>132.6</v>
          </cell>
          <cell r="M226">
            <v>121.8</v>
          </cell>
          <cell r="N226">
            <v>109</v>
          </cell>
          <cell r="O226">
            <v>139.5</v>
          </cell>
          <cell r="P226">
            <v>133.69999999999999</v>
          </cell>
          <cell r="Q226">
            <v>155.19999999999999</v>
          </cell>
          <cell r="R226">
            <v>138.1</v>
          </cell>
          <cell r="S226">
            <v>163.5</v>
          </cell>
          <cell r="T226">
            <v>147.9</v>
          </cell>
          <cell r="U226">
            <v>139.9</v>
          </cell>
          <cell r="V226">
            <v>146.69999999999999</v>
          </cell>
          <cell r="Z226">
            <v>146.19999999999999</v>
          </cell>
          <cell r="AA226">
            <v>124.6</v>
          </cell>
          <cell r="AB226">
            <v>137.69999999999999</v>
          </cell>
          <cell r="AC226">
            <v>150.30000000000001</v>
          </cell>
          <cell r="AD226">
            <v>133.4</v>
          </cell>
          <cell r="AE226">
            <v>137.69999999999999</v>
          </cell>
          <cell r="AF226">
            <v>140.4</v>
          </cell>
        </row>
        <row r="227">
          <cell r="A227" t="str">
            <v>Rural</v>
          </cell>
          <cell r="B227">
            <v>2019</v>
          </cell>
          <cell r="C227" t="str">
            <v>May</v>
          </cell>
          <cell r="F227">
            <v>137.4</v>
          </cell>
          <cell r="G227">
            <v>159.5</v>
          </cell>
          <cell r="H227">
            <v>134.5</v>
          </cell>
          <cell r="I227">
            <v>142.6</v>
          </cell>
          <cell r="J227">
            <v>124</v>
          </cell>
          <cell r="K227">
            <v>143.69999999999999</v>
          </cell>
          <cell r="L227">
            <v>133.4</v>
          </cell>
          <cell r="M227">
            <v>125.1</v>
          </cell>
          <cell r="N227">
            <v>109.3</v>
          </cell>
          <cell r="O227">
            <v>139.30000000000001</v>
          </cell>
          <cell r="P227">
            <v>137.69999999999999</v>
          </cell>
          <cell r="Q227">
            <v>156.4</v>
          </cell>
          <cell r="R227">
            <v>139.19999999999999</v>
          </cell>
          <cell r="S227">
            <v>163.30000000000001</v>
          </cell>
          <cell r="T227">
            <v>151.30000000000001</v>
          </cell>
          <cell r="U227">
            <v>146.6</v>
          </cell>
          <cell r="V227">
            <v>150.69999999999999</v>
          </cell>
          <cell r="Z227">
            <v>151.30000000000001</v>
          </cell>
          <cell r="AA227">
            <v>130.19999999999999</v>
          </cell>
          <cell r="AB227">
            <v>145.9</v>
          </cell>
          <cell r="AC227">
            <v>156.69999999999999</v>
          </cell>
          <cell r="AD227">
            <v>133.9</v>
          </cell>
          <cell r="AE227">
            <v>142.9</v>
          </cell>
          <cell r="AF227">
            <v>142.4</v>
          </cell>
        </row>
        <row r="228">
          <cell r="A228" t="str">
            <v>Urban</v>
          </cell>
          <cell r="B228">
            <v>2019</v>
          </cell>
          <cell r="C228" t="str">
            <v>May</v>
          </cell>
          <cell r="F228">
            <v>140.4</v>
          </cell>
          <cell r="G228">
            <v>156.69999999999999</v>
          </cell>
          <cell r="H228">
            <v>138.30000000000001</v>
          </cell>
          <cell r="I228">
            <v>142.4</v>
          </cell>
          <cell r="J228">
            <v>118.6</v>
          </cell>
          <cell r="K228">
            <v>149.69999999999999</v>
          </cell>
          <cell r="L228">
            <v>161.6</v>
          </cell>
          <cell r="M228">
            <v>124.4</v>
          </cell>
          <cell r="N228">
            <v>111.2</v>
          </cell>
          <cell r="O228">
            <v>141</v>
          </cell>
          <cell r="P228">
            <v>128.9</v>
          </cell>
          <cell r="Q228">
            <v>154.5</v>
          </cell>
          <cell r="R228">
            <v>143.80000000000001</v>
          </cell>
          <cell r="S228">
            <v>166.2</v>
          </cell>
          <cell r="T228">
            <v>144</v>
          </cell>
          <cell r="U228">
            <v>131.69999999999999</v>
          </cell>
          <cell r="V228">
            <v>142.19999999999999</v>
          </cell>
          <cell r="Z228">
            <v>139.80000000000001</v>
          </cell>
          <cell r="AA228">
            <v>120.1</v>
          </cell>
          <cell r="AB228">
            <v>134</v>
          </cell>
          <cell r="AC228">
            <v>148</v>
          </cell>
          <cell r="AD228">
            <v>132.6</v>
          </cell>
          <cell r="AE228">
            <v>133.30000000000001</v>
          </cell>
          <cell r="AF228">
            <v>141.5</v>
          </cell>
        </row>
        <row r="229">
          <cell r="A229" t="str">
            <v>Rural+Urban</v>
          </cell>
          <cell r="B229">
            <v>2019</v>
          </cell>
          <cell r="C229" t="str">
            <v>May</v>
          </cell>
          <cell r="F229">
            <v>138.30000000000001</v>
          </cell>
          <cell r="G229">
            <v>158.5</v>
          </cell>
          <cell r="H229">
            <v>136</v>
          </cell>
          <cell r="I229">
            <v>142.5</v>
          </cell>
          <cell r="J229">
            <v>122</v>
          </cell>
          <cell r="K229">
            <v>146.5</v>
          </cell>
          <cell r="L229">
            <v>143</v>
          </cell>
          <cell r="M229">
            <v>124.9</v>
          </cell>
          <cell r="N229">
            <v>109.9</v>
          </cell>
          <cell r="O229">
            <v>139.9</v>
          </cell>
          <cell r="P229">
            <v>134</v>
          </cell>
          <cell r="Q229">
            <v>155.5</v>
          </cell>
          <cell r="R229">
            <v>140.9</v>
          </cell>
          <cell r="S229">
            <v>164.1</v>
          </cell>
          <cell r="T229">
            <v>148.4</v>
          </cell>
          <cell r="U229">
            <v>140.4</v>
          </cell>
          <cell r="V229">
            <v>147.30000000000001</v>
          </cell>
          <cell r="Z229">
            <v>146.9</v>
          </cell>
          <cell r="AA229">
            <v>124.9</v>
          </cell>
          <cell r="AB229">
            <v>139.19999999999999</v>
          </cell>
          <cell r="AC229">
            <v>151.6</v>
          </cell>
          <cell r="AD229">
            <v>133.4</v>
          </cell>
          <cell r="AE229">
            <v>138.19999999999999</v>
          </cell>
          <cell r="AF229">
            <v>142</v>
          </cell>
        </row>
        <row r="230">
          <cell r="A230" t="str">
            <v>Rural</v>
          </cell>
          <cell r="B230">
            <v>2019</v>
          </cell>
          <cell r="C230" t="str">
            <v>June</v>
          </cell>
          <cell r="F230">
            <v>137.80000000000001</v>
          </cell>
          <cell r="G230">
            <v>163.5</v>
          </cell>
          <cell r="H230">
            <v>136.19999999999999</v>
          </cell>
          <cell r="I230">
            <v>143.19999999999999</v>
          </cell>
          <cell r="J230">
            <v>124.3</v>
          </cell>
          <cell r="K230">
            <v>143.30000000000001</v>
          </cell>
          <cell r="L230">
            <v>140.6</v>
          </cell>
          <cell r="M230">
            <v>128.69999999999999</v>
          </cell>
          <cell r="N230">
            <v>110.6</v>
          </cell>
          <cell r="O230">
            <v>140.4</v>
          </cell>
          <cell r="P230">
            <v>138</v>
          </cell>
          <cell r="Q230">
            <v>156.6</v>
          </cell>
          <cell r="R230">
            <v>141</v>
          </cell>
          <cell r="S230">
            <v>164.2</v>
          </cell>
          <cell r="T230">
            <v>151.4</v>
          </cell>
          <cell r="U230">
            <v>146.5</v>
          </cell>
          <cell r="V230">
            <v>150.69999999999999</v>
          </cell>
          <cell r="Z230">
            <v>151.69999999999999</v>
          </cell>
          <cell r="AA230">
            <v>130.19999999999999</v>
          </cell>
          <cell r="AB230">
            <v>146.4</v>
          </cell>
          <cell r="AC230">
            <v>157.69999999999999</v>
          </cell>
          <cell r="AD230">
            <v>134.80000000000001</v>
          </cell>
          <cell r="AE230">
            <v>143.30000000000001</v>
          </cell>
          <cell r="AF230">
            <v>143.6</v>
          </cell>
        </row>
        <row r="231">
          <cell r="A231" t="str">
            <v>Urban</v>
          </cell>
          <cell r="B231">
            <v>2019</v>
          </cell>
          <cell r="C231" t="str">
            <v>June</v>
          </cell>
          <cell r="F231">
            <v>140.69999999999999</v>
          </cell>
          <cell r="G231">
            <v>159.6</v>
          </cell>
          <cell r="H231">
            <v>140.4</v>
          </cell>
          <cell r="I231">
            <v>143.4</v>
          </cell>
          <cell r="J231">
            <v>118.6</v>
          </cell>
          <cell r="K231">
            <v>150.9</v>
          </cell>
          <cell r="L231">
            <v>169.8</v>
          </cell>
          <cell r="M231">
            <v>127.4</v>
          </cell>
          <cell r="N231">
            <v>111.8</v>
          </cell>
          <cell r="O231">
            <v>141</v>
          </cell>
          <cell r="P231">
            <v>129</v>
          </cell>
          <cell r="Q231">
            <v>155.1</v>
          </cell>
          <cell r="R231">
            <v>145.6</v>
          </cell>
          <cell r="S231">
            <v>166.7</v>
          </cell>
          <cell r="T231">
            <v>144.30000000000001</v>
          </cell>
          <cell r="U231">
            <v>131.69999999999999</v>
          </cell>
          <cell r="V231">
            <v>142.4</v>
          </cell>
          <cell r="Z231">
            <v>140.30000000000001</v>
          </cell>
          <cell r="AA231">
            <v>119.6</v>
          </cell>
          <cell r="AB231">
            <v>134.30000000000001</v>
          </cell>
          <cell r="AC231">
            <v>148.9</v>
          </cell>
          <cell r="AD231">
            <v>133.69999999999999</v>
          </cell>
          <cell r="AE231">
            <v>133.6</v>
          </cell>
          <cell r="AF231">
            <v>142.1</v>
          </cell>
        </row>
        <row r="232">
          <cell r="A232" t="str">
            <v>Rural+Urban</v>
          </cell>
          <cell r="B232">
            <v>2019</v>
          </cell>
          <cell r="C232" t="str">
            <v>June</v>
          </cell>
          <cell r="F232">
            <v>138.69999999999999</v>
          </cell>
          <cell r="G232">
            <v>162.1</v>
          </cell>
          <cell r="H232">
            <v>137.80000000000001</v>
          </cell>
          <cell r="I232">
            <v>143.30000000000001</v>
          </cell>
          <cell r="J232">
            <v>122.2</v>
          </cell>
          <cell r="K232">
            <v>146.80000000000001</v>
          </cell>
          <cell r="L232">
            <v>150.5</v>
          </cell>
          <cell r="M232">
            <v>128.30000000000001</v>
          </cell>
          <cell r="N232">
            <v>111</v>
          </cell>
          <cell r="O232">
            <v>140.6</v>
          </cell>
          <cell r="P232">
            <v>134.19999999999999</v>
          </cell>
          <cell r="Q232">
            <v>155.9</v>
          </cell>
          <cell r="R232">
            <v>142.69999999999999</v>
          </cell>
          <cell r="S232">
            <v>164.9</v>
          </cell>
          <cell r="T232">
            <v>148.6</v>
          </cell>
          <cell r="U232">
            <v>140.4</v>
          </cell>
          <cell r="V232">
            <v>147.4</v>
          </cell>
          <cell r="Z232">
            <v>147.4</v>
          </cell>
          <cell r="AA232">
            <v>124.6</v>
          </cell>
          <cell r="AB232">
            <v>139.6</v>
          </cell>
          <cell r="AC232">
            <v>152.5</v>
          </cell>
          <cell r="AD232">
            <v>134.30000000000001</v>
          </cell>
          <cell r="AE232">
            <v>138.6</v>
          </cell>
          <cell r="AF232">
            <v>142.9</v>
          </cell>
        </row>
        <row r="233">
          <cell r="A233" t="str">
            <v>Rural</v>
          </cell>
          <cell r="B233">
            <v>2019</v>
          </cell>
          <cell r="C233" t="str">
            <v>July</v>
          </cell>
          <cell r="F233">
            <v>138.4</v>
          </cell>
          <cell r="G233">
            <v>164</v>
          </cell>
          <cell r="H233">
            <v>138.4</v>
          </cell>
          <cell r="I233">
            <v>143.9</v>
          </cell>
          <cell r="J233">
            <v>124.4</v>
          </cell>
          <cell r="K233">
            <v>146.4</v>
          </cell>
          <cell r="L233">
            <v>150.1</v>
          </cell>
          <cell r="M233">
            <v>130.6</v>
          </cell>
          <cell r="N233">
            <v>110.8</v>
          </cell>
          <cell r="O233">
            <v>141.69999999999999</v>
          </cell>
          <cell r="P233">
            <v>138.5</v>
          </cell>
          <cell r="Q233">
            <v>156.69999999999999</v>
          </cell>
          <cell r="R233">
            <v>143</v>
          </cell>
          <cell r="S233">
            <v>164.5</v>
          </cell>
          <cell r="T233">
            <v>151.6</v>
          </cell>
          <cell r="U233">
            <v>146.6</v>
          </cell>
          <cell r="V233">
            <v>150.9</v>
          </cell>
          <cell r="Z233">
            <v>152.19999999999999</v>
          </cell>
          <cell r="AA233">
            <v>131.19999999999999</v>
          </cell>
          <cell r="AB233">
            <v>147.5</v>
          </cell>
          <cell r="AC233">
            <v>159.1</v>
          </cell>
          <cell r="AD233">
            <v>136.1</v>
          </cell>
          <cell r="AE233">
            <v>144.19999999999999</v>
          </cell>
          <cell r="AF233">
            <v>144.9</v>
          </cell>
        </row>
        <row r="234">
          <cell r="A234" t="str">
            <v>Urban</v>
          </cell>
          <cell r="B234">
            <v>2019</v>
          </cell>
          <cell r="C234" t="str">
            <v>July</v>
          </cell>
          <cell r="F234">
            <v>141.4</v>
          </cell>
          <cell r="G234">
            <v>160.19999999999999</v>
          </cell>
          <cell r="H234">
            <v>142.5</v>
          </cell>
          <cell r="I234">
            <v>144.1</v>
          </cell>
          <cell r="J234">
            <v>119.3</v>
          </cell>
          <cell r="K234">
            <v>154.69999999999999</v>
          </cell>
          <cell r="L234">
            <v>180.1</v>
          </cell>
          <cell r="M234">
            <v>128.9</v>
          </cell>
          <cell r="N234">
            <v>111.8</v>
          </cell>
          <cell r="O234">
            <v>141.6</v>
          </cell>
          <cell r="P234">
            <v>129.5</v>
          </cell>
          <cell r="Q234">
            <v>155.6</v>
          </cell>
          <cell r="R234">
            <v>147.69999999999999</v>
          </cell>
          <cell r="S234">
            <v>167.2</v>
          </cell>
          <cell r="T234">
            <v>144.69999999999999</v>
          </cell>
          <cell r="U234">
            <v>131.9</v>
          </cell>
          <cell r="V234">
            <v>142.69999999999999</v>
          </cell>
          <cell r="Z234">
            <v>140.80000000000001</v>
          </cell>
          <cell r="AA234">
            <v>120.6</v>
          </cell>
          <cell r="AB234">
            <v>135</v>
          </cell>
          <cell r="AC234">
            <v>150.4</v>
          </cell>
          <cell r="AD234">
            <v>135.1</v>
          </cell>
          <cell r="AE234">
            <v>134.5</v>
          </cell>
          <cell r="AF234">
            <v>143.30000000000001</v>
          </cell>
        </row>
        <row r="235">
          <cell r="A235" t="str">
            <v>Rural+Urban</v>
          </cell>
          <cell r="B235">
            <v>2019</v>
          </cell>
          <cell r="C235" t="str">
            <v>July</v>
          </cell>
          <cell r="F235">
            <v>139.30000000000001</v>
          </cell>
          <cell r="G235">
            <v>162.69999999999999</v>
          </cell>
          <cell r="H235">
            <v>140</v>
          </cell>
          <cell r="I235">
            <v>144</v>
          </cell>
          <cell r="J235">
            <v>122.5</v>
          </cell>
          <cell r="K235">
            <v>150.30000000000001</v>
          </cell>
          <cell r="L235">
            <v>160.30000000000001</v>
          </cell>
          <cell r="M235">
            <v>130</v>
          </cell>
          <cell r="N235">
            <v>111.1</v>
          </cell>
          <cell r="O235">
            <v>141.69999999999999</v>
          </cell>
          <cell r="P235">
            <v>134.69999999999999</v>
          </cell>
          <cell r="Q235">
            <v>156.19999999999999</v>
          </cell>
          <cell r="R235">
            <v>144.69999999999999</v>
          </cell>
          <cell r="S235">
            <v>165.2</v>
          </cell>
          <cell r="T235">
            <v>148.9</v>
          </cell>
          <cell r="U235">
            <v>140.5</v>
          </cell>
          <cell r="V235">
            <v>147.6</v>
          </cell>
          <cell r="Z235">
            <v>147.9</v>
          </cell>
          <cell r="AA235">
            <v>125.6</v>
          </cell>
          <cell r="AB235">
            <v>140.5</v>
          </cell>
          <cell r="AC235">
            <v>154</v>
          </cell>
          <cell r="AD235">
            <v>135.69999999999999</v>
          </cell>
          <cell r="AE235">
            <v>139.5</v>
          </cell>
          <cell r="AF235">
            <v>144.19999999999999</v>
          </cell>
        </row>
        <row r="236">
          <cell r="A236" t="str">
            <v>Rural</v>
          </cell>
          <cell r="B236">
            <v>2019</v>
          </cell>
          <cell r="C236" t="str">
            <v>August</v>
          </cell>
          <cell r="F236">
            <v>139.19999999999999</v>
          </cell>
          <cell r="G236">
            <v>161.9</v>
          </cell>
          <cell r="H236">
            <v>137.1</v>
          </cell>
          <cell r="I236">
            <v>144.6</v>
          </cell>
          <cell r="J236">
            <v>124.7</v>
          </cell>
          <cell r="K236">
            <v>145.5</v>
          </cell>
          <cell r="L236">
            <v>156.19999999999999</v>
          </cell>
          <cell r="M236">
            <v>131.5</v>
          </cell>
          <cell r="N236">
            <v>111.7</v>
          </cell>
          <cell r="O236">
            <v>142.69999999999999</v>
          </cell>
          <cell r="P236">
            <v>138.5</v>
          </cell>
          <cell r="Q236">
            <v>156.9</v>
          </cell>
          <cell r="R236">
            <v>144</v>
          </cell>
          <cell r="S236">
            <v>165.1</v>
          </cell>
          <cell r="T236">
            <v>151.80000000000001</v>
          </cell>
          <cell r="U236">
            <v>146.6</v>
          </cell>
          <cell r="V236">
            <v>151.1</v>
          </cell>
          <cell r="Z236">
            <v>152.69999999999999</v>
          </cell>
          <cell r="AA236">
            <v>131.4</v>
          </cell>
          <cell r="AB236">
            <v>148</v>
          </cell>
          <cell r="AC236">
            <v>159.69999999999999</v>
          </cell>
          <cell r="AD236">
            <v>138.80000000000001</v>
          </cell>
          <cell r="AE236">
            <v>144.9</v>
          </cell>
          <cell r="AF236">
            <v>145.69999999999999</v>
          </cell>
        </row>
        <row r="237">
          <cell r="A237" t="str">
            <v>Urban</v>
          </cell>
          <cell r="B237">
            <v>2019</v>
          </cell>
          <cell r="C237" t="str">
            <v>August</v>
          </cell>
          <cell r="F237">
            <v>142.1</v>
          </cell>
          <cell r="G237">
            <v>158.30000000000001</v>
          </cell>
          <cell r="H237">
            <v>140.80000000000001</v>
          </cell>
          <cell r="I237">
            <v>144.9</v>
          </cell>
          <cell r="J237">
            <v>119.9</v>
          </cell>
          <cell r="K237">
            <v>153.9</v>
          </cell>
          <cell r="L237">
            <v>189.1</v>
          </cell>
          <cell r="M237">
            <v>129.80000000000001</v>
          </cell>
          <cell r="N237">
            <v>112.7</v>
          </cell>
          <cell r="O237">
            <v>142.5</v>
          </cell>
          <cell r="P237">
            <v>129.80000000000001</v>
          </cell>
          <cell r="Q237">
            <v>156.19999999999999</v>
          </cell>
          <cell r="R237">
            <v>149.1</v>
          </cell>
          <cell r="S237">
            <v>167.9</v>
          </cell>
          <cell r="T237">
            <v>145</v>
          </cell>
          <cell r="U237">
            <v>132.19999999999999</v>
          </cell>
          <cell r="V237">
            <v>143</v>
          </cell>
          <cell r="Z237">
            <v>141.5</v>
          </cell>
          <cell r="AA237">
            <v>120.8</v>
          </cell>
          <cell r="AB237">
            <v>135.4</v>
          </cell>
          <cell r="AC237">
            <v>151.5</v>
          </cell>
          <cell r="AD237">
            <v>137.80000000000001</v>
          </cell>
          <cell r="AE237">
            <v>135.30000000000001</v>
          </cell>
          <cell r="AF237">
            <v>144.19999999999999</v>
          </cell>
        </row>
        <row r="238">
          <cell r="A238" t="str">
            <v>Rural+Urban</v>
          </cell>
          <cell r="B238">
            <v>2019</v>
          </cell>
          <cell r="C238" t="str">
            <v>August</v>
          </cell>
          <cell r="F238">
            <v>140.1</v>
          </cell>
          <cell r="G238">
            <v>160.6</v>
          </cell>
          <cell r="H238">
            <v>138.5</v>
          </cell>
          <cell r="I238">
            <v>144.69999999999999</v>
          </cell>
          <cell r="J238">
            <v>122.9</v>
          </cell>
          <cell r="K238">
            <v>149.4</v>
          </cell>
          <cell r="L238">
            <v>167.4</v>
          </cell>
          <cell r="M238">
            <v>130.9</v>
          </cell>
          <cell r="N238">
            <v>112</v>
          </cell>
          <cell r="O238">
            <v>142.6</v>
          </cell>
          <cell r="P238">
            <v>134.9</v>
          </cell>
          <cell r="Q238">
            <v>156.6</v>
          </cell>
          <cell r="R238">
            <v>145.9</v>
          </cell>
          <cell r="S238">
            <v>165.8</v>
          </cell>
          <cell r="T238">
            <v>149.1</v>
          </cell>
          <cell r="U238">
            <v>140.6</v>
          </cell>
          <cell r="V238">
            <v>147.9</v>
          </cell>
          <cell r="Z238">
            <v>148.5</v>
          </cell>
          <cell r="AA238">
            <v>125.8</v>
          </cell>
          <cell r="AB238">
            <v>140.9</v>
          </cell>
          <cell r="AC238">
            <v>154.9</v>
          </cell>
          <cell r="AD238">
            <v>138.4</v>
          </cell>
          <cell r="AE238">
            <v>140.19999999999999</v>
          </cell>
          <cell r="AF238">
            <v>145</v>
          </cell>
        </row>
        <row r="239">
          <cell r="A239" t="str">
            <v>Rural</v>
          </cell>
          <cell r="B239">
            <v>2019</v>
          </cell>
          <cell r="C239" t="str">
            <v>September</v>
          </cell>
          <cell r="F239">
            <v>140.1</v>
          </cell>
          <cell r="G239">
            <v>161.9</v>
          </cell>
          <cell r="H239">
            <v>138.30000000000001</v>
          </cell>
          <cell r="I239">
            <v>145.69999999999999</v>
          </cell>
          <cell r="J239">
            <v>125.1</v>
          </cell>
          <cell r="K239">
            <v>143.80000000000001</v>
          </cell>
          <cell r="L239">
            <v>163.4</v>
          </cell>
          <cell r="M239">
            <v>132.19999999999999</v>
          </cell>
          <cell r="N239">
            <v>112.8</v>
          </cell>
          <cell r="O239">
            <v>144.19999999999999</v>
          </cell>
          <cell r="P239">
            <v>138.5</v>
          </cell>
          <cell r="Q239">
            <v>157.19999999999999</v>
          </cell>
          <cell r="R239">
            <v>145.5</v>
          </cell>
          <cell r="S239">
            <v>165.7</v>
          </cell>
          <cell r="T239">
            <v>151.69999999999999</v>
          </cell>
          <cell r="U239">
            <v>146.6</v>
          </cell>
          <cell r="V239">
            <v>151</v>
          </cell>
          <cell r="Z239">
            <v>153.4</v>
          </cell>
          <cell r="AA239">
            <v>131.6</v>
          </cell>
          <cell r="AB239">
            <v>148.30000000000001</v>
          </cell>
          <cell r="AC239">
            <v>160.19999999999999</v>
          </cell>
          <cell r="AD239">
            <v>140.19999999999999</v>
          </cell>
          <cell r="AE239">
            <v>145.4</v>
          </cell>
          <cell r="AF239">
            <v>146.69999999999999</v>
          </cell>
        </row>
        <row r="240">
          <cell r="A240" t="str">
            <v>Urban</v>
          </cell>
          <cell r="B240">
            <v>2019</v>
          </cell>
          <cell r="C240" t="str">
            <v>September</v>
          </cell>
          <cell r="F240">
            <v>142.69999999999999</v>
          </cell>
          <cell r="G240">
            <v>158.69999999999999</v>
          </cell>
          <cell r="H240">
            <v>141.6</v>
          </cell>
          <cell r="I240">
            <v>144.9</v>
          </cell>
          <cell r="J240">
            <v>120.8</v>
          </cell>
          <cell r="K240">
            <v>149.80000000000001</v>
          </cell>
          <cell r="L240">
            <v>192.4</v>
          </cell>
          <cell r="M240">
            <v>130.30000000000001</v>
          </cell>
          <cell r="N240">
            <v>114</v>
          </cell>
          <cell r="O240">
            <v>143.80000000000001</v>
          </cell>
          <cell r="P240">
            <v>130</v>
          </cell>
          <cell r="Q240">
            <v>156.4</v>
          </cell>
          <cell r="R240">
            <v>149.5</v>
          </cell>
          <cell r="S240">
            <v>168.6</v>
          </cell>
          <cell r="T240">
            <v>145.30000000000001</v>
          </cell>
          <cell r="U240">
            <v>132.19999999999999</v>
          </cell>
          <cell r="V240">
            <v>143.30000000000001</v>
          </cell>
          <cell r="Z240">
            <v>141.9</v>
          </cell>
          <cell r="AA240">
            <v>121.2</v>
          </cell>
          <cell r="AB240">
            <v>135.9</v>
          </cell>
          <cell r="AC240">
            <v>151.6</v>
          </cell>
          <cell r="AD240">
            <v>139</v>
          </cell>
          <cell r="AE240">
            <v>135.69999999999999</v>
          </cell>
          <cell r="AF240">
            <v>144.69999999999999</v>
          </cell>
        </row>
        <row r="241">
          <cell r="A241" t="str">
            <v>Rural+Urban</v>
          </cell>
          <cell r="B241">
            <v>2019</v>
          </cell>
          <cell r="C241" t="str">
            <v>September</v>
          </cell>
          <cell r="F241">
            <v>140.9</v>
          </cell>
          <cell r="G241">
            <v>160.80000000000001</v>
          </cell>
          <cell r="H241">
            <v>139.6</v>
          </cell>
          <cell r="I241">
            <v>145.4</v>
          </cell>
          <cell r="J241">
            <v>123.5</v>
          </cell>
          <cell r="K241">
            <v>146.6</v>
          </cell>
          <cell r="L241">
            <v>173.2</v>
          </cell>
          <cell r="M241">
            <v>131.6</v>
          </cell>
          <cell r="N241">
            <v>113.2</v>
          </cell>
          <cell r="O241">
            <v>144.1</v>
          </cell>
          <cell r="P241">
            <v>135</v>
          </cell>
          <cell r="Q241">
            <v>156.80000000000001</v>
          </cell>
          <cell r="R241">
            <v>147</v>
          </cell>
          <cell r="S241">
            <v>166.5</v>
          </cell>
          <cell r="T241">
            <v>149.19999999999999</v>
          </cell>
          <cell r="U241">
            <v>140.6</v>
          </cell>
          <cell r="V241">
            <v>147.9</v>
          </cell>
          <cell r="Z241">
            <v>149</v>
          </cell>
          <cell r="AA241">
            <v>126.1</v>
          </cell>
          <cell r="AB241">
            <v>141.30000000000001</v>
          </cell>
          <cell r="AC241">
            <v>155.19999999999999</v>
          </cell>
          <cell r="AD241">
            <v>139.69999999999999</v>
          </cell>
          <cell r="AE241">
            <v>140.69999999999999</v>
          </cell>
          <cell r="AF241">
            <v>145.80000000000001</v>
          </cell>
        </row>
        <row r="242">
          <cell r="A242" t="str">
            <v>Rural</v>
          </cell>
          <cell r="B242">
            <v>2019</v>
          </cell>
          <cell r="C242" t="str">
            <v>October</v>
          </cell>
          <cell r="F242">
            <v>141</v>
          </cell>
          <cell r="G242">
            <v>161.6</v>
          </cell>
          <cell r="H242">
            <v>141.19999999999999</v>
          </cell>
          <cell r="I242">
            <v>146.5</v>
          </cell>
          <cell r="J242">
            <v>125.6</v>
          </cell>
          <cell r="K242">
            <v>145.69999999999999</v>
          </cell>
          <cell r="L242">
            <v>178.8</v>
          </cell>
          <cell r="M242">
            <v>133.1</v>
          </cell>
          <cell r="N242">
            <v>113.6</v>
          </cell>
          <cell r="O242">
            <v>145.5</v>
          </cell>
          <cell r="P242">
            <v>138.6</v>
          </cell>
          <cell r="Q242">
            <v>157.4</v>
          </cell>
          <cell r="R242">
            <v>148.30000000000001</v>
          </cell>
          <cell r="S242">
            <v>166.3</v>
          </cell>
          <cell r="T242">
            <v>151.69999999999999</v>
          </cell>
          <cell r="U242">
            <v>146.69999999999999</v>
          </cell>
          <cell r="V242">
            <v>151</v>
          </cell>
          <cell r="Z242">
            <v>153.69999999999999</v>
          </cell>
          <cell r="AA242">
            <v>131.69999999999999</v>
          </cell>
          <cell r="AB242">
            <v>148.69999999999999</v>
          </cell>
          <cell r="AC242">
            <v>160.69999999999999</v>
          </cell>
          <cell r="AD242">
            <v>140.30000000000001</v>
          </cell>
          <cell r="AE242">
            <v>145.69999999999999</v>
          </cell>
          <cell r="AF242">
            <v>148.30000000000001</v>
          </cell>
        </row>
        <row r="243">
          <cell r="A243" t="str">
            <v>Urban</v>
          </cell>
          <cell r="B243">
            <v>2019</v>
          </cell>
          <cell r="C243" t="str">
            <v>October</v>
          </cell>
          <cell r="F243">
            <v>143.5</v>
          </cell>
          <cell r="G243">
            <v>159.80000000000001</v>
          </cell>
          <cell r="H243">
            <v>144.69999999999999</v>
          </cell>
          <cell r="I243">
            <v>145.6</v>
          </cell>
          <cell r="J243">
            <v>121.1</v>
          </cell>
          <cell r="K243">
            <v>150.6</v>
          </cell>
          <cell r="L243">
            <v>207.2</v>
          </cell>
          <cell r="M243">
            <v>131.19999999999999</v>
          </cell>
          <cell r="N243">
            <v>114.8</v>
          </cell>
          <cell r="O243">
            <v>145.19999999999999</v>
          </cell>
          <cell r="P243">
            <v>130.19999999999999</v>
          </cell>
          <cell r="Q243">
            <v>156.80000000000001</v>
          </cell>
          <cell r="R243">
            <v>151.9</v>
          </cell>
          <cell r="S243">
            <v>169.3</v>
          </cell>
          <cell r="T243">
            <v>145.9</v>
          </cell>
          <cell r="U243">
            <v>132.4</v>
          </cell>
          <cell r="V243">
            <v>143.9</v>
          </cell>
          <cell r="Z243">
            <v>142.4</v>
          </cell>
          <cell r="AA243">
            <v>121.5</v>
          </cell>
          <cell r="AB243">
            <v>136.19999999999999</v>
          </cell>
          <cell r="AC243">
            <v>151.69999999999999</v>
          </cell>
          <cell r="AD243">
            <v>139.5</v>
          </cell>
          <cell r="AE243">
            <v>136</v>
          </cell>
          <cell r="AF243">
            <v>146</v>
          </cell>
        </row>
        <row r="244">
          <cell r="A244" t="str">
            <v>Rural+Urban</v>
          </cell>
          <cell r="B244">
            <v>2019</v>
          </cell>
          <cell r="C244" t="str">
            <v>October</v>
          </cell>
          <cell r="F244">
            <v>141.80000000000001</v>
          </cell>
          <cell r="G244">
            <v>161</v>
          </cell>
          <cell r="H244">
            <v>142.6</v>
          </cell>
          <cell r="I244">
            <v>146.19999999999999</v>
          </cell>
          <cell r="J244">
            <v>123.9</v>
          </cell>
          <cell r="K244">
            <v>148</v>
          </cell>
          <cell r="L244">
            <v>188.4</v>
          </cell>
          <cell r="M244">
            <v>132.5</v>
          </cell>
          <cell r="N244">
            <v>114</v>
          </cell>
          <cell r="O244">
            <v>145.4</v>
          </cell>
          <cell r="P244">
            <v>135.1</v>
          </cell>
          <cell r="Q244">
            <v>157.1</v>
          </cell>
          <cell r="R244">
            <v>149.6</v>
          </cell>
          <cell r="S244">
            <v>167.1</v>
          </cell>
          <cell r="T244">
            <v>149.4</v>
          </cell>
          <cell r="U244">
            <v>140.80000000000001</v>
          </cell>
          <cell r="V244">
            <v>148.19999999999999</v>
          </cell>
          <cell r="Z244">
            <v>149.4</v>
          </cell>
          <cell r="AA244">
            <v>126.3</v>
          </cell>
          <cell r="AB244">
            <v>141.69999999999999</v>
          </cell>
          <cell r="AC244">
            <v>155.4</v>
          </cell>
          <cell r="AD244">
            <v>140</v>
          </cell>
          <cell r="AE244">
            <v>141</v>
          </cell>
          <cell r="AF244">
            <v>147.19999999999999</v>
          </cell>
        </row>
        <row r="245">
          <cell r="A245" t="str">
            <v>Rural</v>
          </cell>
          <cell r="B245">
            <v>2019</v>
          </cell>
          <cell r="C245" t="str">
            <v>November</v>
          </cell>
          <cell r="F245">
            <v>141.80000000000001</v>
          </cell>
          <cell r="G245">
            <v>163.69999999999999</v>
          </cell>
          <cell r="H245">
            <v>143.80000000000001</v>
          </cell>
          <cell r="I245">
            <v>147.1</v>
          </cell>
          <cell r="J245">
            <v>126</v>
          </cell>
          <cell r="K245">
            <v>146.19999999999999</v>
          </cell>
          <cell r="L245">
            <v>191.4</v>
          </cell>
          <cell r="M245">
            <v>136.19999999999999</v>
          </cell>
          <cell r="N245">
            <v>113.8</v>
          </cell>
          <cell r="O245">
            <v>147.30000000000001</v>
          </cell>
          <cell r="P245">
            <v>138.69999999999999</v>
          </cell>
          <cell r="Q245">
            <v>157.69999999999999</v>
          </cell>
          <cell r="R245">
            <v>150.9</v>
          </cell>
          <cell r="S245">
            <v>167.2</v>
          </cell>
          <cell r="T245">
            <v>152.30000000000001</v>
          </cell>
          <cell r="U245">
            <v>147</v>
          </cell>
          <cell r="V245">
            <v>151.5</v>
          </cell>
          <cell r="Z245">
            <v>154.30000000000001</v>
          </cell>
          <cell r="AA245">
            <v>132.1</v>
          </cell>
          <cell r="AB245">
            <v>149.1</v>
          </cell>
          <cell r="AC245">
            <v>160.80000000000001</v>
          </cell>
          <cell r="AD245">
            <v>140.6</v>
          </cell>
          <cell r="AE245">
            <v>146.1</v>
          </cell>
          <cell r="AF245">
            <v>149.9</v>
          </cell>
        </row>
        <row r="246">
          <cell r="A246" t="str">
            <v>Urban</v>
          </cell>
          <cell r="B246">
            <v>2019</v>
          </cell>
          <cell r="C246" t="str">
            <v>November</v>
          </cell>
          <cell r="F246">
            <v>144.1</v>
          </cell>
          <cell r="G246">
            <v>162.4</v>
          </cell>
          <cell r="H246">
            <v>148.4</v>
          </cell>
          <cell r="I246">
            <v>145.9</v>
          </cell>
          <cell r="J246">
            <v>121.5</v>
          </cell>
          <cell r="K246">
            <v>148.80000000000001</v>
          </cell>
          <cell r="L246">
            <v>215.7</v>
          </cell>
          <cell r="M246">
            <v>134.6</v>
          </cell>
          <cell r="N246">
            <v>115</v>
          </cell>
          <cell r="O246">
            <v>146.30000000000001</v>
          </cell>
          <cell r="P246">
            <v>130.5</v>
          </cell>
          <cell r="Q246">
            <v>157.19999999999999</v>
          </cell>
          <cell r="R246">
            <v>153.6</v>
          </cell>
          <cell r="S246">
            <v>169.9</v>
          </cell>
          <cell r="T246">
            <v>146.30000000000001</v>
          </cell>
          <cell r="U246">
            <v>132.6</v>
          </cell>
          <cell r="V246">
            <v>144.19999999999999</v>
          </cell>
          <cell r="Z246">
            <v>142.80000000000001</v>
          </cell>
          <cell r="AA246">
            <v>121.7</v>
          </cell>
          <cell r="AB246">
            <v>136.69999999999999</v>
          </cell>
          <cell r="AC246">
            <v>151.80000000000001</v>
          </cell>
          <cell r="AD246">
            <v>139.80000000000001</v>
          </cell>
          <cell r="AE246">
            <v>136.30000000000001</v>
          </cell>
          <cell r="AF246">
            <v>147</v>
          </cell>
        </row>
        <row r="247">
          <cell r="A247" t="str">
            <v>Rural+Urban</v>
          </cell>
          <cell r="B247">
            <v>2019</v>
          </cell>
          <cell r="C247" t="str">
            <v>November</v>
          </cell>
          <cell r="F247">
            <v>142.5</v>
          </cell>
          <cell r="G247">
            <v>163.19999999999999</v>
          </cell>
          <cell r="H247">
            <v>145.6</v>
          </cell>
          <cell r="I247">
            <v>146.69999999999999</v>
          </cell>
          <cell r="J247">
            <v>124.3</v>
          </cell>
          <cell r="K247">
            <v>147.4</v>
          </cell>
          <cell r="L247">
            <v>199.6</v>
          </cell>
          <cell r="M247">
            <v>135.69999999999999</v>
          </cell>
          <cell r="N247">
            <v>114.2</v>
          </cell>
          <cell r="O247">
            <v>147</v>
          </cell>
          <cell r="P247">
            <v>135.30000000000001</v>
          </cell>
          <cell r="Q247">
            <v>157.5</v>
          </cell>
          <cell r="R247">
            <v>151.9</v>
          </cell>
          <cell r="S247">
            <v>167.9</v>
          </cell>
          <cell r="T247">
            <v>149.9</v>
          </cell>
          <cell r="U247">
            <v>141</v>
          </cell>
          <cell r="V247">
            <v>148.6</v>
          </cell>
          <cell r="Z247">
            <v>149.9</v>
          </cell>
          <cell r="AA247">
            <v>126.6</v>
          </cell>
          <cell r="AB247">
            <v>142.1</v>
          </cell>
          <cell r="AC247">
            <v>155.5</v>
          </cell>
          <cell r="AD247">
            <v>140.30000000000001</v>
          </cell>
          <cell r="AE247">
            <v>141.30000000000001</v>
          </cell>
          <cell r="AF247">
            <v>148.6</v>
          </cell>
        </row>
        <row r="248">
          <cell r="A248" t="str">
            <v>Rural</v>
          </cell>
          <cell r="B248">
            <v>2019</v>
          </cell>
          <cell r="C248" t="str">
            <v>December</v>
          </cell>
          <cell r="F248">
            <v>142.80000000000001</v>
          </cell>
          <cell r="G248">
            <v>165.3</v>
          </cell>
          <cell r="H248">
            <v>149.5</v>
          </cell>
          <cell r="I248">
            <v>148.69999999999999</v>
          </cell>
          <cell r="J248">
            <v>127.5</v>
          </cell>
          <cell r="K248">
            <v>144.30000000000001</v>
          </cell>
          <cell r="L248">
            <v>209.5</v>
          </cell>
          <cell r="M248">
            <v>138.80000000000001</v>
          </cell>
          <cell r="N248">
            <v>113.6</v>
          </cell>
          <cell r="O248">
            <v>149.1</v>
          </cell>
          <cell r="P248">
            <v>139.30000000000001</v>
          </cell>
          <cell r="Q248">
            <v>158.30000000000001</v>
          </cell>
          <cell r="R248">
            <v>154.30000000000001</v>
          </cell>
          <cell r="S248">
            <v>167.8</v>
          </cell>
          <cell r="T248">
            <v>152.6</v>
          </cell>
          <cell r="U248">
            <v>147.30000000000001</v>
          </cell>
          <cell r="V248">
            <v>151.9</v>
          </cell>
          <cell r="Z248">
            <v>154.80000000000001</v>
          </cell>
          <cell r="AA248">
            <v>135</v>
          </cell>
          <cell r="AB248">
            <v>149.5</v>
          </cell>
          <cell r="AC248">
            <v>161.1</v>
          </cell>
          <cell r="AD248">
            <v>140.6</v>
          </cell>
          <cell r="AE248">
            <v>147.1</v>
          </cell>
          <cell r="AF248">
            <v>152.30000000000001</v>
          </cell>
        </row>
        <row r="249">
          <cell r="A249" t="str">
            <v>Urban</v>
          </cell>
          <cell r="B249">
            <v>2019</v>
          </cell>
          <cell r="C249" t="str">
            <v>December</v>
          </cell>
          <cell r="F249">
            <v>144.9</v>
          </cell>
          <cell r="G249">
            <v>164.5</v>
          </cell>
          <cell r="H249">
            <v>153.69999999999999</v>
          </cell>
          <cell r="I249">
            <v>147.5</v>
          </cell>
          <cell r="J249">
            <v>122.7</v>
          </cell>
          <cell r="K249">
            <v>147.19999999999999</v>
          </cell>
          <cell r="L249">
            <v>231.5</v>
          </cell>
          <cell r="M249">
            <v>137.19999999999999</v>
          </cell>
          <cell r="N249">
            <v>114.7</v>
          </cell>
          <cell r="O249">
            <v>148</v>
          </cell>
          <cell r="P249">
            <v>130.80000000000001</v>
          </cell>
          <cell r="Q249">
            <v>157.69999999999999</v>
          </cell>
          <cell r="R249">
            <v>156.30000000000001</v>
          </cell>
          <cell r="S249">
            <v>170.4</v>
          </cell>
          <cell r="T249">
            <v>146.80000000000001</v>
          </cell>
          <cell r="U249">
            <v>132.80000000000001</v>
          </cell>
          <cell r="V249">
            <v>144.6</v>
          </cell>
          <cell r="Z249">
            <v>143.19999999999999</v>
          </cell>
          <cell r="AA249">
            <v>125.2</v>
          </cell>
          <cell r="AB249">
            <v>136.80000000000001</v>
          </cell>
          <cell r="AC249">
            <v>151.9</v>
          </cell>
          <cell r="AD249">
            <v>140.19999999999999</v>
          </cell>
          <cell r="AE249">
            <v>137.69999999999999</v>
          </cell>
          <cell r="AF249">
            <v>148.30000000000001</v>
          </cell>
        </row>
        <row r="250">
          <cell r="A250" t="str">
            <v>Rural+Urban</v>
          </cell>
          <cell r="B250">
            <v>2019</v>
          </cell>
          <cell r="C250" t="str">
            <v>December</v>
          </cell>
          <cell r="F250">
            <v>143.5</v>
          </cell>
          <cell r="G250">
            <v>165</v>
          </cell>
          <cell r="H250">
            <v>151.1</v>
          </cell>
          <cell r="I250">
            <v>148.30000000000001</v>
          </cell>
          <cell r="J250">
            <v>125.7</v>
          </cell>
          <cell r="K250">
            <v>145.69999999999999</v>
          </cell>
          <cell r="L250">
            <v>217</v>
          </cell>
          <cell r="M250">
            <v>138.30000000000001</v>
          </cell>
          <cell r="N250">
            <v>114</v>
          </cell>
          <cell r="O250">
            <v>148.69999999999999</v>
          </cell>
          <cell r="P250">
            <v>135.80000000000001</v>
          </cell>
          <cell r="Q250">
            <v>158</v>
          </cell>
          <cell r="R250">
            <v>155</v>
          </cell>
          <cell r="S250">
            <v>168.5</v>
          </cell>
          <cell r="T250">
            <v>150.30000000000001</v>
          </cell>
          <cell r="U250">
            <v>141.30000000000001</v>
          </cell>
          <cell r="V250">
            <v>149</v>
          </cell>
          <cell r="Z250">
            <v>150.4</v>
          </cell>
          <cell r="AA250">
            <v>129.80000000000001</v>
          </cell>
          <cell r="AB250">
            <v>142.30000000000001</v>
          </cell>
          <cell r="AC250">
            <v>155.69999999999999</v>
          </cell>
          <cell r="AD250">
            <v>140.4</v>
          </cell>
          <cell r="AE250">
            <v>142.5</v>
          </cell>
          <cell r="AF250">
            <v>150.4</v>
          </cell>
        </row>
        <row r="251">
          <cell r="A251" t="str">
            <v>Rural</v>
          </cell>
          <cell r="B251">
            <v>2020</v>
          </cell>
          <cell r="C251" t="str">
            <v>January</v>
          </cell>
          <cell r="F251">
            <v>143.69999999999999</v>
          </cell>
          <cell r="G251">
            <v>167.3</v>
          </cell>
          <cell r="H251">
            <v>153.5</v>
          </cell>
          <cell r="I251">
            <v>150.5</v>
          </cell>
          <cell r="J251">
            <v>132</v>
          </cell>
          <cell r="K251">
            <v>142.19999999999999</v>
          </cell>
          <cell r="L251">
            <v>191.5</v>
          </cell>
          <cell r="M251">
            <v>141.1</v>
          </cell>
          <cell r="N251">
            <v>113.8</v>
          </cell>
          <cell r="O251">
            <v>151.6</v>
          </cell>
          <cell r="P251">
            <v>139.69999999999999</v>
          </cell>
          <cell r="Q251">
            <v>158.69999999999999</v>
          </cell>
          <cell r="R251">
            <v>153</v>
          </cell>
          <cell r="S251">
            <v>168.6</v>
          </cell>
          <cell r="T251">
            <v>152.80000000000001</v>
          </cell>
          <cell r="U251">
            <v>147.4</v>
          </cell>
          <cell r="V251">
            <v>152.1</v>
          </cell>
          <cell r="Z251">
            <v>155.69999999999999</v>
          </cell>
          <cell r="AA251">
            <v>136.30000000000001</v>
          </cell>
          <cell r="AB251">
            <v>150.1</v>
          </cell>
          <cell r="AC251">
            <v>161.69999999999999</v>
          </cell>
          <cell r="AD251">
            <v>142.5</v>
          </cell>
          <cell r="AE251">
            <v>148.1</v>
          </cell>
          <cell r="AF251">
            <v>151.9</v>
          </cell>
        </row>
        <row r="252">
          <cell r="A252" t="str">
            <v>Urban</v>
          </cell>
          <cell r="B252">
            <v>2020</v>
          </cell>
          <cell r="C252" t="str">
            <v>January</v>
          </cell>
          <cell r="F252">
            <v>145.6</v>
          </cell>
          <cell r="G252">
            <v>167.6</v>
          </cell>
          <cell r="H252">
            <v>157</v>
          </cell>
          <cell r="I252">
            <v>149.30000000000001</v>
          </cell>
          <cell r="J252">
            <v>126.3</v>
          </cell>
          <cell r="K252">
            <v>144.4</v>
          </cell>
          <cell r="L252">
            <v>207.8</v>
          </cell>
          <cell r="M252">
            <v>139.1</v>
          </cell>
          <cell r="N252">
            <v>114.8</v>
          </cell>
          <cell r="O252">
            <v>149.5</v>
          </cell>
          <cell r="P252">
            <v>131.1</v>
          </cell>
          <cell r="Q252">
            <v>158.5</v>
          </cell>
          <cell r="R252">
            <v>154.4</v>
          </cell>
          <cell r="S252">
            <v>170.8</v>
          </cell>
          <cell r="T252">
            <v>147</v>
          </cell>
          <cell r="U252">
            <v>133.19999999999999</v>
          </cell>
          <cell r="V252">
            <v>144.9</v>
          </cell>
          <cell r="Z252">
            <v>143.80000000000001</v>
          </cell>
          <cell r="AA252">
            <v>126.1</v>
          </cell>
          <cell r="AB252">
            <v>137.19999999999999</v>
          </cell>
          <cell r="AC252">
            <v>152.1</v>
          </cell>
          <cell r="AD252">
            <v>142.1</v>
          </cell>
          <cell r="AE252">
            <v>138.4</v>
          </cell>
          <cell r="AF252">
            <v>148.19999999999999</v>
          </cell>
        </row>
        <row r="253">
          <cell r="A253" t="str">
            <v>Rural+Urban</v>
          </cell>
          <cell r="B253">
            <v>2020</v>
          </cell>
          <cell r="C253" t="str">
            <v>January</v>
          </cell>
          <cell r="F253">
            <v>144.30000000000001</v>
          </cell>
          <cell r="G253">
            <v>167.4</v>
          </cell>
          <cell r="H253">
            <v>154.9</v>
          </cell>
          <cell r="I253">
            <v>150.1</v>
          </cell>
          <cell r="J253">
            <v>129.9</v>
          </cell>
          <cell r="K253">
            <v>143.19999999999999</v>
          </cell>
          <cell r="L253">
            <v>197</v>
          </cell>
          <cell r="M253">
            <v>140.4</v>
          </cell>
          <cell r="N253">
            <v>114.1</v>
          </cell>
          <cell r="O253">
            <v>150.9</v>
          </cell>
          <cell r="P253">
            <v>136.1</v>
          </cell>
          <cell r="Q253">
            <v>158.6</v>
          </cell>
          <cell r="R253">
            <v>153.5</v>
          </cell>
          <cell r="S253">
            <v>169.2</v>
          </cell>
          <cell r="T253">
            <v>150.5</v>
          </cell>
          <cell r="U253">
            <v>141.5</v>
          </cell>
          <cell r="V253">
            <v>149.19999999999999</v>
          </cell>
          <cell r="Z253">
            <v>151.19999999999999</v>
          </cell>
          <cell r="AA253">
            <v>130.9</v>
          </cell>
          <cell r="AB253">
            <v>142.80000000000001</v>
          </cell>
          <cell r="AC253">
            <v>156.1</v>
          </cell>
          <cell r="AD253">
            <v>142.30000000000001</v>
          </cell>
          <cell r="AE253">
            <v>143.4</v>
          </cell>
          <cell r="AF253">
            <v>150.19999999999999</v>
          </cell>
        </row>
        <row r="254">
          <cell r="A254" t="str">
            <v>Rural</v>
          </cell>
          <cell r="B254">
            <v>2020</v>
          </cell>
          <cell r="C254" t="str">
            <v>February</v>
          </cell>
          <cell r="F254">
            <v>144.19999999999999</v>
          </cell>
          <cell r="G254">
            <v>167.5</v>
          </cell>
          <cell r="H254">
            <v>150.9</v>
          </cell>
          <cell r="I254">
            <v>150.9</v>
          </cell>
          <cell r="J254">
            <v>133.69999999999999</v>
          </cell>
          <cell r="K254">
            <v>140.69999999999999</v>
          </cell>
          <cell r="L254">
            <v>165.1</v>
          </cell>
          <cell r="M254">
            <v>141.80000000000001</v>
          </cell>
          <cell r="N254">
            <v>113.1</v>
          </cell>
          <cell r="O254">
            <v>152.80000000000001</v>
          </cell>
          <cell r="P254">
            <v>140.1</v>
          </cell>
          <cell r="Q254">
            <v>159.19999999999999</v>
          </cell>
          <cell r="R254">
            <v>149.80000000000001</v>
          </cell>
          <cell r="S254">
            <v>169.4</v>
          </cell>
          <cell r="T254">
            <v>153</v>
          </cell>
          <cell r="U254">
            <v>147.5</v>
          </cell>
          <cell r="V254">
            <v>152.30000000000001</v>
          </cell>
          <cell r="Z254">
            <v>156.19999999999999</v>
          </cell>
          <cell r="AA254">
            <v>136</v>
          </cell>
          <cell r="AB254">
            <v>150.4</v>
          </cell>
          <cell r="AC254">
            <v>161.9</v>
          </cell>
          <cell r="AD254">
            <v>143.4</v>
          </cell>
          <cell r="AE254">
            <v>148.4</v>
          </cell>
          <cell r="AF254">
            <v>150.4</v>
          </cell>
        </row>
        <row r="255">
          <cell r="A255" t="str">
            <v>Urban</v>
          </cell>
          <cell r="B255">
            <v>2020</v>
          </cell>
          <cell r="C255" t="str">
            <v>February</v>
          </cell>
          <cell r="F255">
            <v>146.19999999999999</v>
          </cell>
          <cell r="G255">
            <v>167.6</v>
          </cell>
          <cell r="H255">
            <v>153.1</v>
          </cell>
          <cell r="I255">
            <v>150.69999999999999</v>
          </cell>
          <cell r="J255">
            <v>127.4</v>
          </cell>
          <cell r="K255">
            <v>143.1</v>
          </cell>
          <cell r="L255">
            <v>181.7</v>
          </cell>
          <cell r="M255">
            <v>139.6</v>
          </cell>
          <cell r="N255">
            <v>114.6</v>
          </cell>
          <cell r="O255">
            <v>150.4</v>
          </cell>
          <cell r="P255">
            <v>131.5</v>
          </cell>
          <cell r="Q255">
            <v>159</v>
          </cell>
          <cell r="R255">
            <v>151.69999999999999</v>
          </cell>
          <cell r="S255">
            <v>172</v>
          </cell>
          <cell r="T255">
            <v>147.30000000000001</v>
          </cell>
          <cell r="U255">
            <v>133.5</v>
          </cell>
          <cell r="V255">
            <v>145.19999999999999</v>
          </cell>
          <cell r="Z255">
            <v>144.4</v>
          </cell>
          <cell r="AA255">
            <v>125.2</v>
          </cell>
          <cell r="AB255">
            <v>137.69999999999999</v>
          </cell>
          <cell r="AC255">
            <v>152.19999999999999</v>
          </cell>
          <cell r="AD255">
            <v>143.5</v>
          </cell>
          <cell r="AE255">
            <v>138.4</v>
          </cell>
          <cell r="AF255">
            <v>147.69999999999999</v>
          </cell>
        </row>
        <row r="256">
          <cell r="A256" t="str">
            <v>Rural+Urban</v>
          </cell>
          <cell r="B256">
            <v>2020</v>
          </cell>
          <cell r="C256" t="str">
            <v>February</v>
          </cell>
          <cell r="F256">
            <v>144.80000000000001</v>
          </cell>
          <cell r="G256">
            <v>167.5</v>
          </cell>
          <cell r="H256">
            <v>151.80000000000001</v>
          </cell>
          <cell r="I256">
            <v>150.80000000000001</v>
          </cell>
          <cell r="J256">
            <v>131.4</v>
          </cell>
          <cell r="K256">
            <v>141.80000000000001</v>
          </cell>
          <cell r="L256">
            <v>170.7</v>
          </cell>
          <cell r="M256">
            <v>141.1</v>
          </cell>
          <cell r="N256">
            <v>113.6</v>
          </cell>
          <cell r="O256">
            <v>152</v>
          </cell>
          <cell r="P256">
            <v>136.5</v>
          </cell>
          <cell r="Q256">
            <v>159.1</v>
          </cell>
          <cell r="R256">
            <v>150.5</v>
          </cell>
          <cell r="S256">
            <v>170.1</v>
          </cell>
          <cell r="T256">
            <v>150.80000000000001</v>
          </cell>
          <cell r="U256">
            <v>141.69999999999999</v>
          </cell>
          <cell r="V256">
            <v>149.5</v>
          </cell>
          <cell r="Z256">
            <v>151.69999999999999</v>
          </cell>
          <cell r="AA256">
            <v>130.30000000000001</v>
          </cell>
          <cell r="AB256">
            <v>143.19999999999999</v>
          </cell>
          <cell r="AC256">
            <v>156.19999999999999</v>
          </cell>
          <cell r="AD256">
            <v>143.4</v>
          </cell>
          <cell r="AE256">
            <v>143.6</v>
          </cell>
          <cell r="AF256">
            <v>149.1</v>
          </cell>
        </row>
        <row r="257">
          <cell r="A257" t="str">
            <v>Rural</v>
          </cell>
          <cell r="B257">
            <v>2020</v>
          </cell>
          <cell r="C257" t="str">
            <v>March</v>
          </cell>
          <cell r="F257">
            <v>144.4</v>
          </cell>
          <cell r="G257">
            <v>166.8</v>
          </cell>
          <cell r="H257">
            <v>147.6</v>
          </cell>
          <cell r="I257">
            <v>151.69999999999999</v>
          </cell>
          <cell r="J257">
            <v>133.30000000000001</v>
          </cell>
          <cell r="K257">
            <v>141.80000000000001</v>
          </cell>
          <cell r="L257">
            <v>152.30000000000001</v>
          </cell>
          <cell r="M257">
            <v>141.80000000000001</v>
          </cell>
          <cell r="N257">
            <v>112.6</v>
          </cell>
          <cell r="O257">
            <v>154</v>
          </cell>
          <cell r="P257">
            <v>140.1</v>
          </cell>
          <cell r="Q257">
            <v>160</v>
          </cell>
          <cell r="R257">
            <v>148.19999999999999</v>
          </cell>
          <cell r="S257">
            <v>170.5</v>
          </cell>
          <cell r="T257">
            <v>153.4</v>
          </cell>
          <cell r="U257">
            <v>147.6</v>
          </cell>
          <cell r="V257">
            <v>152.5</v>
          </cell>
          <cell r="Z257">
            <v>156.69999999999999</v>
          </cell>
          <cell r="AA257">
            <v>135.80000000000001</v>
          </cell>
          <cell r="AB257">
            <v>151.19999999999999</v>
          </cell>
          <cell r="AC257">
            <v>161.19999999999999</v>
          </cell>
          <cell r="AD257">
            <v>145.1</v>
          </cell>
          <cell r="AE257">
            <v>148.6</v>
          </cell>
          <cell r="AF257">
            <v>149.80000000000001</v>
          </cell>
        </row>
        <row r="258">
          <cell r="A258" t="str">
            <v>Urban</v>
          </cell>
          <cell r="B258">
            <v>2020</v>
          </cell>
          <cell r="C258" t="str">
            <v>March</v>
          </cell>
          <cell r="F258">
            <v>146.5</v>
          </cell>
          <cell r="G258">
            <v>167.5</v>
          </cell>
          <cell r="H258">
            <v>148.9</v>
          </cell>
          <cell r="I258">
            <v>151.1</v>
          </cell>
          <cell r="J258">
            <v>127.5</v>
          </cell>
          <cell r="K258">
            <v>143.30000000000001</v>
          </cell>
          <cell r="L258">
            <v>167</v>
          </cell>
          <cell r="M258">
            <v>139.69999999999999</v>
          </cell>
          <cell r="N258">
            <v>114.4</v>
          </cell>
          <cell r="O258">
            <v>151.5</v>
          </cell>
          <cell r="P258">
            <v>131.9</v>
          </cell>
          <cell r="Q258">
            <v>159.1</v>
          </cell>
          <cell r="R258">
            <v>150.1</v>
          </cell>
          <cell r="S258">
            <v>173.3</v>
          </cell>
          <cell r="T258">
            <v>147.69999999999999</v>
          </cell>
          <cell r="U258">
            <v>133.80000000000001</v>
          </cell>
          <cell r="V258">
            <v>145.6</v>
          </cell>
          <cell r="Z258">
            <v>145</v>
          </cell>
          <cell r="AA258">
            <v>124.6</v>
          </cell>
          <cell r="AB258">
            <v>137.9</v>
          </cell>
          <cell r="AC258">
            <v>152.5</v>
          </cell>
          <cell r="AD258">
            <v>145.30000000000001</v>
          </cell>
          <cell r="AE258">
            <v>138.69999999999999</v>
          </cell>
          <cell r="AF258">
            <v>147.30000000000001</v>
          </cell>
        </row>
        <row r="259">
          <cell r="A259" t="str">
            <v>Rural+Urban</v>
          </cell>
          <cell r="B259">
            <v>2020</v>
          </cell>
          <cell r="C259" t="str">
            <v>March</v>
          </cell>
          <cell r="F259">
            <v>145.1</v>
          </cell>
          <cell r="G259">
            <v>167</v>
          </cell>
          <cell r="H259">
            <v>148.1</v>
          </cell>
          <cell r="I259">
            <v>151.5</v>
          </cell>
          <cell r="J259">
            <v>131.19999999999999</v>
          </cell>
          <cell r="K259">
            <v>142.5</v>
          </cell>
          <cell r="L259">
            <v>157.30000000000001</v>
          </cell>
          <cell r="M259">
            <v>141.1</v>
          </cell>
          <cell r="N259">
            <v>113.2</v>
          </cell>
          <cell r="O259">
            <v>153.19999999999999</v>
          </cell>
          <cell r="P259">
            <v>136.69999999999999</v>
          </cell>
          <cell r="Q259">
            <v>159.6</v>
          </cell>
          <cell r="R259">
            <v>148.9</v>
          </cell>
          <cell r="S259">
            <v>171.2</v>
          </cell>
          <cell r="T259">
            <v>151.19999999999999</v>
          </cell>
          <cell r="U259">
            <v>141.9</v>
          </cell>
          <cell r="V259">
            <v>149.80000000000001</v>
          </cell>
          <cell r="Z259">
            <v>152.30000000000001</v>
          </cell>
          <cell r="AA259">
            <v>129.9</v>
          </cell>
          <cell r="AB259">
            <v>143.69999999999999</v>
          </cell>
          <cell r="AC259">
            <v>156.1</v>
          </cell>
          <cell r="AD259">
            <v>145.19999999999999</v>
          </cell>
          <cell r="AE259">
            <v>143.80000000000001</v>
          </cell>
          <cell r="AF259">
            <v>148.6</v>
          </cell>
        </row>
        <row r="260">
          <cell r="A260" t="str">
            <v>Rural</v>
          </cell>
          <cell r="B260">
            <v>2020</v>
          </cell>
          <cell r="C260" t="str">
            <v>June</v>
          </cell>
          <cell r="F260">
            <v>148.19999999999999</v>
          </cell>
          <cell r="G260">
            <v>190.3</v>
          </cell>
          <cell r="H260">
            <v>149.4</v>
          </cell>
          <cell r="I260">
            <v>153.30000000000001</v>
          </cell>
          <cell r="J260">
            <v>138.19999999999999</v>
          </cell>
          <cell r="K260">
            <v>143.19999999999999</v>
          </cell>
          <cell r="L260">
            <v>148.9</v>
          </cell>
          <cell r="M260">
            <v>150.30000000000001</v>
          </cell>
          <cell r="N260">
            <v>113.2</v>
          </cell>
          <cell r="O260">
            <v>159.80000000000001</v>
          </cell>
          <cell r="P260">
            <v>142.1</v>
          </cell>
          <cell r="Q260">
            <v>161.80000000000001</v>
          </cell>
          <cell r="R260">
            <v>152.30000000000001</v>
          </cell>
          <cell r="S260">
            <v>182.4</v>
          </cell>
          <cell r="T260">
            <v>154.69999999999999</v>
          </cell>
          <cell r="U260">
            <v>150</v>
          </cell>
          <cell r="V260">
            <v>154.1</v>
          </cell>
          <cell r="Z260">
            <v>158.19999999999999</v>
          </cell>
          <cell r="AA260">
            <v>141.4</v>
          </cell>
          <cell r="AB260">
            <v>153.19999999999999</v>
          </cell>
          <cell r="AC260">
            <v>161.80000000000001</v>
          </cell>
          <cell r="AD260">
            <v>151.19999999999999</v>
          </cell>
          <cell r="AE260">
            <v>151.69999999999999</v>
          </cell>
          <cell r="AF260">
            <v>152.69999999999999</v>
          </cell>
        </row>
        <row r="261">
          <cell r="A261" t="str">
            <v>Urban</v>
          </cell>
          <cell r="B261">
            <v>2020</v>
          </cell>
          <cell r="C261" t="str">
            <v>June</v>
          </cell>
          <cell r="F261">
            <v>152.69999999999999</v>
          </cell>
          <cell r="G261">
            <v>197</v>
          </cell>
          <cell r="H261">
            <v>154.6</v>
          </cell>
          <cell r="I261">
            <v>153.4</v>
          </cell>
          <cell r="J261">
            <v>132.9</v>
          </cell>
          <cell r="K261">
            <v>151.80000000000001</v>
          </cell>
          <cell r="L261">
            <v>171.2</v>
          </cell>
          <cell r="M261">
            <v>152</v>
          </cell>
          <cell r="N261">
            <v>116.3</v>
          </cell>
          <cell r="O261">
            <v>158.80000000000001</v>
          </cell>
          <cell r="P261">
            <v>135.6</v>
          </cell>
          <cell r="Q261">
            <v>161.69999999999999</v>
          </cell>
          <cell r="R261">
            <v>157</v>
          </cell>
          <cell r="S261">
            <v>186.7</v>
          </cell>
          <cell r="T261">
            <v>149.1</v>
          </cell>
          <cell r="U261">
            <v>136.6</v>
          </cell>
          <cell r="V261">
            <v>147.19999999999999</v>
          </cell>
          <cell r="Z261">
            <v>148.1</v>
          </cell>
          <cell r="AA261">
            <v>129.30000000000001</v>
          </cell>
          <cell r="AB261">
            <v>144.5</v>
          </cell>
          <cell r="AC261">
            <v>152.5</v>
          </cell>
          <cell r="AD261">
            <v>152.19999999999999</v>
          </cell>
          <cell r="AE261">
            <v>142</v>
          </cell>
          <cell r="AF261">
            <v>150.80000000000001</v>
          </cell>
        </row>
        <row r="262">
          <cell r="A262" t="str">
            <v>Rural+Urban</v>
          </cell>
          <cell r="B262">
            <v>2020</v>
          </cell>
          <cell r="C262" t="str">
            <v>June</v>
          </cell>
          <cell r="F262">
            <v>149.6</v>
          </cell>
          <cell r="G262">
            <v>192.7</v>
          </cell>
          <cell r="H262">
            <v>151.4</v>
          </cell>
          <cell r="I262">
            <v>153.30000000000001</v>
          </cell>
          <cell r="J262">
            <v>136.30000000000001</v>
          </cell>
          <cell r="K262">
            <v>147.19999999999999</v>
          </cell>
          <cell r="L262">
            <v>156.5</v>
          </cell>
          <cell r="M262">
            <v>150.9</v>
          </cell>
          <cell r="N262">
            <v>114.2</v>
          </cell>
          <cell r="O262">
            <v>159.5</v>
          </cell>
          <cell r="P262">
            <v>139.4</v>
          </cell>
          <cell r="Q262">
            <v>161.80000000000001</v>
          </cell>
          <cell r="R262">
            <v>154</v>
          </cell>
          <cell r="S262">
            <v>183.5</v>
          </cell>
          <cell r="T262">
            <v>152.5</v>
          </cell>
          <cell r="U262">
            <v>144.4</v>
          </cell>
          <cell r="V262">
            <v>151.4</v>
          </cell>
          <cell r="Z262">
            <v>154.4</v>
          </cell>
          <cell r="AA262">
            <v>135</v>
          </cell>
          <cell r="AB262">
            <v>148.30000000000001</v>
          </cell>
          <cell r="AC262">
            <v>156.4</v>
          </cell>
          <cell r="AD262">
            <v>151.6</v>
          </cell>
          <cell r="AE262">
            <v>147</v>
          </cell>
          <cell r="AF262">
            <v>151.80000000000001</v>
          </cell>
        </row>
        <row r="263">
          <cell r="A263" t="str">
            <v>Rural</v>
          </cell>
          <cell r="B263">
            <v>2020</v>
          </cell>
          <cell r="C263" t="str">
            <v>July</v>
          </cell>
          <cell r="F263">
            <v>148.19999999999999</v>
          </cell>
          <cell r="G263">
            <v>190.3</v>
          </cell>
          <cell r="H263">
            <v>149.4</v>
          </cell>
          <cell r="I263">
            <v>153.30000000000001</v>
          </cell>
          <cell r="J263">
            <v>138.19999999999999</v>
          </cell>
          <cell r="K263">
            <v>143.19999999999999</v>
          </cell>
          <cell r="L263">
            <v>148.9</v>
          </cell>
          <cell r="M263">
            <v>150.30000000000001</v>
          </cell>
          <cell r="N263">
            <v>113.2</v>
          </cell>
          <cell r="O263">
            <v>159.80000000000001</v>
          </cell>
          <cell r="P263">
            <v>142.1</v>
          </cell>
          <cell r="Q263">
            <v>161.80000000000001</v>
          </cell>
          <cell r="R263">
            <v>152.30000000000001</v>
          </cell>
          <cell r="S263">
            <v>182.4</v>
          </cell>
          <cell r="T263">
            <v>154.69999999999999</v>
          </cell>
          <cell r="U263">
            <v>150</v>
          </cell>
          <cell r="V263">
            <v>154.1</v>
          </cell>
          <cell r="Z263">
            <v>158.19999999999999</v>
          </cell>
          <cell r="AA263">
            <v>141.4</v>
          </cell>
          <cell r="AB263">
            <v>153.19999999999999</v>
          </cell>
          <cell r="AC263">
            <v>161.80000000000001</v>
          </cell>
          <cell r="AD263">
            <v>151.19999999999999</v>
          </cell>
          <cell r="AE263">
            <v>151.69999999999999</v>
          </cell>
          <cell r="AF263">
            <v>152.69999999999999</v>
          </cell>
        </row>
        <row r="264">
          <cell r="A264" t="str">
            <v>Urban</v>
          </cell>
          <cell r="B264">
            <v>2020</v>
          </cell>
          <cell r="C264" t="str">
            <v>July</v>
          </cell>
          <cell r="F264">
            <v>152.69999999999999</v>
          </cell>
          <cell r="G264">
            <v>197</v>
          </cell>
          <cell r="H264">
            <v>154.6</v>
          </cell>
          <cell r="I264">
            <v>153.4</v>
          </cell>
          <cell r="J264">
            <v>132.9</v>
          </cell>
          <cell r="K264">
            <v>151.80000000000001</v>
          </cell>
          <cell r="L264">
            <v>171.2</v>
          </cell>
          <cell r="M264">
            <v>152</v>
          </cell>
          <cell r="N264">
            <v>116.3</v>
          </cell>
          <cell r="O264">
            <v>158.80000000000001</v>
          </cell>
          <cell r="P264">
            <v>135.6</v>
          </cell>
          <cell r="Q264">
            <v>161.69999999999999</v>
          </cell>
          <cell r="R264">
            <v>157</v>
          </cell>
          <cell r="S264">
            <v>186.7</v>
          </cell>
          <cell r="T264">
            <v>149.1</v>
          </cell>
          <cell r="U264">
            <v>136.6</v>
          </cell>
          <cell r="V264">
            <v>147.19999999999999</v>
          </cell>
          <cell r="Z264">
            <v>148.1</v>
          </cell>
          <cell r="AA264">
            <v>129.30000000000001</v>
          </cell>
          <cell r="AB264">
            <v>144.5</v>
          </cell>
          <cell r="AC264">
            <v>152.5</v>
          </cell>
          <cell r="AD264">
            <v>152.19999999999999</v>
          </cell>
          <cell r="AE264">
            <v>142</v>
          </cell>
          <cell r="AF264">
            <v>150.80000000000001</v>
          </cell>
        </row>
        <row r="265">
          <cell r="A265" t="str">
            <v>Rural+Urban</v>
          </cell>
          <cell r="B265">
            <v>2020</v>
          </cell>
          <cell r="C265" t="str">
            <v>July</v>
          </cell>
          <cell r="F265">
            <v>149.6</v>
          </cell>
          <cell r="G265">
            <v>192.7</v>
          </cell>
          <cell r="H265">
            <v>151.4</v>
          </cell>
          <cell r="I265">
            <v>153.30000000000001</v>
          </cell>
          <cell r="J265">
            <v>136.30000000000001</v>
          </cell>
          <cell r="K265">
            <v>147.19999999999999</v>
          </cell>
          <cell r="L265">
            <v>156.5</v>
          </cell>
          <cell r="M265">
            <v>150.9</v>
          </cell>
          <cell r="N265">
            <v>114.2</v>
          </cell>
          <cell r="O265">
            <v>159.5</v>
          </cell>
          <cell r="P265">
            <v>139.4</v>
          </cell>
          <cell r="Q265">
            <v>161.80000000000001</v>
          </cell>
          <cell r="R265">
            <v>154</v>
          </cell>
          <cell r="S265">
            <v>183.5</v>
          </cell>
          <cell r="T265">
            <v>152.5</v>
          </cell>
          <cell r="U265">
            <v>144.4</v>
          </cell>
          <cell r="V265">
            <v>151.4</v>
          </cell>
          <cell r="Z265">
            <v>154.4</v>
          </cell>
          <cell r="AA265">
            <v>135</v>
          </cell>
          <cell r="AB265">
            <v>148.30000000000001</v>
          </cell>
          <cell r="AC265">
            <v>156.4</v>
          </cell>
          <cell r="AD265">
            <v>151.6</v>
          </cell>
          <cell r="AE265">
            <v>147</v>
          </cell>
          <cell r="AF265">
            <v>151.80000000000001</v>
          </cell>
        </row>
        <row r="266">
          <cell r="A266" t="str">
            <v>Rural</v>
          </cell>
          <cell r="B266">
            <v>2020</v>
          </cell>
          <cell r="C266" t="str">
            <v>August</v>
          </cell>
          <cell r="F266">
            <v>147.6</v>
          </cell>
          <cell r="G266">
            <v>187.2</v>
          </cell>
          <cell r="H266">
            <v>148.4</v>
          </cell>
          <cell r="I266">
            <v>153.30000000000001</v>
          </cell>
          <cell r="J266">
            <v>139.80000000000001</v>
          </cell>
          <cell r="K266">
            <v>146.9</v>
          </cell>
          <cell r="L266">
            <v>171</v>
          </cell>
          <cell r="M266">
            <v>149.9</v>
          </cell>
          <cell r="N266">
            <v>114.2</v>
          </cell>
          <cell r="O266">
            <v>160</v>
          </cell>
          <cell r="P266">
            <v>143.5</v>
          </cell>
          <cell r="Q266">
            <v>161.5</v>
          </cell>
          <cell r="R266">
            <v>155.30000000000001</v>
          </cell>
          <cell r="S266">
            <v>180.9</v>
          </cell>
          <cell r="T266">
            <v>155.1</v>
          </cell>
          <cell r="U266">
            <v>149.30000000000001</v>
          </cell>
          <cell r="V266">
            <v>154.30000000000001</v>
          </cell>
          <cell r="Z266">
            <v>158.80000000000001</v>
          </cell>
          <cell r="AA266">
            <v>143.6</v>
          </cell>
          <cell r="AB266">
            <v>152.19999999999999</v>
          </cell>
          <cell r="AC266">
            <v>162.69999999999999</v>
          </cell>
          <cell r="AD266">
            <v>153.6</v>
          </cell>
          <cell r="AE266">
            <v>153</v>
          </cell>
          <cell r="AF266">
            <v>154.69999999999999</v>
          </cell>
        </row>
        <row r="267">
          <cell r="A267" t="str">
            <v>Urban</v>
          </cell>
          <cell r="B267">
            <v>2020</v>
          </cell>
          <cell r="C267" t="str">
            <v>August</v>
          </cell>
          <cell r="F267">
            <v>151.6</v>
          </cell>
          <cell r="G267">
            <v>197.8</v>
          </cell>
          <cell r="H267">
            <v>154.5</v>
          </cell>
          <cell r="I267">
            <v>153.4</v>
          </cell>
          <cell r="J267">
            <v>133.4</v>
          </cell>
          <cell r="K267">
            <v>154.5</v>
          </cell>
          <cell r="L267">
            <v>191.9</v>
          </cell>
          <cell r="M267">
            <v>151.30000000000001</v>
          </cell>
          <cell r="N267">
            <v>116.8</v>
          </cell>
          <cell r="O267">
            <v>160</v>
          </cell>
          <cell r="P267">
            <v>136.5</v>
          </cell>
          <cell r="Q267">
            <v>163.30000000000001</v>
          </cell>
          <cell r="R267">
            <v>159.9</v>
          </cell>
          <cell r="S267">
            <v>187.2</v>
          </cell>
          <cell r="T267">
            <v>150</v>
          </cell>
          <cell r="U267">
            <v>135.19999999999999</v>
          </cell>
          <cell r="V267">
            <v>147.80000000000001</v>
          </cell>
          <cell r="Z267">
            <v>148.69999999999999</v>
          </cell>
          <cell r="AA267">
            <v>133.9</v>
          </cell>
          <cell r="AB267">
            <v>141.19999999999999</v>
          </cell>
          <cell r="AC267">
            <v>155.5</v>
          </cell>
          <cell r="AD267">
            <v>155.19999999999999</v>
          </cell>
          <cell r="AE267">
            <v>144.80000000000001</v>
          </cell>
          <cell r="AF267">
            <v>152.9</v>
          </cell>
        </row>
        <row r="268">
          <cell r="A268" t="str">
            <v>Rural+Urban</v>
          </cell>
          <cell r="B268">
            <v>2020</v>
          </cell>
          <cell r="C268" t="str">
            <v>August</v>
          </cell>
          <cell r="F268">
            <v>148.9</v>
          </cell>
          <cell r="G268">
            <v>190.9</v>
          </cell>
          <cell r="H268">
            <v>150.80000000000001</v>
          </cell>
          <cell r="I268">
            <v>153.30000000000001</v>
          </cell>
          <cell r="J268">
            <v>137.4</v>
          </cell>
          <cell r="K268">
            <v>150.4</v>
          </cell>
          <cell r="L268">
            <v>178.1</v>
          </cell>
          <cell r="M268">
            <v>150.4</v>
          </cell>
          <cell r="N268">
            <v>115.1</v>
          </cell>
          <cell r="O268">
            <v>160</v>
          </cell>
          <cell r="P268">
            <v>140.6</v>
          </cell>
          <cell r="Q268">
            <v>162.30000000000001</v>
          </cell>
          <cell r="R268">
            <v>157</v>
          </cell>
          <cell r="S268">
            <v>182.6</v>
          </cell>
          <cell r="T268">
            <v>153.1</v>
          </cell>
          <cell r="U268">
            <v>143.4</v>
          </cell>
          <cell r="V268">
            <v>151.69999999999999</v>
          </cell>
          <cell r="Z268">
            <v>155</v>
          </cell>
          <cell r="AA268">
            <v>138.5</v>
          </cell>
          <cell r="AB268">
            <v>146</v>
          </cell>
          <cell r="AC268">
            <v>158.5</v>
          </cell>
          <cell r="AD268">
            <v>154.30000000000001</v>
          </cell>
          <cell r="AE268">
            <v>149</v>
          </cell>
          <cell r="AF268">
            <v>153.9</v>
          </cell>
        </row>
        <row r="269">
          <cell r="A269" t="str">
            <v>Rural</v>
          </cell>
          <cell r="B269">
            <v>2020</v>
          </cell>
          <cell r="C269" t="str">
            <v>September</v>
          </cell>
          <cell r="F269">
            <v>146.9</v>
          </cell>
          <cell r="G269">
            <v>183.9</v>
          </cell>
          <cell r="H269">
            <v>149.5</v>
          </cell>
          <cell r="I269">
            <v>153.4</v>
          </cell>
          <cell r="J269">
            <v>140.4</v>
          </cell>
          <cell r="K269">
            <v>147</v>
          </cell>
          <cell r="L269">
            <v>178.8</v>
          </cell>
          <cell r="M269">
            <v>149.30000000000001</v>
          </cell>
          <cell r="N269">
            <v>115.1</v>
          </cell>
          <cell r="O269">
            <v>160</v>
          </cell>
          <cell r="P269">
            <v>145.4</v>
          </cell>
          <cell r="Q269">
            <v>161.6</v>
          </cell>
          <cell r="R269">
            <v>156.1</v>
          </cell>
          <cell r="S269">
            <v>182.9</v>
          </cell>
          <cell r="T269">
            <v>155.4</v>
          </cell>
          <cell r="U269">
            <v>149.9</v>
          </cell>
          <cell r="V269">
            <v>154.6</v>
          </cell>
          <cell r="Z269">
            <v>159.1</v>
          </cell>
          <cell r="AA269">
            <v>144.6</v>
          </cell>
          <cell r="AB269">
            <v>152.80000000000001</v>
          </cell>
          <cell r="AC269">
            <v>161.1</v>
          </cell>
          <cell r="AD269">
            <v>157.4</v>
          </cell>
          <cell r="AE269">
            <v>153.69999999999999</v>
          </cell>
          <cell r="AF269">
            <v>155.4</v>
          </cell>
        </row>
        <row r="270">
          <cell r="A270" t="str">
            <v>Urban</v>
          </cell>
          <cell r="B270">
            <v>2020</v>
          </cell>
          <cell r="C270" t="str">
            <v>September</v>
          </cell>
          <cell r="F270">
            <v>151.5</v>
          </cell>
          <cell r="G270">
            <v>193.1</v>
          </cell>
          <cell r="H270">
            <v>157.30000000000001</v>
          </cell>
          <cell r="I270">
            <v>153.9</v>
          </cell>
          <cell r="J270">
            <v>134.4</v>
          </cell>
          <cell r="K270">
            <v>155.4</v>
          </cell>
          <cell r="L270">
            <v>202</v>
          </cell>
          <cell r="M270">
            <v>150.80000000000001</v>
          </cell>
          <cell r="N270">
            <v>118.9</v>
          </cell>
          <cell r="O270">
            <v>160.9</v>
          </cell>
          <cell r="P270">
            <v>137.69999999999999</v>
          </cell>
          <cell r="Q270">
            <v>164.4</v>
          </cell>
          <cell r="R270">
            <v>161.30000000000001</v>
          </cell>
          <cell r="S270">
            <v>188.7</v>
          </cell>
          <cell r="T270">
            <v>150.19999999999999</v>
          </cell>
          <cell r="U270">
            <v>136.30000000000001</v>
          </cell>
          <cell r="V270">
            <v>148.1</v>
          </cell>
          <cell r="Z270">
            <v>150</v>
          </cell>
          <cell r="AA270">
            <v>135.1</v>
          </cell>
          <cell r="AB270">
            <v>141.80000000000001</v>
          </cell>
          <cell r="AC270">
            <v>154.9</v>
          </cell>
          <cell r="AD270">
            <v>159.80000000000001</v>
          </cell>
          <cell r="AE270">
            <v>146</v>
          </cell>
          <cell r="AF270">
            <v>154</v>
          </cell>
        </row>
        <row r="271">
          <cell r="A271" t="str">
            <v>Rural+Urban</v>
          </cell>
          <cell r="B271">
            <v>2020</v>
          </cell>
          <cell r="C271" t="str">
            <v>September</v>
          </cell>
          <cell r="F271">
            <v>148.4</v>
          </cell>
          <cell r="G271">
            <v>187.1</v>
          </cell>
          <cell r="H271">
            <v>152.5</v>
          </cell>
          <cell r="I271">
            <v>153.6</v>
          </cell>
          <cell r="J271">
            <v>138.19999999999999</v>
          </cell>
          <cell r="K271">
            <v>150.9</v>
          </cell>
          <cell r="L271">
            <v>186.7</v>
          </cell>
          <cell r="M271">
            <v>149.80000000000001</v>
          </cell>
          <cell r="N271">
            <v>116.4</v>
          </cell>
          <cell r="O271">
            <v>160.30000000000001</v>
          </cell>
          <cell r="P271">
            <v>142.19999999999999</v>
          </cell>
          <cell r="Q271">
            <v>162.9</v>
          </cell>
          <cell r="R271">
            <v>158</v>
          </cell>
          <cell r="S271">
            <v>184.4</v>
          </cell>
          <cell r="T271">
            <v>153.4</v>
          </cell>
          <cell r="U271">
            <v>144.30000000000001</v>
          </cell>
          <cell r="V271">
            <v>152</v>
          </cell>
          <cell r="Z271">
            <v>155.6</v>
          </cell>
          <cell r="AA271">
            <v>139.6</v>
          </cell>
          <cell r="AB271">
            <v>146.6</v>
          </cell>
          <cell r="AC271">
            <v>157.5</v>
          </cell>
          <cell r="AD271">
            <v>158.4</v>
          </cell>
          <cell r="AE271">
            <v>150</v>
          </cell>
          <cell r="AF271">
            <v>154.69999999999999</v>
          </cell>
        </row>
        <row r="272">
          <cell r="A272" t="str">
            <v>Rural</v>
          </cell>
          <cell r="B272">
            <v>2020</v>
          </cell>
          <cell r="C272" t="str">
            <v>October</v>
          </cell>
          <cell r="F272">
            <v>146</v>
          </cell>
          <cell r="G272">
            <v>186.3</v>
          </cell>
          <cell r="H272">
            <v>159.19999999999999</v>
          </cell>
          <cell r="I272">
            <v>153.6</v>
          </cell>
          <cell r="J272">
            <v>142.6</v>
          </cell>
          <cell r="K272">
            <v>147.19999999999999</v>
          </cell>
          <cell r="L272">
            <v>200.6</v>
          </cell>
          <cell r="M272">
            <v>150.30000000000001</v>
          </cell>
          <cell r="N272">
            <v>115.3</v>
          </cell>
          <cell r="O272">
            <v>160.9</v>
          </cell>
          <cell r="P272">
            <v>147.4</v>
          </cell>
          <cell r="Q272">
            <v>161.9</v>
          </cell>
          <cell r="R272">
            <v>159.6</v>
          </cell>
          <cell r="S272">
            <v>182.7</v>
          </cell>
          <cell r="T272">
            <v>155.69999999999999</v>
          </cell>
          <cell r="U272">
            <v>150.6</v>
          </cell>
          <cell r="V272">
            <v>155</v>
          </cell>
          <cell r="Z272">
            <v>159.5</v>
          </cell>
          <cell r="AA272">
            <v>146.4</v>
          </cell>
          <cell r="AB272">
            <v>152.4</v>
          </cell>
          <cell r="AC272">
            <v>162.5</v>
          </cell>
          <cell r="AD272">
            <v>156.19999999999999</v>
          </cell>
          <cell r="AE272">
            <v>154.30000000000001</v>
          </cell>
          <cell r="AF272">
            <v>157.5</v>
          </cell>
        </row>
        <row r="273">
          <cell r="A273" t="str">
            <v>Urban</v>
          </cell>
          <cell r="B273">
            <v>2020</v>
          </cell>
          <cell r="C273" t="str">
            <v>October</v>
          </cell>
          <cell r="F273">
            <v>150.6</v>
          </cell>
          <cell r="G273">
            <v>193.7</v>
          </cell>
          <cell r="H273">
            <v>164.8</v>
          </cell>
          <cell r="I273">
            <v>153.69999999999999</v>
          </cell>
          <cell r="J273">
            <v>135.69999999999999</v>
          </cell>
          <cell r="K273">
            <v>155.69999999999999</v>
          </cell>
          <cell r="L273">
            <v>226</v>
          </cell>
          <cell r="M273">
            <v>152.19999999999999</v>
          </cell>
          <cell r="N273">
            <v>118.1</v>
          </cell>
          <cell r="O273">
            <v>161.30000000000001</v>
          </cell>
          <cell r="P273">
            <v>139.19999999999999</v>
          </cell>
          <cell r="Q273">
            <v>164.8</v>
          </cell>
          <cell r="R273">
            <v>164.4</v>
          </cell>
          <cell r="S273">
            <v>188.7</v>
          </cell>
          <cell r="T273">
            <v>150.5</v>
          </cell>
          <cell r="U273">
            <v>136.1</v>
          </cell>
          <cell r="V273">
            <v>148.30000000000001</v>
          </cell>
          <cell r="Z273">
            <v>151</v>
          </cell>
          <cell r="AA273">
            <v>135.4</v>
          </cell>
          <cell r="AB273">
            <v>142</v>
          </cell>
          <cell r="AC273">
            <v>155.69999999999999</v>
          </cell>
          <cell r="AD273">
            <v>158.1</v>
          </cell>
          <cell r="AE273">
            <v>146.19999999999999</v>
          </cell>
          <cell r="AF273">
            <v>155.19999999999999</v>
          </cell>
        </row>
        <row r="274">
          <cell r="A274" t="str">
            <v>Rural+Urban</v>
          </cell>
          <cell r="B274">
            <v>2020</v>
          </cell>
          <cell r="C274" t="str">
            <v>October</v>
          </cell>
          <cell r="F274">
            <v>147.5</v>
          </cell>
          <cell r="G274">
            <v>188.9</v>
          </cell>
          <cell r="H274">
            <v>161.4</v>
          </cell>
          <cell r="I274">
            <v>153.6</v>
          </cell>
          <cell r="J274">
            <v>140.1</v>
          </cell>
          <cell r="K274">
            <v>151.19999999999999</v>
          </cell>
          <cell r="L274">
            <v>209.2</v>
          </cell>
          <cell r="M274">
            <v>150.9</v>
          </cell>
          <cell r="N274">
            <v>116.2</v>
          </cell>
          <cell r="O274">
            <v>161</v>
          </cell>
          <cell r="P274">
            <v>144</v>
          </cell>
          <cell r="Q274">
            <v>163.19999999999999</v>
          </cell>
          <cell r="R274">
            <v>161.4</v>
          </cell>
          <cell r="S274">
            <v>184.3</v>
          </cell>
          <cell r="T274">
            <v>153.69999999999999</v>
          </cell>
          <cell r="U274">
            <v>144.6</v>
          </cell>
          <cell r="V274">
            <v>152.30000000000001</v>
          </cell>
          <cell r="Z274">
            <v>156.30000000000001</v>
          </cell>
          <cell r="AA274">
            <v>140.6</v>
          </cell>
          <cell r="AB274">
            <v>146.5</v>
          </cell>
          <cell r="AC274">
            <v>158.5</v>
          </cell>
          <cell r="AD274">
            <v>157</v>
          </cell>
          <cell r="AE274">
            <v>150.4</v>
          </cell>
          <cell r="AF274">
            <v>156.4</v>
          </cell>
        </row>
        <row r="275">
          <cell r="A275" t="str">
            <v>Rural</v>
          </cell>
          <cell r="B275">
            <v>2020</v>
          </cell>
          <cell r="C275" t="str">
            <v>November</v>
          </cell>
          <cell r="F275">
            <v>145.4</v>
          </cell>
          <cell r="G275">
            <v>188.6</v>
          </cell>
          <cell r="H275">
            <v>171.6</v>
          </cell>
          <cell r="I275">
            <v>153.80000000000001</v>
          </cell>
          <cell r="J275">
            <v>145.4</v>
          </cell>
          <cell r="K275">
            <v>146.5</v>
          </cell>
          <cell r="L275">
            <v>222.2</v>
          </cell>
          <cell r="M275">
            <v>155.9</v>
          </cell>
          <cell r="N275">
            <v>114.9</v>
          </cell>
          <cell r="O275">
            <v>162</v>
          </cell>
          <cell r="P275">
            <v>150</v>
          </cell>
          <cell r="Q275">
            <v>162.69999999999999</v>
          </cell>
          <cell r="R275">
            <v>163.4</v>
          </cell>
          <cell r="S275">
            <v>183.4</v>
          </cell>
          <cell r="T275">
            <v>156.30000000000001</v>
          </cell>
          <cell r="U275">
            <v>151</v>
          </cell>
          <cell r="V275">
            <v>155.5</v>
          </cell>
          <cell r="Z275">
            <v>160.4</v>
          </cell>
          <cell r="AA275">
            <v>146.1</v>
          </cell>
          <cell r="AB275">
            <v>153.6</v>
          </cell>
          <cell r="AC275">
            <v>161.6</v>
          </cell>
          <cell r="AD275">
            <v>156.19999999999999</v>
          </cell>
          <cell r="AE275">
            <v>154.5</v>
          </cell>
          <cell r="AF275">
            <v>159.80000000000001</v>
          </cell>
        </row>
        <row r="276">
          <cell r="A276" t="str">
            <v>Urban</v>
          </cell>
          <cell r="B276">
            <v>2020</v>
          </cell>
          <cell r="C276" t="str">
            <v>November</v>
          </cell>
          <cell r="F276">
            <v>149.69999999999999</v>
          </cell>
          <cell r="G276">
            <v>195.5</v>
          </cell>
          <cell r="H276">
            <v>176.9</v>
          </cell>
          <cell r="I276">
            <v>153.9</v>
          </cell>
          <cell r="J276">
            <v>138</v>
          </cell>
          <cell r="K276">
            <v>150.5</v>
          </cell>
          <cell r="L276">
            <v>245.3</v>
          </cell>
          <cell r="M276">
            <v>158.69999999999999</v>
          </cell>
          <cell r="N276">
            <v>117.2</v>
          </cell>
          <cell r="O276">
            <v>161.4</v>
          </cell>
          <cell r="P276">
            <v>141.5</v>
          </cell>
          <cell r="Q276">
            <v>165.1</v>
          </cell>
          <cell r="R276">
            <v>167</v>
          </cell>
          <cell r="S276">
            <v>188.8</v>
          </cell>
          <cell r="T276">
            <v>151.1</v>
          </cell>
          <cell r="U276">
            <v>136.4</v>
          </cell>
          <cell r="V276">
            <v>148.80000000000001</v>
          </cell>
          <cell r="Z276">
            <v>152</v>
          </cell>
          <cell r="AA276">
            <v>135.19999999999999</v>
          </cell>
          <cell r="AB276">
            <v>144.4</v>
          </cell>
          <cell r="AC276">
            <v>156.4</v>
          </cell>
          <cell r="AD276">
            <v>157.9</v>
          </cell>
          <cell r="AE276">
            <v>146.6</v>
          </cell>
          <cell r="AF276">
            <v>156.69999999999999</v>
          </cell>
        </row>
        <row r="277">
          <cell r="A277" t="str">
            <v>Rural+Urban</v>
          </cell>
          <cell r="B277">
            <v>2020</v>
          </cell>
          <cell r="C277" t="str">
            <v>November</v>
          </cell>
          <cell r="F277">
            <v>146.80000000000001</v>
          </cell>
          <cell r="G277">
            <v>191</v>
          </cell>
          <cell r="H277">
            <v>173.6</v>
          </cell>
          <cell r="I277">
            <v>153.80000000000001</v>
          </cell>
          <cell r="J277">
            <v>142.69999999999999</v>
          </cell>
          <cell r="K277">
            <v>148.4</v>
          </cell>
          <cell r="L277">
            <v>230</v>
          </cell>
          <cell r="M277">
            <v>156.80000000000001</v>
          </cell>
          <cell r="N277">
            <v>115.7</v>
          </cell>
          <cell r="O277">
            <v>161.80000000000001</v>
          </cell>
          <cell r="P277">
            <v>146.5</v>
          </cell>
          <cell r="Q277">
            <v>163.80000000000001</v>
          </cell>
          <cell r="R277">
            <v>164.7</v>
          </cell>
          <cell r="S277">
            <v>184.8</v>
          </cell>
          <cell r="T277">
            <v>154.30000000000001</v>
          </cell>
          <cell r="U277">
            <v>144.9</v>
          </cell>
          <cell r="V277">
            <v>152.80000000000001</v>
          </cell>
          <cell r="Z277">
            <v>157.19999999999999</v>
          </cell>
          <cell r="AA277">
            <v>140.4</v>
          </cell>
          <cell r="AB277">
            <v>148.4</v>
          </cell>
          <cell r="AC277">
            <v>158.6</v>
          </cell>
          <cell r="AD277">
            <v>156.9</v>
          </cell>
          <cell r="AE277">
            <v>150.69999999999999</v>
          </cell>
          <cell r="AF277">
            <v>158.4</v>
          </cell>
        </row>
        <row r="278">
          <cell r="A278" t="str">
            <v>Rural</v>
          </cell>
          <cell r="B278">
            <v>2020</v>
          </cell>
          <cell r="C278" t="str">
            <v>December</v>
          </cell>
          <cell r="F278">
            <v>144.6</v>
          </cell>
          <cell r="G278">
            <v>188.5</v>
          </cell>
          <cell r="H278">
            <v>173.4</v>
          </cell>
          <cell r="I278">
            <v>154</v>
          </cell>
          <cell r="J278">
            <v>150</v>
          </cell>
          <cell r="K278">
            <v>145.9</v>
          </cell>
          <cell r="L278">
            <v>225.2</v>
          </cell>
          <cell r="M278">
            <v>159.5</v>
          </cell>
          <cell r="N278">
            <v>114.4</v>
          </cell>
          <cell r="O278">
            <v>163.5</v>
          </cell>
          <cell r="P278">
            <v>153.4</v>
          </cell>
          <cell r="Q278">
            <v>163.6</v>
          </cell>
          <cell r="R278">
            <v>164.5</v>
          </cell>
          <cell r="S278">
            <v>183.6</v>
          </cell>
          <cell r="T278">
            <v>157</v>
          </cell>
          <cell r="U278">
            <v>151.6</v>
          </cell>
          <cell r="V278">
            <v>156.30000000000001</v>
          </cell>
          <cell r="Z278">
            <v>161.6</v>
          </cell>
          <cell r="AA278">
            <v>146.4</v>
          </cell>
          <cell r="AB278">
            <v>153.9</v>
          </cell>
          <cell r="AC278">
            <v>162.9</v>
          </cell>
          <cell r="AD278">
            <v>156.6</v>
          </cell>
          <cell r="AE278">
            <v>155.19999999999999</v>
          </cell>
          <cell r="AF278">
            <v>160.69999999999999</v>
          </cell>
        </row>
        <row r="279">
          <cell r="A279" t="str">
            <v>Urban</v>
          </cell>
          <cell r="B279">
            <v>2020</v>
          </cell>
          <cell r="C279" t="str">
            <v>December</v>
          </cell>
          <cell r="F279">
            <v>149</v>
          </cell>
          <cell r="G279">
            <v>195.7</v>
          </cell>
          <cell r="H279">
            <v>178.3</v>
          </cell>
          <cell r="I279">
            <v>154.19999999999999</v>
          </cell>
          <cell r="J279">
            <v>140.69999999999999</v>
          </cell>
          <cell r="K279">
            <v>149.69999999999999</v>
          </cell>
          <cell r="L279">
            <v>240.9</v>
          </cell>
          <cell r="M279">
            <v>161.5</v>
          </cell>
          <cell r="N279">
            <v>117.1</v>
          </cell>
          <cell r="O279">
            <v>161.9</v>
          </cell>
          <cell r="P279">
            <v>143.30000000000001</v>
          </cell>
          <cell r="Q279">
            <v>166.1</v>
          </cell>
          <cell r="R279">
            <v>167</v>
          </cell>
          <cell r="S279">
            <v>190.2</v>
          </cell>
          <cell r="T279">
            <v>151.9</v>
          </cell>
          <cell r="U279">
            <v>136.69999999999999</v>
          </cell>
          <cell r="V279">
            <v>149.6</v>
          </cell>
          <cell r="Z279">
            <v>152.9</v>
          </cell>
          <cell r="AA279">
            <v>135.5</v>
          </cell>
          <cell r="AB279">
            <v>144.30000000000001</v>
          </cell>
          <cell r="AC279">
            <v>156.9</v>
          </cell>
          <cell r="AD279">
            <v>157.9</v>
          </cell>
          <cell r="AE279">
            <v>146.9</v>
          </cell>
          <cell r="AF279">
            <v>156.9</v>
          </cell>
        </row>
        <row r="280">
          <cell r="A280" t="str">
            <v>Rural+Urban</v>
          </cell>
          <cell r="B280">
            <v>2020</v>
          </cell>
          <cell r="C280" t="str">
            <v>December</v>
          </cell>
          <cell r="F280">
            <v>146</v>
          </cell>
          <cell r="G280">
            <v>191</v>
          </cell>
          <cell r="H280">
            <v>175.3</v>
          </cell>
          <cell r="I280">
            <v>154.1</v>
          </cell>
          <cell r="J280">
            <v>146.6</v>
          </cell>
          <cell r="K280">
            <v>147.69999999999999</v>
          </cell>
          <cell r="L280">
            <v>230.5</v>
          </cell>
          <cell r="M280">
            <v>160.19999999999999</v>
          </cell>
          <cell r="N280">
            <v>115.3</v>
          </cell>
          <cell r="O280">
            <v>163</v>
          </cell>
          <cell r="P280">
            <v>149.19999999999999</v>
          </cell>
          <cell r="Q280">
            <v>164.8</v>
          </cell>
          <cell r="R280">
            <v>165.4</v>
          </cell>
          <cell r="S280">
            <v>185.4</v>
          </cell>
          <cell r="T280">
            <v>155</v>
          </cell>
          <cell r="U280">
            <v>145.4</v>
          </cell>
          <cell r="V280">
            <v>153.6</v>
          </cell>
          <cell r="Z280">
            <v>158.30000000000001</v>
          </cell>
          <cell r="AA280">
            <v>140.69999999999999</v>
          </cell>
          <cell r="AB280">
            <v>148.5</v>
          </cell>
          <cell r="AC280">
            <v>159.4</v>
          </cell>
          <cell r="AD280">
            <v>157.1</v>
          </cell>
          <cell r="AE280">
            <v>151.19999999999999</v>
          </cell>
          <cell r="AF280">
            <v>158.9</v>
          </cell>
        </row>
        <row r="281">
          <cell r="A281" t="str">
            <v>Rural</v>
          </cell>
          <cell r="B281">
            <v>2021</v>
          </cell>
          <cell r="C281" t="str">
            <v>January</v>
          </cell>
          <cell r="F281">
            <v>143.4</v>
          </cell>
          <cell r="G281">
            <v>187.5</v>
          </cell>
          <cell r="H281">
            <v>173.4</v>
          </cell>
          <cell r="I281">
            <v>154</v>
          </cell>
          <cell r="J281">
            <v>154.80000000000001</v>
          </cell>
          <cell r="K281">
            <v>147</v>
          </cell>
          <cell r="L281">
            <v>187.8</v>
          </cell>
          <cell r="M281">
            <v>159.5</v>
          </cell>
          <cell r="N281">
            <v>113.8</v>
          </cell>
          <cell r="O281">
            <v>164.5</v>
          </cell>
          <cell r="P281">
            <v>156.1</v>
          </cell>
          <cell r="Q281">
            <v>164.3</v>
          </cell>
          <cell r="R281">
            <v>159.6</v>
          </cell>
          <cell r="S281">
            <v>184.6</v>
          </cell>
          <cell r="T281">
            <v>157.5</v>
          </cell>
          <cell r="U281">
            <v>152.4</v>
          </cell>
          <cell r="V281">
            <v>156.80000000000001</v>
          </cell>
          <cell r="Z281">
            <v>162.5</v>
          </cell>
          <cell r="AA281">
            <v>147.5</v>
          </cell>
          <cell r="AB281">
            <v>155.1</v>
          </cell>
          <cell r="AC281">
            <v>163.5</v>
          </cell>
          <cell r="AD281">
            <v>156.19999999999999</v>
          </cell>
          <cell r="AE281">
            <v>155.9</v>
          </cell>
          <cell r="AF281">
            <v>158.5</v>
          </cell>
        </row>
        <row r="282">
          <cell r="A282" t="str">
            <v>Urban</v>
          </cell>
          <cell r="B282">
            <v>2021</v>
          </cell>
          <cell r="C282" t="str">
            <v>January</v>
          </cell>
          <cell r="F282">
            <v>148</v>
          </cell>
          <cell r="G282">
            <v>194.8</v>
          </cell>
          <cell r="H282">
            <v>178.4</v>
          </cell>
          <cell r="I282">
            <v>154.4</v>
          </cell>
          <cell r="J282">
            <v>144.1</v>
          </cell>
          <cell r="K282">
            <v>152.6</v>
          </cell>
          <cell r="L282">
            <v>206.8</v>
          </cell>
          <cell r="M282">
            <v>162.1</v>
          </cell>
          <cell r="N282">
            <v>116.3</v>
          </cell>
          <cell r="O282">
            <v>163</v>
          </cell>
          <cell r="P282">
            <v>145.9</v>
          </cell>
          <cell r="Q282">
            <v>167.2</v>
          </cell>
          <cell r="R282">
            <v>163.4</v>
          </cell>
          <cell r="S282">
            <v>191.8</v>
          </cell>
          <cell r="T282">
            <v>152.5</v>
          </cell>
          <cell r="U282">
            <v>137.30000000000001</v>
          </cell>
          <cell r="V282">
            <v>150.19999999999999</v>
          </cell>
          <cell r="Z282">
            <v>154.1</v>
          </cell>
          <cell r="AA282">
            <v>136.9</v>
          </cell>
          <cell r="AB282">
            <v>145.4</v>
          </cell>
          <cell r="AC282">
            <v>156.1</v>
          </cell>
          <cell r="AD282">
            <v>157.69999999999999</v>
          </cell>
          <cell r="AE282">
            <v>147.6</v>
          </cell>
          <cell r="AF282">
            <v>156</v>
          </cell>
        </row>
        <row r="283">
          <cell r="A283" t="str">
            <v>Rural+Urban</v>
          </cell>
          <cell r="B283">
            <v>2021</v>
          </cell>
          <cell r="C283" t="str">
            <v>January</v>
          </cell>
          <cell r="F283">
            <v>144.9</v>
          </cell>
          <cell r="G283">
            <v>190.1</v>
          </cell>
          <cell r="H283">
            <v>175.3</v>
          </cell>
          <cell r="I283">
            <v>154.1</v>
          </cell>
          <cell r="J283">
            <v>150.9</v>
          </cell>
          <cell r="K283">
            <v>149.6</v>
          </cell>
          <cell r="L283">
            <v>194.2</v>
          </cell>
          <cell r="M283">
            <v>160.4</v>
          </cell>
          <cell r="N283">
            <v>114.6</v>
          </cell>
          <cell r="O283">
            <v>164</v>
          </cell>
          <cell r="P283">
            <v>151.80000000000001</v>
          </cell>
          <cell r="Q283">
            <v>165.6</v>
          </cell>
          <cell r="R283">
            <v>161</v>
          </cell>
          <cell r="S283">
            <v>186.5</v>
          </cell>
          <cell r="T283">
            <v>155.5</v>
          </cell>
          <cell r="U283">
            <v>146.1</v>
          </cell>
          <cell r="V283">
            <v>154.19999999999999</v>
          </cell>
          <cell r="Z283">
            <v>159.30000000000001</v>
          </cell>
          <cell r="AA283">
            <v>141.9</v>
          </cell>
          <cell r="AB283">
            <v>149.6</v>
          </cell>
          <cell r="AC283">
            <v>159.19999999999999</v>
          </cell>
          <cell r="AD283">
            <v>156.80000000000001</v>
          </cell>
          <cell r="AE283">
            <v>151.9</v>
          </cell>
          <cell r="AF283">
            <v>157.30000000000001</v>
          </cell>
        </row>
        <row r="284">
          <cell r="A284" t="str">
            <v>Rural</v>
          </cell>
          <cell r="B284">
            <v>2021</v>
          </cell>
          <cell r="C284" t="str">
            <v>February</v>
          </cell>
          <cell r="F284">
            <v>142.80000000000001</v>
          </cell>
          <cell r="G284">
            <v>184</v>
          </cell>
          <cell r="H284">
            <v>168</v>
          </cell>
          <cell r="I284">
            <v>154.4</v>
          </cell>
          <cell r="J284">
            <v>163</v>
          </cell>
          <cell r="K284">
            <v>147.80000000000001</v>
          </cell>
          <cell r="L284">
            <v>149.69999999999999</v>
          </cell>
          <cell r="M284">
            <v>158.30000000000001</v>
          </cell>
          <cell r="N284">
            <v>111.8</v>
          </cell>
          <cell r="O284">
            <v>165</v>
          </cell>
          <cell r="P284">
            <v>160</v>
          </cell>
          <cell r="Q284">
            <v>165.8</v>
          </cell>
          <cell r="R284">
            <v>154.69999999999999</v>
          </cell>
          <cell r="S284">
            <v>186.5</v>
          </cell>
          <cell r="T284">
            <v>159.1</v>
          </cell>
          <cell r="U284">
            <v>153.9</v>
          </cell>
          <cell r="V284">
            <v>158.4</v>
          </cell>
          <cell r="Z284">
            <v>164.3</v>
          </cell>
          <cell r="AA284">
            <v>150.19999999999999</v>
          </cell>
          <cell r="AB284">
            <v>157</v>
          </cell>
          <cell r="AC284">
            <v>163.6</v>
          </cell>
          <cell r="AD284">
            <v>155.19999999999999</v>
          </cell>
          <cell r="AE284">
            <v>157.19999999999999</v>
          </cell>
          <cell r="AF284">
            <v>156.69999999999999</v>
          </cell>
        </row>
        <row r="285">
          <cell r="A285" t="str">
            <v>Urban</v>
          </cell>
          <cell r="B285">
            <v>2021</v>
          </cell>
          <cell r="C285" t="str">
            <v>February</v>
          </cell>
          <cell r="F285">
            <v>147.6</v>
          </cell>
          <cell r="G285">
            <v>191.2</v>
          </cell>
          <cell r="H285">
            <v>169.9</v>
          </cell>
          <cell r="I285">
            <v>155.1</v>
          </cell>
          <cell r="J285">
            <v>151.4</v>
          </cell>
          <cell r="K285">
            <v>154</v>
          </cell>
          <cell r="L285">
            <v>180.2</v>
          </cell>
          <cell r="M285">
            <v>159.80000000000001</v>
          </cell>
          <cell r="N285">
            <v>114.9</v>
          </cell>
          <cell r="O285">
            <v>162.5</v>
          </cell>
          <cell r="P285">
            <v>149.19999999999999</v>
          </cell>
          <cell r="Q285">
            <v>169.4</v>
          </cell>
          <cell r="R285">
            <v>160.80000000000001</v>
          </cell>
          <cell r="S285">
            <v>193.3</v>
          </cell>
          <cell r="T285">
            <v>154.19999999999999</v>
          </cell>
          <cell r="U285">
            <v>138.19999999999999</v>
          </cell>
          <cell r="V285">
            <v>151.80000000000001</v>
          </cell>
          <cell r="Z285">
            <v>156.30000000000001</v>
          </cell>
          <cell r="AA285">
            <v>140.5</v>
          </cell>
          <cell r="AB285">
            <v>147.30000000000001</v>
          </cell>
          <cell r="AC285">
            <v>156.6</v>
          </cell>
          <cell r="AD285">
            <v>156.69999999999999</v>
          </cell>
          <cell r="AE285">
            <v>149.30000000000001</v>
          </cell>
          <cell r="AF285">
            <v>156.5</v>
          </cell>
        </row>
        <row r="286">
          <cell r="A286" t="str">
            <v>Rural+Urban</v>
          </cell>
          <cell r="B286">
            <v>2021</v>
          </cell>
          <cell r="C286" t="str">
            <v>February</v>
          </cell>
          <cell r="F286">
            <v>144.30000000000001</v>
          </cell>
          <cell r="G286">
            <v>186.5</v>
          </cell>
          <cell r="H286">
            <v>168.7</v>
          </cell>
          <cell r="I286">
            <v>154.69999999999999</v>
          </cell>
          <cell r="J286">
            <v>158.69999999999999</v>
          </cell>
          <cell r="K286">
            <v>150.69999999999999</v>
          </cell>
          <cell r="L286">
            <v>160</v>
          </cell>
          <cell r="M286">
            <v>158.80000000000001</v>
          </cell>
          <cell r="N286">
            <v>112.8</v>
          </cell>
          <cell r="O286">
            <v>164.2</v>
          </cell>
          <cell r="P286">
            <v>155.5</v>
          </cell>
          <cell r="Q286">
            <v>167.5</v>
          </cell>
          <cell r="R286">
            <v>156.9</v>
          </cell>
          <cell r="S286">
            <v>188.3</v>
          </cell>
          <cell r="T286">
            <v>157.19999999999999</v>
          </cell>
          <cell r="U286">
            <v>147.4</v>
          </cell>
          <cell r="V286">
            <v>155.80000000000001</v>
          </cell>
          <cell r="Z286">
            <v>161.30000000000001</v>
          </cell>
          <cell r="AA286">
            <v>145.1</v>
          </cell>
          <cell r="AB286">
            <v>151.5</v>
          </cell>
          <cell r="AC286">
            <v>159.5</v>
          </cell>
          <cell r="AD286">
            <v>155.80000000000001</v>
          </cell>
          <cell r="AE286">
            <v>153.4</v>
          </cell>
          <cell r="AF286">
            <v>156.6</v>
          </cell>
        </row>
        <row r="287">
          <cell r="A287" t="str">
            <v>Rural</v>
          </cell>
          <cell r="B287">
            <v>2021</v>
          </cell>
          <cell r="C287" t="str">
            <v>March</v>
          </cell>
          <cell r="F287">
            <v>142.5</v>
          </cell>
          <cell r="G287">
            <v>189.4</v>
          </cell>
          <cell r="H287">
            <v>163.19999999999999</v>
          </cell>
          <cell r="I287">
            <v>154.5</v>
          </cell>
          <cell r="J287">
            <v>168.2</v>
          </cell>
          <cell r="K287">
            <v>150.5</v>
          </cell>
          <cell r="L287">
            <v>141</v>
          </cell>
          <cell r="M287">
            <v>159.19999999999999</v>
          </cell>
          <cell r="N287">
            <v>111.7</v>
          </cell>
          <cell r="O287">
            <v>164</v>
          </cell>
          <cell r="P287">
            <v>160.6</v>
          </cell>
          <cell r="Q287">
            <v>166.4</v>
          </cell>
          <cell r="R287">
            <v>154.5</v>
          </cell>
          <cell r="S287">
            <v>186.1</v>
          </cell>
          <cell r="T287">
            <v>159.6</v>
          </cell>
          <cell r="U287">
            <v>154.4</v>
          </cell>
          <cell r="V287">
            <v>158.9</v>
          </cell>
          <cell r="Z287">
            <v>164.6</v>
          </cell>
          <cell r="AA287">
            <v>151.30000000000001</v>
          </cell>
          <cell r="AB287">
            <v>157.80000000000001</v>
          </cell>
          <cell r="AC287">
            <v>163.80000000000001</v>
          </cell>
          <cell r="AD287">
            <v>153.1</v>
          </cell>
          <cell r="AE287">
            <v>157.30000000000001</v>
          </cell>
          <cell r="AF287">
            <v>156.69999999999999</v>
          </cell>
        </row>
        <row r="288">
          <cell r="A288" t="str">
            <v>Urban</v>
          </cell>
          <cell r="B288">
            <v>2021</v>
          </cell>
          <cell r="C288" t="str">
            <v>March</v>
          </cell>
          <cell r="F288">
            <v>147.5</v>
          </cell>
          <cell r="G288">
            <v>197.5</v>
          </cell>
          <cell r="H288">
            <v>164.7</v>
          </cell>
          <cell r="I288">
            <v>155.6</v>
          </cell>
          <cell r="J288">
            <v>156.4</v>
          </cell>
          <cell r="K288">
            <v>157.30000000000001</v>
          </cell>
          <cell r="L288">
            <v>166.1</v>
          </cell>
          <cell r="M288">
            <v>161.1</v>
          </cell>
          <cell r="N288">
            <v>114.3</v>
          </cell>
          <cell r="O288">
            <v>162.6</v>
          </cell>
          <cell r="P288">
            <v>150.69999999999999</v>
          </cell>
          <cell r="Q288">
            <v>170.3</v>
          </cell>
          <cell r="R288">
            <v>160.4</v>
          </cell>
          <cell r="S288">
            <v>193.5</v>
          </cell>
          <cell r="T288">
            <v>155.1</v>
          </cell>
          <cell r="U288">
            <v>138.69999999999999</v>
          </cell>
          <cell r="V288">
            <v>152.6</v>
          </cell>
          <cell r="Z288">
            <v>156.9</v>
          </cell>
          <cell r="AA288">
            <v>141.69999999999999</v>
          </cell>
          <cell r="AB288">
            <v>148.6</v>
          </cell>
          <cell r="AC288">
            <v>157.6</v>
          </cell>
          <cell r="AD288">
            <v>154.9</v>
          </cell>
          <cell r="AE288">
            <v>150</v>
          </cell>
          <cell r="AF288">
            <v>156.9</v>
          </cell>
        </row>
        <row r="289">
          <cell r="A289" t="str">
            <v>Rural+Urban</v>
          </cell>
          <cell r="B289">
            <v>2021</v>
          </cell>
          <cell r="C289" t="str">
            <v>March</v>
          </cell>
          <cell r="F289">
            <v>144.1</v>
          </cell>
          <cell r="G289">
            <v>192.2</v>
          </cell>
          <cell r="H289">
            <v>163.80000000000001</v>
          </cell>
          <cell r="I289">
            <v>154.9</v>
          </cell>
          <cell r="J289">
            <v>163.9</v>
          </cell>
          <cell r="K289">
            <v>153.69999999999999</v>
          </cell>
          <cell r="L289">
            <v>149.5</v>
          </cell>
          <cell r="M289">
            <v>159.80000000000001</v>
          </cell>
          <cell r="N289">
            <v>112.6</v>
          </cell>
          <cell r="O289">
            <v>163.5</v>
          </cell>
          <cell r="P289">
            <v>156.5</v>
          </cell>
          <cell r="Q289">
            <v>168.2</v>
          </cell>
          <cell r="R289">
            <v>156.69999999999999</v>
          </cell>
          <cell r="S289">
            <v>188.1</v>
          </cell>
          <cell r="T289">
            <v>157.80000000000001</v>
          </cell>
          <cell r="U289">
            <v>147.9</v>
          </cell>
          <cell r="V289">
            <v>156.4</v>
          </cell>
          <cell r="Z289">
            <v>161.69999999999999</v>
          </cell>
          <cell r="AA289">
            <v>146.19999999999999</v>
          </cell>
          <cell r="AB289">
            <v>152.6</v>
          </cell>
          <cell r="AC289">
            <v>160.19999999999999</v>
          </cell>
          <cell r="AD289">
            <v>153.80000000000001</v>
          </cell>
          <cell r="AE289">
            <v>153.80000000000001</v>
          </cell>
          <cell r="AF289">
            <v>156.80000000000001</v>
          </cell>
        </row>
        <row r="290">
          <cell r="A290" t="str">
            <v>Rural</v>
          </cell>
          <cell r="B290">
            <v>2021</v>
          </cell>
          <cell r="C290" t="str">
            <v>April</v>
          </cell>
          <cell r="F290">
            <v>142.69999999999999</v>
          </cell>
          <cell r="G290">
            <v>195.5</v>
          </cell>
          <cell r="H290">
            <v>163.4</v>
          </cell>
          <cell r="I290">
            <v>155</v>
          </cell>
          <cell r="J290">
            <v>175.2</v>
          </cell>
          <cell r="K290">
            <v>160.6</v>
          </cell>
          <cell r="L290">
            <v>135.1</v>
          </cell>
          <cell r="M290">
            <v>161.1</v>
          </cell>
          <cell r="N290">
            <v>112.2</v>
          </cell>
          <cell r="O290">
            <v>164.4</v>
          </cell>
          <cell r="P290">
            <v>161.9</v>
          </cell>
          <cell r="Q290">
            <v>166.8</v>
          </cell>
          <cell r="R290">
            <v>155.6</v>
          </cell>
          <cell r="S290">
            <v>186.8</v>
          </cell>
          <cell r="T290">
            <v>160.69999999999999</v>
          </cell>
          <cell r="U290">
            <v>155.1</v>
          </cell>
          <cell r="V290">
            <v>159.9</v>
          </cell>
          <cell r="Z290">
            <v>165.3</v>
          </cell>
          <cell r="AA290">
            <v>151.69999999999999</v>
          </cell>
          <cell r="AB290">
            <v>158.6</v>
          </cell>
          <cell r="AC290">
            <v>164.1</v>
          </cell>
          <cell r="AD290">
            <v>154.6</v>
          </cell>
          <cell r="AE290">
            <v>158</v>
          </cell>
          <cell r="AF290">
            <v>157.6</v>
          </cell>
        </row>
        <row r="291">
          <cell r="A291" t="str">
            <v>Urban</v>
          </cell>
          <cell r="B291">
            <v>2021</v>
          </cell>
          <cell r="C291" t="str">
            <v>April</v>
          </cell>
          <cell r="F291">
            <v>147.6</v>
          </cell>
          <cell r="G291">
            <v>202.5</v>
          </cell>
          <cell r="H291">
            <v>166.4</v>
          </cell>
          <cell r="I291">
            <v>156</v>
          </cell>
          <cell r="J291">
            <v>161.4</v>
          </cell>
          <cell r="K291">
            <v>168.8</v>
          </cell>
          <cell r="L291">
            <v>161.6</v>
          </cell>
          <cell r="M291">
            <v>162.80000000000001</v>
          </cell>
          <cell r="N291">
            <v>114.8</v>
          </cell>
          <cell r="O291">
            <v>162.80000000000001</v>
          </cell>
          <cell r="P291">
            <v>151.5</v>
          </cell>
          <cell r="Q291">
            <v>171.4</v>
          </cell>
          <cell r="R291">
            <v>162</v>
          </cell>
          <cell r="S291">
            <v>194.4</v>
          </cell>
          <cell r="T291">
            <v>155.9</v>
          </cell>
          <cell r="U291">
            <v>139.30000000000001</v>
          </cell>
          <cell r="V291">
            <v>153.4</v>
          </cell>
          <cell r="Z291">
            <v>157.5</v>
          </cell>
          <cell r="AA291">
            <v>142.1</v>
          </cell>
          <cell r="AB291">
            <v>149.1</v>
          </cell>
          <cell r="AC291">
            <v>157.6</v>
          </cell>
          <cell r="AD291">
            <v>156.6</v>
          </cell>
          <cell r="AE291">
            <v>150.5</v>
          </cell>
          <cell r="AF291">
            <v>158</v>
          </cell>
        </row>
        <row r="292">
          <cell r="A292" t="str">
            <v>Rural+Urban</v>
          </cell>
          <cell r="B292">
            <v>2021</v>
          </cell>
          <cell r="C292" t="str">
            <v>April</v>
          </cell>
          <cell r="F292">
            <v>144.30000000000001</v>
          </cell>
          <cell r="G292">
            <v>198</v>
          </cell>
          <cell r="H292">
            <v>164.6</v>
          </cell>
          <cell r="I292">
            <v>155.4</v>
          </cell>
          <cell r="J292">
            <v>170.1</v>
          </cell>
          <cell r="K292">
            <v>164.4</v>
          </cell>
          <cell r="L292">
            <v>144.1</v>
          </cell>
          <cell r="M292">
            <v>161.69999999999999</v>
          </cell>
          <cell r="N292">
            <v>113.1</v>
          </cell>
          <cell r="O292">
            <v>163.9</v>
          </cell>
          <cell r="P292">
            <v>157.6</v>
          </cell>
          <cell r="Q292">
            <v>168.9</v>
          </cell>
          <cell r="R292">
            <v>158</v>
          </cell>
          <cell r="S292">
            <v>188.8</v>
          </cell>
          <cell r="T292">
            <v>158.80000000000001</v>
          </cell>
          <cell r="U292">
            <v>148.5</v>
          </cell>
          <cell r="V292">
            <v>157.30000000000001</v>
          </cell>
          <cell r="Z292">
            <v>162.30000000000001</v>
          </cell>
          <cell r="AA292">
            <v>146.6</v>
          </cell>
          <cell r="AB292">
            <v>153.19999999999999</v>
          </cell>
          <cell r="AC292">
            <v>160.30000000000001</v>
          </cell>
          <cell r="AD292">
            <v>155.4</v>
          </cell>
          <cell r="AE292">
            <v>154.4</v>
          </cell>
          <cell r="AF292">
            <v>157.80000000000001</v>
          </cell>
        </row>
        <row r="293">
          <cell r="A293" t="str">
            <v>Rural</v>
          </cell>
          <cell r="B293">
            <v>2021</v>
          </cell>
          <cell r="C293" t="str">
            <v>May</v>
          </cell>
          <cell r="F293">
            <v>145.1</v>
          </cell>
          <cell r="G293">
            <v>198.5</v>
          </cell>
          <cell r="H293">
            <v>168.6</v>
          </cell>
          <cell r="I293">
            <v>155.80000000000001</v>
          </cell>
          <cell r="J293">
            <v>184.4</v>
          </cell>
          <cell r="K293">
            <v>162.30000000000001</v>
          </cell>
          <cell r="L293">
            <v>138.4</v>
          </cell>
          <cell r="M293">
            <v>165.1</v>
          </cell>
          <cell r="N293">
            <v>114.3</v>
          </cell>
          <cell r="O293">
            <v>169.7</v>
          </cell>
          <cell r="P293">
            <v>164.6</v>
          </cell>
          <cell r="Q293">
            <v>169.8</v>
          </cell>
          <cell r="R293">
            <v>158.69999999999999</v>
          </cell>
          <cell r="S293">
            <v>189.6</v>
          </cell>
          <cell r="T293">
            <v>165.3</v>
          </cell>
          <cell r="U293">
            <v>160.6</v>
          </cell>
          <cell r="V293">
            <v>164.5</v>
          </cell>
          <cell r="Z293">
            <v>169.1</v>
          </cell>
          <cell r="AA293">
            <v>153.19999999999999</v>
          </cell>
          <cell r="AB293">
            <v>160</v>
          </cell>
          <cell r="AC293">
            <v>167.6</v>
          </cell>
          <cell r="AD293">
            <v>159.30000000000001</v>
          </cell>
          <cell r="AE293">
            <v>161.1</v>
          </cell>
          <cell r="AF293">
            <v>161.1</v>
          </cell>
        </row>
        <row r="294">
          <cell r="A294" t="str">
            <v>Urban</v>
          </cell>
          <cell r="B294">
            <v>2021</v>
          </cell>
          <cell r="C294" t="str">
            <v>May</v>
          </cell>
          <cell r="F294">
            <v>148.80000000000001</v>
          </cell>
          <cell r="G294">
            <v>204.3</v>
          </cell>
          <cell r="H294">
            <v>173</v>
          </cell>
          <cell r="I294">
            <v>156.5</v>
          </cell>
          <cell r="J294">
            <v>168.8</v>
          </cell>
          <cell r="K294">
            <v>172.5</v>
          </cell>
          <cell r="L294">
            <v>166.5</v>
          </cell>
          <cell r="M294">
            <v>165.9</v>
          </cell>
          <cell r="N294">
            <v>115.9</v>
          </cell>
          <cell r="O294">
            <v>165.2</v>
          </cell>
          <cell r="P294">
            <v>152</v>
          </cell>
          <cell r="Q294">
            <v>171.1</v>
          </cell>
          <cell r="R294">
            <v>164.2</v>
          </cell>
          <cell r="S294">
            <v>198.2</v>
          </cell>
          <cell r="T294">
            <v>156.5</v>
          </cell>
          <cell r="U294">
            <v>140.19999999999999</v>
          </cell>
          <cell r="V294">
            <v>154.1</v>
          </cell>
          <cell r="Z294">
            <v>160.4</v>
          </cell>
          <cell r="AA294">
            <v>145</v>
          </cell>
          <cell r="AB294">
            <v>152.6</v>
          </cell>
          <cell r="AC294">
            <v>156.6</v>
          </cell>
          <cell r="AD294">
            <v>157.5</v>
          </cell>
          <cell r="AE294">
            <v>152.30000000000001</v>
          </cell>
          <cell r="AF294">
            <v>159.5</v>
          </cell>
        </row>
        <row r="295">
          <cell r="A295" t="str">
            <v>Rural+Urban</v>
          </cell>
          <cell r="B295">
            <v>2021</v>
          </cell>
          <cell r="C295" t="str">
            <v>May</v>
          </cell>
          <cell r="F295">
            <v>146.30000000000001</v>
          </cell>
          <cell r="G295">
            <v>200.5</v>
          </cell>
          <cell r="H295">
            <v>170.3</v>
          </cell>
          <cell r="I295">
            <v>156.1</v>
          </cell>
          <cell r="J295">
            <v>178.7</v>
          </cell>
          <cell r="K295">
            <v>167.1</v>
          </cell>
          <cell r="L295">
            <v>147.9</v>
          </cell>
          <cell r="M295">
            <v>165.4</v>
          </cell>
          <cell r="N295">
            <v>114.8</v>
          </cell>
          <cell r="O295">
            <v>168.2</v>
          </cell>
          <cell r="P295">
            <v>159.30000000000001</v>
          </cell>
          <cell r="Q295">
            <v>170.4</v>
          </cell>
          <cell r="R295">
            <v>160.69999999999999</v>
          </cell>
          <cell r="S295">
            <v>191.9</v>
          </cell>
          <cell r="T295">
            <v>161.80000000000001</v>
          </cell>
          <cell r="U295">
            <v>152.1</v>
          </cell>
          <cell r="V295">
            <v>160.4</v>
          </cell>
          <cell r="Z295">
            <v>165.8</v>
          </cell>
          <cell r="AA295">
            <v>148.9</v>
          </cell>
          <cell r="AB295">
            <v>155.80000000000001</v>
          </cell>
          <cell r="AC295">
            <v>161.19999999999999</v>
          </cell>
          <cell r="AD295">
            <v>158.6</v>
          </cell>
          <cell r="AE295">
            <v>156.80000000000001</v>
          </cell>
          <cell r="AF295">
            <v>160.4</v>
          </cell>
        </row>
        <row r="296">
          <cell r="A296" t="str">
            <v>Rural</v>
          </cell>
          <cell r="B296">
            <v>2021</v>
          </cell>
          <cell r="C296" t="str">
            <v>June</v>
          </cell>
          <cell r="F296">
            <v>145.6</v>
          </cell>
          <cell r="G296">
            <v>200.1</v>
          </cell>
          <cell r="H296">
            <v>179.3</v>
          </cell>
          <cell r="I296">
            <v>156.1</v>
          </cell>
          <cell r="J296">
            <v>190.4</v>
          </cell>
          <cell r="K296">
            <v>158.6</v>
          </cell>
          <cell r="L296">
            <v>144.69999999999999</v>
          </cell>
          <cell r="M296">
            <v>165.5</v>
          </cell>
          <cell r="N296">
            <v>114.6</v>
          </cell>
          <cell r="O296">
            <v>170</v>
          </cell>
          <cell r="P296">
            <v>165.5</v>
          </cell>
          <cell r="Q296">
            <v>171.7</v>
          </cell>
          <cell r="R296">
            <v>160.5</v>
          </cell>
          <cell r="S296">
            <v>189.1</v>
          </cell>
          <cell r="T296">
            <v>165.3</v>
          </cell>
          <cell r="U296">
            <v>159.9</v>
          </cell>
          <cell r="V296">
            <v>164.6</v>
          </cell>
          <cell r="Z296">
            <v>169.7</v>
          </cell>
          <cell r="AA296">
            <v>154.19999999999999</v>
          </cell>
          <cell r="AB296">
            <v>160.4</v>
          </cell>
          <cell r="AC296">
            <v>166.8</v>
          </cell>
          <cell r="AD296">
            <v>159.4</v>
          </cell>
          <cell r="AE296">
            <v>161.5</v>
          </cell>
          <cell r="AF296">
            <v>162.1</v>
          </cell>
        </row>
        <row r="297">
          <cell r="A297" t="str">
            <v>Urban</v>
          </cell>
          <cell r="B297">
            <v>2021</v>
          </cell>
          <cell r="C297" t="str">
            <v>June</v>
          </cell>
          <cell r="F297">
            <v>149.19999999999999</v>
          </cell>
          <cell r="G297">
            <v>205.5</v>
          </cell>
          <cell r="H297">
            <v>182.8</v>
          </cell>
          <cell r="I297">
            <v>156.5</v>
          </cell>
          <cell r="J297">
            <v>172.2</v>
          </cell>
          <cell r="K297">
            <v>171.5</v>
          </cell>
          <cell r="L297">
            <v>176.2</v>
          </cell>
          <cell r="M297">
            <v>166.9</v>
          </cell>
          <cell r="N297">
            <v>116.1</v>
          </cell>
          <cell r="O297">
            <v>165.5</v>
          </cell>
          <cell r="P297">
            <v>152.30000000000001</v>
          </cell>
          <cell r="Q297">
            <v>173.3</v>
          </cell>
          <cell r="R297">
            <v>166.2</v>
          </cell>
          <cell r="S297">
            <v>195.6</v>
          </cell>
          <cell r="T297">
            <v>157.30000000000001</v>
          </cell>
          <cell r="U297">
            <v>140.5</v>
          </cell>
          <cell r="V297">
            <v>154.80000000000001</v>
          </cell>
          <cell r="Z297">
            <v>160.80000000000001</v>
          </cell>
          <cell r="AA297">
            <v>147.5</v>
          </cell>
          <cell r="AB297">
            <v>150.69999999999999</v>
          </cell>
          <cell r="AC297">
            <v>158.1</v>
          </cell>
          <cell r="AD297">
            <v>158</v>
          </cell>
          <cell r="AE297">
            <v>153.4</v>
          </cell>
          <cell r="AF297">
            <v>160.4</v>
          </cell>
        </row>
        <row r="298">
          <cell r="A298" t="str">
            <v>Rural+Urban</v>
          </cell>
          <cell r="B298">
            <v>2021</v>
          </cell>
          <cell r="C298" t="str">
            <v>June</v>
          </cell>
          <cell r="F298">
            <v>146.69999999999999</v>
          </cell>
          <cell r="G298">
            <v>202</v>
          </cell>
          <cell r="H298">
            <v>180.7</v>
          </cell>
          <cell r="I298">
            <v>156.19999999999999</v>
          </cell>
          <cell r="J298">
            <v>183.7</v>
          </cell>
          <cell r="K298">
            <v>164.6</v>
          </cell>
          <cell r="L298">
            <v>155.4</v>
          </cell>
          <cell r="M298">
            <v>166</v>
          </cell>
          <cell r="N298">
            <v>115.1</v>
          </cell>
          <cell r="O298">
            <v>168.5</v>
          </cell>
          <cell r="P298">
            <v>160</v>
          </cell>
          <cell r="Q298">
            <v>172.4</v>
          </cell>
          <cell r="R298">
            <v>162.6</v>
          </cell>
          <cell r="S298">
            <v>190.8</v>
          </cell>
          <cell r="T298">
            <v>162.19999999999999</v>
          </cell>
          <cell r="U298">
            <v>151.80000000000001</v>
          </cell>
          <cell r="V298">
            <v>160.69999999999999</v>
          </cell>
          <cell r="Z298">
            <v>166.3</v>
          </cell>
          <cell r="AA298">
            <v>150.69999999999999</v>
          </cell>
          <cell r="AB298">
            <v>154.9</v>
          </cell>
          <cell r="AC298">
            <v>161.69999999999999</v>
          </cell>
          <cell r="AD298">
            <v>158.80000000000001</v>
          </cell>
          <cell r="AE298">
            <v>157.6</v>
          </cell>
          <cell r="AF298">
            <v>161.30000000000001</v>
          </cell>
        </row>
        <row r="299">
          <cell r="A299" t="str">
            <v>Rural</v>
          </cell>
          <cell r="B299">
            <v>2021</v>
          </cell>
          <cell r="C299" t="str">
            <v>July</v>
          </cell>
          <cell r="F299">
            <v>145.1</v>
          </cell>
          <cell r="G299">
            <v>204.5</v>
          </cell>
          <cell r="H299">
            <v>180.4</v>
          </cell>
          <cell r="I299">
            <v>157.1</v>
          </cell>
          <cell r="J299">
            <v>188.7</v>
          </cell>
          <cell r="K299">
            <v>157.69999999999999</v>
          </cell>
          <cell r="L299">
            <v>152.80000000000001</v>
          </cell>
          <cell r="M299">
            <v>163.6</v>
          </cell>
          <cell r="N299">
            <v>113.9</v>
          </cell>
          <cell r="O299">
            <v>169.7</v>
          </cell>
          <cell r="P299">
            <v>166.2</v>
          </cell>
          <cell r="Q299">
            <v>171</v>
          </cell>
          <cell r="R299">
            <v>161.69999999999999</v>
          </cell>
          <cell r="S299">
            <v>189.7</v>
          </cell>
          <cell r="T299">
            <v>166</v>
          </cell>
          <cell r="U299">
            <v>161.1</v>
          </cell>
          <cell r="V299">
            <v>165.3</v>
          </cell>
          <cell r="Z299">
            <v>170.4</v>
          </cell>
          <cell r="AA299">
            <v>157.1</v>
          </cell>
          <cell r="AB299">
            <v>160.69999999999999</v>
          </cell>
          <cell r="AC299">
            <v>167.2</v>
          </cell>
          <cell r="AD299">
            <v>160.4</v>
          </cell>
          <cell r="AE299">
            <v>162.80000000000001</v>
          </cell>
          <cell r="AF299">
            <v>163.19999999999999</v>
          </cell>
        </row>
        <row r="300">
          <cell r="A300" t="str">
            <v>Urban</v>
          </cell>
          <cell r="B300">
            <v>2021</v>
          </cell>
          <cell r="C300" t="str">
            <v>July</v>
          </cell>
          <cell r="F300">
            <v>149.1</v>
          </cell>
          <cell r="G300">
            <v>210.9</v>
          </cell>
          <cell r="H300">
            <v>185</v>
          </cell>
          <cell r="I300">
            <v>158.19999999999999</v>
          </cell>
          <cell r="J300">
            <v>170.6</v>
          </cell>
          <cell r="K300">
            <v>170.9</v>
          </cell>
          <cell r="L300">
            <v>186.4</v>
          </cell>
          <cell r="M300">
            <v>164.7</v>
          </cell>
          <cell r="N300">
            <v>115.7</v>
          </cell>
          <cell r="O300">
            <v>165.5</v>
          </cell>
          <cell r="P300">
            <v>153.4</v>
          </cell>
          <cell r="Q300">
            <v>173.5</v>
          </cell>
          <cell r="R300">
            <v>167.9</v>
          </cell>
          <cell r="S300">
            <v>195.5</v>
          </cell>
          <cell r="T300">
            <v>157.9</v>
          </cell>
          <cell r="U300">
            <v>141.9</v>
          </cell>
          <cell r="V300">
            <v>155.5</v>
          </cell>
          <cell r="Z300">
            <v>161.5</v>
          </cell>
          <cell r="AA300">
            <v>149.5</v>
          </cell>
          <cell r="AB300">
            <v>151.19999999999999</v>
          </cell>
          <cell r="AC300">
            <v>160.30000000000001</v>
          </cell>
          <cell r="AD300">
            <v>159.6</v>
          </cell>
          <cell r="AE300">
            <v>155</v>
          </cell>
          <cell r="AF300">
            <v>161.80000000000001</v>
          </cell>
        </row>
        <row r="301">
          <cell r="A301" t="str">
            <v>Rural+Urban</v>
          </cell>
          <cell r="B301">
            <v>2021</v>
          </cell>
          <cell r="C301" t="str">
            <v>July</v>
          </cell>
          <cell r="F301">
            <v>146.4</v>
          </cell>
          <cell r="G301">
            <v>206.8</v>
          </cell>
          <cell r="H301">
            <v>182.2</v>
          </cell>
          <cell r="I301">
            <v>157.5</v>
          </cell>
          <cell r="J301">
            <v>182.1</v>
          </cell>
          <cell r="K301">
            <v>163.9</v>
          </cell>
          <cell r="L301">
            <v>164.2</v>
          </cell>
          <cell r="M301">
            <v>164</v>
          </cell>
          <cell r="N301">
            <v>114.5</v>
          </cell>
          <cell r="O301">
            <v>168.3</v>
          </cell>
          <cell r="P301">
            <v>160.9</v>
          </cell>
          <cell r="Q301">
            <v>172.2</v>
          </cell>
          <cell r="R301">
            <v>164</v>
          </cell>
          <cell r="S301">
            <v>191.2</v>
          </cell>
          <cell r="T301">
            <v>162.80000000000001</v>
          </cell>
          <cell r="U301">
            <v>153.1</v>
          </cell>
          <cell r="V301">
            <v>161.4</v>
          </cell>
          <cell r="Z301">
            <v>167</v>
          </cell>
          <cell r="AA301">
            <v>153.1</v>
          </cell>
          <cell r="AB301">
            <v>155.30000000000001</v>
          </cell>
          <cell r="AC301">
            <v>163.19999999999999</v>
          </cell>
          <cell r="AD301">
            <v>160.1</v>
          </cell>
          <cell r="AE301">
            <v>159</v>
          </cell>
          <cell r="AF301">
            <v>162.5</v>
          </cell>
        </row>
        <row r="302">
          <cell r="A302" t="str">
            <v>Rural</v>
          </cell>
          <cell r="B302">
            <v>2021</v>
          </cell>
          <cell r="C302" t="str">
            <v>August</v>
          </cell>
          <cell r="F302">
            <v>144.9</v>
          </cell>
          <cell r="G302">
            <v>202.3</v>
          </cell>
          <cell r="H302">
            <v>176.5</v>
          </cell>
          <cell r="I302">
            <v>157.5</v>
          </cell>
          <cell r="J302">
            <v>190.9</v>
          </cell>
          <cell r="K302">
            <v>155.69999999999999</v>
          </cell>
          <cell r="L302">
            <v>153.9</v>
          </cell>
          <cell r="M302">
            <v>162.80000000000001</v>
          </cell>
          <cell r="N302">
            <v>115.2</v>
          </cell>
          <cell r="O302">
            <v>169.8</v>
          </cell>
          <cell r="P302">
            <v>167.6</v>
          </cell>
          <cell r="Q302">
            <v>171.9</v>
          </cell>
          <cell r="R302">
            <v>161.80000000000001</v>
          </cell>
          <cell r="S302">
            <v>190.2</v>
          </cell>
          <cell r="T302">
            <v>167</v>
          </cell>
          <cell r="U302">
            <v>162.6</v>
          </cell>
          <cell r="V302">
            <v>166.3</v>
          </cell>
          <cell r="Z302">
            <v>171.1</v>
          </cell>
          <cell r="AA302">
            <v>157.69999999999999</v>
          </cell>
          <cell r="AB302">
            <v>161.1</v>
          </cell>
          <cell r="AC302">
            <v>167.5</v>
          </cell>
          <cell r="AD302">
            <v>160.30000000000001</v>
          </cell>
          <cell r="AE302">
            <v>163.30000000000001</v>
          </cell>
          <cell r="AF302">
            <v>163.6</v>
          </cell>
        </row>
        <row r="303">
          <cell r="A303" t="str">
            <v>Urban</v>
          </cell>
          <cell r="B303">
            <v>2021</v>
          </cell>
          <cell r="C303" t="str">
            <v>August</v>
          </cell>
          <cell r="F303">
            <v>149.30000000000001</v>
          </cell>
          <cell r="G303">
            <v>207.4</v>
          </cell>
          <cell r="H303">
            <v>174.1</v>
          </cell>
          <cell r="I303">
            <v>159.19999999999999</v>
          </cell>
          <cell r="J303">
            <v>175</v>
          </cell>
          <cell r="K303">
            <v>161.30000000000001</v>
          </cell>
          <cell r="L303">
            <v>183.3</v>
          </cell>
          <cell r="M303">
            <v>164.5</v>
          </cell>
          <cell r="N303">
            <v>120.4</v>
          </cell>
          <cell r="O303">
            <v>166.2</v>
          </cell>
          <cell r="P303">
            <v>154.80000000000001</v>
          </cell>
          <cell r="Q303">
            <v>175.1</v>
          </cell>
          <cell r="R303">
            <v>167.3</v>
          </cell>
          <cell r="S303">
            <v>196.5</v>
          </cell>
          <cell r="T303">
            <v>159.80000000000001</v>
          </cell>
          <cell r="U303">
            <v>143.6</v>
          </cell>
          <cell r="V303">
            <v>157.30000000000001</v>
          </cell>
          <cell r="Z303">
            <v>162.80000000000001</v>
          </cell>
          <cell r="AA303">
            <v>150.4</v>
          </cell>
          <cell r="AB303">
            <v>153.69999999999999</v>
          </cell>
          <cell r="AC303">
            <v>160.4</v>
          </cell>
          <cell r="AD303">
            <v>159.6</v>
          </cell>
          <cell r="AE303">
            <v>156</v>
          </cell>
          <cell r="AF303">
            <v>162.30000000000001</v>
          </cell>
        </row>
        <row r="304">
          <cell r="A304" t="str">
            <v>Rural+Urban</v>
          </cell>
          <cell r="B304">
            <v>2021</v>
          </cell>
          <cell r="C304" t="str">
            <v>August</v>
          </cell>
          <cell r="F304">
            <v>146.6</v>
          </cell>
          <cell r="G304">
            <v>204</v>
          </cell>
          <cell r="H304">
            <v>172.8</v>
          </cell>
          <cell r="I304">
            <v>158.4</v>
          </cell>
          <cell r="J304">
            <v>188</v>
          </cell>
          <cell r="K304">
            <v>156.80000000000001</v>
          </cell>
          <cell r="L304">
            <v>162.19999999999999</v>
          </cell>
          <cell r="M304">
            <v>164.1</v>
          </cell>
          <cell r="N304">
            <v>119.7</v>
          </cell>
          <cell r="O304">
            <v>168.8</v>
          </cell>
          <cell r="P304">
            <v>162.69999999999999</v>
          </cell>
          <cell r="Q304">
            <v>173.9</v>
          </cell>
          <cell r="R304">
            <v>164</v>
          </cell>
          <cell r="S304">
            <v>192.1</v>
          </cell>
          <cell r="T304">
            <v>164.5</v>
          </cell>
          <cell r="U304">
            <v>155.30000000000001</v>
          </cell>
          <cell r="V304">
            <v>163.19999999999999</v>
          </cell>
          <cell r="Z304">
            <v>168.4</v>
          </cell>
          <cell r="AA304">
            <v>154</v>
          </cell>
          <cell r="AB304">
            <v>157.6</v>
          </cell>
          <cell r="AC304">
            <v>163.80000000000001</v>
          </cell>
          <cell r="AD304">
            <v>160</v>
          </cell>
          <cell r="AE304">
            <v>160</v>
          </cell>
          <cell r="AF304">
            <v>163.19999999999999</v>
          </cell>
        </row>
        <row r="305">
          <cell r="A305" t="str">
            <v>Rural</v>
          </cell>
          <cell r="B305">
            <v>2021</v>
          </cell>
          <cell r="C305" t="str">
            <v>September</v>
          </cell>
          <cell r="F305">
            <v>145.4</v>
          </cell>
          <cell r="G305">
            <v>202.1</v>
          </cell>
          <cell r="H305">
            <v>172</v>
          </cell>
          <cell r="I305">
            <v>158</v>
          </cell>
          <cell r="J305">
            <v>195.5</v>
          </cell>
          <cell r="K305">
            <v>152.69999999999999</v>
          </cell>
          <cell r="L305">
            <v>151.4</v>
          </cell>
          <cell r="M305">
            <v>163.9</v>
          </cell>
          <cell r="N305">
            <v>119.3</v>
          </cell>
          <cell r="O305">
            <v>170.1</v>
          </cell>
          <cell r="P305">
            <v>168.3</v>
          </cell>
          <cell r="Q305">
            <v>172.8</v>
          </cell>
          <cell r="R305">
            <v>162.1</v>
          </cell>
          <cell r="S305">
            <v>190.5</v>
          </cell>
          <cell r="T305">
            <v>167.7</v>
          </cell>
          <cell r="U305">
            <v>163.6</v>
          </cell>
          <cell r="V305">
            <v>167.1</v>
          </cell>
          <cell r="Z305">
            <v>171.9</v>
          </cell>
          <cell r="AA305">
            <v>157.80000000000001</v>
          </cell>
          <cell r="AB305">
            <v>162.69999999999999</v>
          </cell>
          <cell r="AC305">
            <v>168.5</v>
          </cell>
          <cell r="AD305">
            <v>160.19999999999999</v>
          </cell>
          <cell r="AE305">
            <v>163.80000000000001</v>
          </cell>
          <cell r="AF305">
            <v>164</v>
          </cell>
        </row>
        <row r="306">
          <cell r="A306" t="str">
            <v>Urban</v>
          </cell>
          <cell r="B306">
            <v>2021</v>
          </cell>
          <cell r="C306" t="str">
            <v>September</v>
          </cell>
          <cell r="F306">
            <v>149.30000000000001</v>
          </cell>
          <cell r="G306">
            <v>207.4</v>
          </cell>
          <cell r="H306">
            <v>174.1</v>
          </cell>
          <cell r="I306">
            <v>159.1</v>
          </cell>
          <cell r="J306">
            <v>175</v>
          </cell>
          <cell r="K306">
            <v>161.19999999999999</v>
          </cell>
          <cell r="L306">
            <v>183.5</v>
          </cell>
          <cell r="M306">
            <v>164.5</v>
          </cell>
          <cell r="N306">
            <v>120.4</v>
          </cell>
          <cell r="O306">
            <v>166.2</v>
          </cell>
          <cell r="P306">
            <v>154.80000000000001</v>
          </cell>
          <cell r="Q306">
            <v>175.1</v>
          </cell>
          <cell r="R306">
            <v>167.3</v>
          </cell>
          <cell r="S306">
            <v>196.5</v>
          </cell>
          <cell r="T306">
            <v>159.80000000000001</v>
          </cell>
          <cell r="U306">
            <v>143.6</v>
          </cell>
          <cell r="V306">
            <v>157.4</v>
          </cell>
          <cell r="Z306">
            <v>162.80000000000001</v>
          </cell>
          <cell r="AA306">
            <v>150.5</v>
          </cell>
          <cell r="AB306">
            <v>153.9</v>
          </cell>
          <cell r="AC306">
            <v>160.30000000000001</v>
          </cell>
          <cell r="AD306">
            <v>159.6</v>
          </cell>
          <cell r="AE306">
            <v>156</v>
          </cell>
          <cell r="AF306">
            <v>162.30000000000001</v>
          </cell>
        </row>
        <row r="307">
          <cell r="A307" t="str">
            <v>Rural+Urban</v>
          </cell>
          <cell r="B307">
            <v>2021</v>
          </cell>
          <cell r="C307" t="str">
            <v>September</v>
          </cell>
          <cell r="F307">
            <v>146.6</v>
          </cell>
          <cell r="G307">
            <v>204</v>
          </cell>
          <cell r="H307">
            <v>172.8</v>
          </cell>
          <cell r="I307">
            <v>158.4</v>
          </cell>
          <cell r="J307">
            <v>188</v>
          </cell>
          <cell r="K307">
            <v>156.69999999999999</v>
          </cell>
          <cell r="L307">
            <v>162.30000000000001</v>
          </cell>
          <cell r="M307">
            <v>164.1</v>
          </cell>
          <cell r="N307">
            <v>119.7</v>
          </cell>
          <cell r="O307">
            <v>168.8</v>
          </cell>
          <cell r="P307">
            <v>162.69999999999999</v>
          </cell>
          <cell r="Q307">
            <v>173.9</v>
          </cell>
          <cell r="R307">
            <v>164</v>
          </cell>
          <cell r="S307">
            <v>192.1</v>
          </cell>
          <cell r="T307">
            <v>164.6</v>
          </cell>
          <cell r="U307">
            <v>155.30000000000001</v>
          </cell>
          <cell r="V307">
            <v>163.30000000000001</v>
          </cell>
          <cell r="Z307">
            <v>168.4</v>
          </cell>
          <cell r="AA307">
            <v>154</v>
          </cell>
          <cell r="AB307">
            <v>157.69999999999999</v>
          </cell>
          <cell r="AC307">
            <v>163.69999999999999</v>
          </cell>
          <cell r="AD307">
            <v>160</v>
          </cell>
          <cell r="AE307">
            <v>160</v>
          </cell>
          <cell r="AF307">
            <v>163.19999999999999</v>
          </cell>
        </row>
        <row r="308">
          <cell r="A308" t="str">
            <v>Rural</v>
          </cell>
          <cell r="B308">
            <v>2021</v>
          </cell>
          <cell r="C308" t="str">
            <v>October</v>
          </cell>
          <cell r="F308">
            <v>146.1</v>
          </cell>
          <cell r="G308">
            <v>202.5</v>
          </cell>
          <cell r="H308">
            <v>170.1</v>
          </cell>
          <cell r="I308">
            <v>158.4</v>
          </cell>
          <cell r="J308">
            <v>198.8</v>
          </cell>
          <cell r="K308">
            <v>152.6</v>
          </cell>
          <cell r="L308">
            <v>170.4</v>
          </cell>
          <cell r="M308">
            <v>165.2</v>
          </cell>
          <cell r="N308">
            <v>121.6</v>
          </cell>
          <cell r="O308">
            <v>170.6</v>
          </cell>
          <cell r="P308">
            <v>168.8</v>
          </cell>
          <cell r="Q308">
            <v>173.6</v>
          </cell>
          <cell r="R308">
            <v>165.5</v>
          </cell>
          <cell r="S308">
            <v>191.2</v>
          </cell>
          <cell r="T308">
            <v>168.9</v>
          </cell>
          <cell r="U308">
            <v>164.8</v>
          </cell>
          <cell r="V308">
            <v>168.3</v>
          </cell>
          <cell r="Z308">
            <v>172.5</v>
          </cell>
          <cell r="AA308">
            <v>159.5</v>
          </cell>
          <cell r="AB308">
            <v>163.19999999999999</v>
          </cell>
          <cell r="AC308">
            <v>169</v>
          </cell>
          <cell r="AD308">
            <v>161.1</v>
          </cell>
          <cell r="AE308">
            <v>164.7</v>
          </cell>
          <cell r="AF308">
            <v>166.3</v>
          </cell>
        </row>
        <row r="309">
          <cell r="A309" t="str">
            <v>Urban</v>
          </cell>
          <cell r="B309">
            <v>2021</v>
          </cell>
          <cell r="C309" t="str">
            <v>October</v>
          </cell>
          <cell r="F309">
            <v>150.1</v>
          </cell>
          <cell r="G309">
            <v>208.4</v>
          </cell>
          <cell r="H309">
            <v>173</v>
          </cell>
          <cell r="I309">
            <v>159.19999999999999</v>
          </cell>
          <cell r="J309">
            <v>176.6</v>
          </cell>
          <cell r="K309">
            <v>159.30000000000001</v>
          </cell>
          <cell r="L309">
            <v>214.4</v>
          </cell>
          <cell r="M309">
            <v>165.3</v>
          </cell>
          <cell r="N309">
            <v>122.5</v>
          </cell>
          <cell r="O309">
            <v>166.8</v>
          </cell>
          <cell r="P309">
            <v>155.4</v>
          </cell>
          <cell r="Q309">
            <v>175.9</v>
          </cell>
          <cell r="R309">
            <v>171.5</v>
          </cell>
          <cell r="S309">
            <v>197</v>
          </cell>
          <cell r="T309">
            <v>160.80000000000001</v>
          </cell>
          <cell r="U309">
            <v>144.4</v>
          </cell>
          <cell r="V309">
            <v>158.30000000000001</v>
          </cell>
          <cell r="Z309">
            <v>163.5</v>
          </cell>
          <cell r="AA309">
            <v>152.19999999999999</v>
          </cell>
          <cell r="AB309">
            <v>155.1</v>
          </cell>
          <cell r="AC309">
            <v>160.30000000000001</v>
          </cell>
          <cell r="AD309">
            <v>160.30000000000001</v>
          </cell>
          <cell r="AE309">
            <v>157</v>
          </cell>
          <cell r="AF309">
            <v>164.6</v>
          </cell>
        </row>
        <row r="310">
          <cell r="A310" t="str">
            <v>Rural+Urban</v>
          </cell>
          <cell r="B310">
            <v>2021</v>
          </cell>
          <cell r="C310" t="str">
            <v>October</v>
          </cell>
          <cell r="F310">
            <v>147.4</v>
          </cell>
          <cell r="G310">
            <v>204.6</v>
          </cell>
          <cell r="H310">
            <v>171.2</v>
          </cell>
          <cell r="I310">
            <v>158.69999999999999</v>
          </cell>
          <cell r="J310">
            <v>190.6</v>
          </cell>
          <cell r="K310">
            <v>155.69999999999999</v>
          </cell>
          <cell r="L310">
            <v>185.3</v>
          </cell>
          <cell r="M310">
            <v>165.2</v>
          </cell>
          <cell r="N310">
            <v>121.9</v>
          </cell>
          <cell r="O310">
            <v>169.3</v>
          </cell>
          <cell r="P310">
            <v>163.19999999999999</v>
          </cell>
          <cell r="Q310">
            <v>174.7</v>
          </cell>
          <cell r="R310">
            <v>167.7</v>
          </cell>
          <cell r="S310">
            <v>192.7</v>
          </cell>
          <cell r="T310">
            <v>165.7</v>
          </cell>
          <cell r="U310">
            <v>156.30000000000001</v>
          </cell>
          <cell r="V310">
            <v>164.3</v>
          </cell>
          <cell r="Z310">
            <v>169.1</v>
          </cell>
          <cell r="AA310">
            <v>155.69999999999999</v>
          </cell>
          <cell r="AB310">
            <v>158.6</v>
          </cell>
          <cell r="AC310">
            <v>163.9</v>
          </cell>
          <cell r="AD310">
            <v>160.80000000000001</v>
          </cell>
          <cell r="AE310">
            <v>161</v>
          </cell>
          <cell r="AF310">
            <v>165.5</v>
          </cell>
        </row>
        <row r="311">
          <cell r="A311" t="str">
            <v>Rural</v>
          </cell>
          <cell r="B311">
            <v>2021</v>
          </cell>
          <cell r="C311" t="str">
            <v>November</v>
          </cell>
          <cell r="F311">
            <v>146.9</v>
          </cell>
          <cell r="G311">
            <v>199.8</v>
          </cell>
          <cell r="H311">
            <v>171.5</v>
          </cell>
          <cell r="I311">
            <v>159.1</v>
          </cell>
          <cell r="J311">
            <v>198.4</v>
          </cell>
          <cell r="K311">
            <v>153.19999999999999</v>
          </cell>
          <cell r="L311">
            <v>183.9</v>
          </cell>
          <cell r="M311">
            <v>165.4</v>
          </cell>
          <cell r="N311">
            <v>122.1</v>
          </cell>
          <cell r="O311">
            <v>170.8</v>
          </cell>
          <cell r="P311">
            <v>169.1</v>
          </cell>
          <cell r="Q311">
            <v>174.3</v>
          </cell>
          <cell r="R311">
            <v>167.5</v>
          </cell>
          <cell r="S311">
            <v>191.4</v>
          </cell>
          <cell r="T311">
            <v>170.4</v>
          </cell>
          <cell r="U311">
            <v>166</v>
          </cell>
          <cell r="V311">
            <v>169.8</v>
          </cell>
          <cell r="Z311">
            <v>173.4</v>
          </cell>
          <cell r="AA311">
            <v>158.9</v>
          </cell>
          <cell r="AB311">
            <v>163.80000000000001</v>
          </cell>
          <cell r="AC311">
            <v>169.3</v>
          </cell>
          <cell r="AD311">
            <v>162.4</v>
          </cell>
          <cell r="AE311">
            <v>165.2</v>
          </cell>
          <cell r="AF311">
            <v>167.6</v>
          </cell>
        </row>
        <row r="312">
          <cell r="A312" t="str">
            <v>Urban</v>
          </cell>
          <cell r="B312">
            <v>2021</v>
          </cell>
          <cell r="C312" t="str">
            <v>November</v>
          </cell>
          <cell r="F312">
            <v>151</v>
          </cell>
          <cell r="G312">
            <v>204.9</v>
          </cell>
          <cell r="H312">
            <v>175.4</v>
          </cell>
          <cell r="I312">
            <v>159.6</v>
          </cell>
          <cell r="J312">
            <v>175.8</v>
          </cell>
          <cell r="K312">
            <v>160.30000000000001</v>
          </cell>
          <cell r="L312">
            <v>229.1</v>
          </cell>
          <cell r="M312">
            <v>165.1</v>
          </cell>
          <cell r="N312">
            <v>123.1</v>
          </cell>
          <cell r="O312">
            <v>167.2</v>
          </cell>
          <cell r="P312">
            <v>156.1</v>
          </cell>
          <cell r="Q312">
            <v>176.8</v>
          </cell>
          <cell r="R312">
            <v>173.5</v>
          </cell>
          <cell r="S312">
            <v>197</v>
          </cell>
          <cell r="T312">
            <v>162.30000000000001</v>
          </cell>
          <cell r="U312">
            <v>145.30000000000001</v>
          </cell>
          <cell r="V312">
            <v>159.69999999999999</v>
          </cell>
          <cell r="Z312">
            <v>164.2</v>
          </cell>
          <cell r="AA312">
            <v>151.19999999999999</v>
          </cell>
          <cell r="AB312">
            <v>156.69999999999999</v>
          </cell>
          <cell r="AC312">
            <v>160.80000000000001</v>
          </cell>
          <cell r="AD312">
            <v>161.80000000000001</v>
          </cell>
          <cell r="AE312">
            <v>157.30000000000001</v>
          </cell>
          <cell r="AF312">
            <v>165.6</v>
          </cell>
        </row>
        <row r="313">
          <cell r="A313" t="str">
            <v>Rural+Urban</v>
          </cell>
          <cell r="B313">
            <v>2021</v>
          </cell>
          <cell r="C313" t="str">
            <v>November</v>
          </cell>
          <cell r="F313">
            <v>148.19999999999999</v>
          </cell>
          <cell r="G313">
            <v>201.6</v>
          </cell>
          <cell r="H313">
            <v>173</v>
          </cell>
          <cell r="I313">
            <v>159.30000000000001</v>
          </cell>
          <cell r="J313">
            <v>190.1</v>
          </cell>
          <cell r="K313">
            <v>156.5</v>
          </cell>
          <cell r="L313">
            <v>199.2</v>
          </cell>
          <cell r="M313">
            <v>165.3</v>
          </cell>
          <cell r="N313">
            <v>122.4</v>
          </cell>
          <cell r="O313">
            <v>169.6</v>
          </cell>
          <cell r="P313">
            <v>163.69999999999999</v>
          </cell>
          <cell r="Q313">
            <v>175.5</v>
          </cell>
          <cell r="R313">
            <v>169.7</v>
          </cell>
          <cell r="S313">
            <v>192.9</v>
          </cell>
          <cell r="T313">
            <v>167.2</v>
          </cell>
          <cell r="U313">
            <v>157.4</v>
          </cell>
          <cell r="V313">
            <v>165.8</v>
          </cell>
          <cell r="Z313">
            <v>169.9</v>
          </cell>
          <cell r="AA313">
            <v>154.80000000000001</v>
          </cell>
          <cell r="AB313">
            <v>159.80000000000001</v>
          </cell>
          <cell r="AC313">
            <v>164.3</v>
          </cell>
          <cell r="AD313">
            <v>162.19999999999999</v>
          </cell>
          <cell r="AE313">
            <v>161.4</v>
          </cell>
          <cell r="AF313">
            <v>166.7</v>
          </cell>
        </row>
        <row r="314">
          <cell r="A314" t="str">
            <v>Rural</v>
          </cell>
          <cell r="B314">
            <v>2021</v>
          </cell>
          <cell r="C314" t="str">
            <v>December</v>
          </cell>
          <cell r="F314">
            <v>147.4</v>
          </cell>
          <cell r="G314">
            <v>197</v>
          </cell>
          <cell r="H314">
            <v>176.5</v>
          </cell>
          <cell r="I314">
            <v>159.80000000000001</v>
          </cell>
          <cell r="J314">
            <v>195.8</v>
          </cell>
          <cell r="K314">
            <v>152</v>
          </cell>
          <cell r="L314">
            <v>172.3</v>
          </cell>
          <cell r="M314">
            <v>164.5</v>
          </cell>
          <cell r="N314">
            <v>120.6</v>
          </cell>
          <cell r="O314">
            <v>171.7</v>
          </cell>
          <cell r="P314">
            <v>169.7</v>
          </cell>
          <cell r="Q314">
            <v>175.1</v>
          </cell>
          <cell r="R314">
            <v>165.8</v>
          </cell>
          <cell r="S314">
            <v>190.8</v>
          </cell>
          <cell r="T314">
            <v>171.8</v>
          </cell>
          <cell r="U314">
            <v>167.3</v>
          </cell>
          <cell r="V314">
            <v>171.2</v>
          </cell>
          <cell r="Z314">
            <v>174</v>
          </cell>
          <cell r="AA314">
            <v>160.1</v>
          </cell>
          <cell r="AB314">
            <v>164.5</v>
          </cell>
          <cell r="AC314">
            <v>169.7</v>
          </cell>
          <cell r="AD314">
            <v>162.80000000000001</v>
          </cell>
          <cell r="AE314">
            <v>166</v>
          </cell>
          <cell r="AF314">
            <v>167</v>
          </cell>
        </row>
        <row r="315">
          <cell r="A315" t="str">
            <v>Urban</v>
          </cell>
          <cell r="B315">
            <v>2021</v>
          </cell>
          <cell r="C315" t="str">
            <v>December</v>
          </cell>
          <cell r="F315">
            <v>151.6</v>
          </cell>
          <cell r="G315">
            <v>202.2</v>
          </cell>
          <cell r="H315">
            <v>180</v>
          </cell>
          <cell r="I315">
            <v>160</v>
          </cell>
          <cell r="J315">
            <v>173.5</v>
          </cell>
          <cell r="K315">
            <v>158.30000000000001</v>
          </cell>
          <cell r="L315">
            <v>219.5</v>
          </cell>
          <cell r="M315">
            <v>164.2</v>
          </cell>
          <cell r="N315">
            <v>121.9</v>
          </cell>
          <cell r="O315">
            <v>168.2</v>
          </cell>
          <cell r="P315">
            <v>156.5</v>
          </cell>
          <cell r="Q315">
            <v>178.2</v>
          </cell>
          <cell r="R315">
            <v>172.2</v>
          </cell>
          <cell r="S315">
            <v>196.8</v>
          </cell>
          <cell r="T315">
            <v>163.30000000000001</v>
          </cell>
          <cell r="U315">
            <v>146.69999999999999</v>
          </cell>
          <cell r="V315">
            <v>160.69999999999999</v>
          </cell>
          <cell r="Z315">
            <v>165.1</v>
          </cell>
          <cell r="AA315">
            <v>151.80000000000001</v>
          </cell>
          <cell r="AB315">
            <v>157.6</v>
          </cell>
          <cell r="AC315">
            <v>160.6</v>
          </cell>
          <cell r="AD315">
            <v>162.4</v>
          </cell>
          <cell r="AE315">
            <v>157.80000000000001</v>
          </cell>
          <cell r="AF315">
            <v>165.2</v>
          </cell>
        </row>
        <row r="316">
          <cell r="A316" t="str">
            <v>Rural+Urban</v>
          </cell>
          <cell r="B316">
            <v>2021</v>
          </cell>
          <cell r="C316" t="str">
            <v>December</v>
          </cell>
          <cell r="F316">
            <v>148.69999999999999</v>
          </cell>
          <cell r="G316">
            <v>198.8</v>
          </cell>
          <cell r="H316">
            <v>177.9</v>
          </cell>
          <cell r="I316">
            <v>159.9</v>
          </cell>
          <cell r="J316">
            <v>187.6</v>
          </cell>
          <cell r="K316">
            <v>154.9</v>
          </cell>
          <cell r="L316">
            <v>188.3</v>
          </cell>
          <cell r="M316">
            <v>164.4</v>
          </cell>
          <cell r="N316">
            <v>121</v>
          </cell>
          <cell r="O316">
            <v>170.5</v>
          </cell>
          <cell r="P316">
            <v>164.2</v>
          </cell>
          <cell r="Q316">
            <v>176.5</v>
          </cell>
          <cell r="R316">
            <v>168.2</v>
          </cell>
          <cell r="S316">
            <v>192.4</v>
          </cell>
          <cell r="T316">
            <v>168.5</v>
          </cell>
          <cell r="U316">
            <v>158.69999999999999</v>
          </cell>
          <cell r="V316">
            <v>167</v>
          </cell>
          <cell r="Z316">
            <v>170.6</v>
          </cell>
          <cell r="AA316">
            <v>155.69999999999999</v>
          </cell>
          <cell r="AB316">
            <v>160.6</v>
          </cell>
          <cell r="AC316">
            <v>164.4</v>
          </cell>
          <cell r="AD316">
            <v>162.6</v>
          </cell>
          <cell r="AE316">
            <v>162</v>
          </cell>
          <cell r="AF316">
            <v>166.2</v>
          </cell>
        </row>
        <row r="317">
          <cell r="A317" t="str">
            <v>Rural</v>
          </cell>
          <cell r="B317">
            <v>2022</v>
          </cell>
          <cell r="C317" t="str">
            <v>January</v>
          </cell>
          <cell r="F317">
            <v>148.30000000000001</v>
          </cell>
          <cell r="G317">
            <v>196.9</v>
          </cell>
          <cell r="H317">
            <v>178</v>
          </cell>
          <cell r="I317">
            <v>160.5</v>
          </cell>
          <cell r="J317">
            <v>192.6</v>
          </cell>
          <cell r="K317">
            <v>151.19999999999999</v>
          </cell>
          <cell r="L317">
            <v>159.19999999999999</v>
          </cell>
          <cell r="M317">
            <v>164</v>
          </cell>
          <cell r="N317">
            <v>119.3</v>
          </cell>
          <cell r="O317">
            <v>173.3</v>
          </cell>
          <cell r="P317">
            <v>169.8</v>
          </cell>
          <cell r="Q317">
            <v>175.8</v>
          </cell>
          <cell r="R317">
            <v>164.1</v>
          </cell>
          <cell r="S317">
            <v>190.7</v>
          </cell>
          <cell r="T317">
            <v>173.2</v>
          </cell>
          <cell r="U317">
            <v>169.3</v>
          </cell>
          <cell r="V317">
            <v>172.7</v>
          </cell>
          <cell r="Z317">
            <v>174.7</v>
          </cell>
          <cell r="AA317">
            <v>160.80000000000001</v>
          </cell>
          <cell r="AB317">
            <v>164.9</v>
          </cell>
          <cell r="AC317">
            <v>169.9</v>
          </cell>
          <cell r="AD317">
            <v>163.19999999999999</v>
          </cell>
          <cell r="AE317">
            <v>166.6</v>
          </cell>
          <cell r="AF317">
            <v>166.4</v>
          </cell>
        </row>
        <row r="318">
          <cell r="A318" t="str">
            <v>Urban</v>
          </cell>
          <cell r="B318">
            <v>2022</v>
          </cell>
          <cell r="C318" t="str">
            <v>January</v>
          </cell>
          <cell r="F318">
            <v>152.19999999999999</v>
          </cell>
          <cell r="G318">
            <v>202.1</v>
          </cell>
          <cell r="H318">
            <v>180.1</v>
          </cell>
          <cell r="I318">
            <v>160.4</v>
          </cell>
          <cell r="J318">
            <v>171</v>
          </cell>
          <cell r="K318">
            <v>156.5</v>
          </cell>
          <cell r="L318">
            <v>203.6</v>
          </cell>
          <cell r="M318">
            <v>163.80000000000001</v>
          </cell>
          <cell r="N318">
            <v>121.3</v>
          </cell>
          <cell r="O318">
            <v>169.8</v>
          </cell>
          <cell r="P318">
            <v>156.6</v>
          </cell>
          <cell r="Q318">
            <v>179</v>
          </cell>
          <cell r="R318">
            <v>170.3</v>
          </cell>
          <cell r="S318">
            <v>196.4</v>
          </cell>
          <cell r="T318">
            <v>164.7</v>
          </cell>
          <cell r="U318">
            <v>148.5</v>
          </cell>
          <cell r="V318">
            <v>162.19999999999999</v>
          </cell>
          <cell r="Z318">
            <v>166.1</v>
          </cell>
          <cell r="AA318">
            <v>152.69999999999999</v>
          </cell>
          <cell r="AB318">
            <v>158.4</v>
          </cell>
          <cell r="AC318">
            <v>161</v>
          </cell>
          <cell r="AD318">
            <v>162.80000000000001</v>
          </cell>
          <cell r="AE318">
            <v>158.6</v>
          </cell>
          <cell r="AF318">
            <v>165</v>
          </cell>
        </row>
        <row r="319">
          <cell r="A319" t="str">
            <v>Rural+Urban</v>
          </cell>
          <cell r="B319">
            <v>2022</v>
          </cell>
          <cell r="C319" t="str">
            <v>January</v>
          </cell>
          <cell r="F319">
            <v>149.5</v>
          </cell>
          <cell r="G319">
            <v>198.7</v>
          </cell>
          <cell r="H319">
            <v>178.8</v>
          </cell>
          <cell r="I319">
            <v>160.5</v>
          </cell>
          <cell r="J319">
            <v>184.7</v>
          </cell>
          <cell r="K319">
            <v>153.69999999999999</v>
          </cell>
          <cell r="L319">
            <v>174.3</v>
          </cell>
          <cell r="M319">
            <v>163.9</v>
          </cell>
          <cell r="N319">
            <v>120</v>
          </cell>
          <cell r="O319">
            <v>172.1</v>
          </cell>
          <cell r="P319">
            <v>164.3</v>
          </cell>
          <cell r="Q319">
            <v>177.3</v>
          </cell>
          <cell r="R319">
            <v>166.4</v>
          </cell>
          <cell r="S319">
            <v>192.2</v>
          </cell>
          <cell r="T319">
            <v>169.9</v>
          </cell>
          <cell r="U319">
            <v>160.69999999999999</v>
          </cell>
          <cell r="V319">
            <v>168.5</v>
          </cell>
          <cell r="Z319">
            <v>171.4</v>
          </cell>
          <cell r="AA319">
            <v>156.5</v>
          </cell>
          <cell r="AB319">
            <v>161.19999999999999</v>
          </cell>
          <cell r="AC319">
            <v>164.7</v>
          </cell>
          <cell r="AD319">
            <v>163</v>
          </cell>
          <cell r="AE319">
            <v>162.69999999999999</v>
          </cell>
          <cell r="AF319">
            <v>165.7</v>
          </cell>
        </row>
        <row r="320">
          <cell r="A320" t="str">
            <v>Rural</v>
          </cell>
          <cell r="B320">
            <v>2022</v>
          </cell>
          <cell r="C320" t="str">
            <v>February</v>
          </cell>
          <cell r="F320">
            <v>148.80000000000001</v>
          </cell>
          <cell r="G320">
            <v>198.1</v>
          </cell>
          <cell r="H320">
            <v>175.5</v>
          </cell>
          <cell r="I320">
            <v>160.69999999999999</v>
          </cell>
          <cell r="J320">
            <v>192.6</v>
          </cell>
          <cell r="K320">
            <v>151.4</v>
          </cell>
          <cell r="L320">
            <v>155.19999999999999</v>
          </cell>
          <cell r="M320">
            <v>163.9</v>
          </cell>
          <cell r="N320">
            <v>118.1</v>
          </cell>
          <cell r="O320">
            <v>175.4</v>
          </cell>
          <cell r="P320">
            <v>170.5</v>
          </cell>
          <cell r="Q320">
            <v>176.3</v>
          </cell>
          <cell r="R320">
            <v>163.9</v>
          </cell>
          <cell r="S320">
            <v>191.5</v>
          </cell>
          <cell r="T320">
            <v>174.1</v>
          </cell>
          <cell r="U320">
            <v>171</v>
          </cell>
          <cell r="V320">
            <v>173.7</v>
          </cell>
          <cell r="Z320">
            <v>175.3</v>
          </cell>
          <cell r="AA320">
            <v>161.19999999999999</v>
          </cell>
          <cell r="AB320">
            <v>165.5</v>
          </cell>
          <cell r="AC320">
            <v>170.3</v>
          </cell>
          <cell r="AD320">
            <v>164.5</v>
          </cell>
          <cell r="AE320">
            <v>167.3</v>
          </cell>
          <cell r="AF320">
            <v>166.7</v>
          </cell>
        </row>
        <row r="321">
          <cell r="A321" t="str">
            <v>Urban</v>
          </cell>
          <cell r="B321">
            <v>2022</v>
          </cell>
          <cell r="C321" t="str">
            <v>February</v>
          </cell>
          <cell r="F321">
            <v>152.5</v>
          </cell>
          <cell r="G321">
            <v>205.2</v>
          </cell>
          <cell r="H321">
            <v>176.4</v>
          </cell>
          <cell r="I321">
            <v>160.6</v>
          </cell>
          <cell r="J321">
            <v>171.5</v>
          </cell>
          <cell r="K321">
            <v>156.4</v>
          </cell>
          <cell r="L321">
            <v>198</v>
          </cell>
          <cell r="M321">
            <v>163.19999999999999</v>
          </cell>
          <cell r="N321">
            <v>120.6</v>
          </cell>
          <cell r="O321">
            <v>172.2</v>
          </cell>
          <cell r="P321">
            <v>156.69999999999999</v>
          </cell>
          <cell r="Q321">
            <v>180</v>
          </cell>
          <cell r="R321">
            <v>170.2</v>
          </cell>
          <cell r="S321">
            <v>196.5</v>
          </cell>
          <cell r="T321">
            <v>165.7</v>
          </cell>
          <cell r="U321">
            <v>150.4</v>
          </cell>
          <cell r="V321">
            <v>163.4</v>
          </cell>
          <cell r="Z321">
            <v>167.2</v>
          </cell>
          <cell r="AA321">
            <v>153.1</v>
          </cell>
          <cell r="AB321">
            <v>159.5</v>
          </cell>
          <cell r="AC321">
            <v>162</v>
          </cell>
          <cell r="AD321">
            <v>164.2</v>
          </cell>
          <cell r="AE321">
            <v>159.4</v>
          </cell>
          <cell r="AF321">
            <v>165.5</v>
          </cell>
        </row>
        <row r="322">
          <cell r="A322" t="str">
            <v>Rural+Urban</v>
          </cell>
          <cell r="B322">
            <v>2022</v>
          </cell>
          <cell r="C322" t="str">
            <v>February</v>
          </cell>
          <cell r="F322">
            <v>150</v>
          </cell>
          <cell r="G322">
            <v>200.6</v>
          </cell>
          <cell r="H322">
            <v>175.8</v>
          </cell>
          <cell r="I322">
            <v>160.69999999999999</v>
          </cell>
          <cell r="J322">
            <v>184.9</v>
          </cell>
          <cell r="K322">
            <v>153.69999999999999</v>
          </cell>
          <cell r="L322">
            <v>169.7</v>
          </cell>
          <cell r="M322">
            <v>163.69999999999999</v>
          </cell>
          <cell r="N322">
            <v>118.9</v>
          </cell>
          <cell r="O322">
            <v>174.3</v>
          </cell>
          <cell r="P322">
            <v>164.7</v>
          </cell>
          <cell r="Q322">
            <v>178</v>
          </cell>
          <cell r="R322">
            <v>166.2</v>
          </cell>
          <cell r="S322">
            <v>192.8</v>
          </cell>
          <cell r="T322">
            <v>170.8</v>
          </cell>
          <cell r="U322">
            <v>162.4</v>
          </cell>
          <cell r="V322">
            <v>169.6</v>
          </cell>
          <cell r="Z322">
            <v>172.2</v>
          </cell>
          <cell r="AA322">
            <v>156.9</v>
          </cell>
          <cell r="AB322">
            <v>162.1</v>
          </cell>
          <cell r="AC322">
            <v>165.4</v>
          </cell>
          <cell r="AD322">
            <v>164.4</v>
          </cell>
          <cell r="AE322">
            <v>163.5</v>
          </cell>
          <cell r="AF322">
            <v>166.1</v>
          </cell>
        </row>
        <row r="323">
          <cell r="A323" t="str">
            <v>Rural</v>
          </cell>
          <cell r="B323">
            <v>2022</v>
          </cell>
          <cell r="C323" t="str">
            <v>March</v>
          </cell>
          <cell r="F323">
            <v>150.19999999999999</v>
          </cell>
          <cell r="G323">
            <v>208</v>
          </cell>
          <cell r="H323">
            <v>167.9</v>
          </cell>
          <cell r="I323">
            <v>162</v>
          </cell>
          <cell r="J323">
            <v>203.1</v>
          </cell>
          <cell r="K323">
            <v>155.9</v>
          </cell>
          <cell r="L323">
            <v>155.80000000000001</v>
          </cell>
          <cell r="M323">
            <v>164.2</v>
          </cell>
          <cell r="N323">
            <v>118.1</v>
          </cell>
          <cell r="O323">
            <v>178.7</v>
          </cell>
          <cell r="P323">
            <v>171.2</v>
          </cell>
          <cell r="Q323">
            <v>177.4</v>
          </cell>
          <cell r="R323">
            <v>166.6</v>
          </cell>
          <cell r="S323">
            <v>192.3</v>
          </cell>
          <cell r="T323">
            <v>175.4</v>
          </cell>
          <cell r="U323">
            <v>173.2</v>
          </cell>
          <cell r="V323">
            <v>175.1</v>
          </cell>
          <cell r="Z323">
            <v>176</v>
          </cell>
          <cell r="AA323">
            <v>162</v>
          </cell>
          <cell r="AB323">
            <v>166.6</v>
          </cell>
          <cell r="AC323">
            <v>170.6</v>
          </cell>
          <cell r="AD323">
            <v>167.4</v>
          </cell>
          <cell r="AE323">
            <v>168.3</v>
          </cell>
          <cell r="AF323">
            <v>168.7</v>
          </cell>
        </row>
        <row r="324">
          <cell r="A324" t="str">
            <v>Urban</v>
          </cell>
          <cell r="B324">
            <v>2022</v>
          </cell>
          <cell r="C324" t="str">
            <v>March</v>
          </cell>
          <cell r="F324">
            <v>153.69999999999999</v>
          </cell>
          <cell r="G324">
            <v>215.8</v>
          </cell>
          <cell r="H324">
            <v>167.7</v>
          </cell>
          <cell r="I324">
            <v>162.6</v>
          </cell>
          <cell r="J324">
            <v>180</v>
          </cell>
          <cell r="K324">
            <v>159.6</v>
          </cell>
          <cell r="L324">
            <v>188.4</v>
          </cell>
          <cell r="M324">
            <v>163.4</v>
          </cell>
          <cell r="N324">
            <v>120.3</v>
          </cell>
          <cell r="O324">
            <v>174.7</v>
          </cell>
          <cell r="P324">
            <v>157.1</v>
          </cell>
          <cell r="Q324">
            <v>181.5</v>
          </cell>
          <cell r="R324">
            <v>171.5</v>
          </cell>
          <cell r="S324">
            <v>197.5</v>
          </cell>
          <cell r="T324">
            <v>167.1</v>
          </cell>
          <cell r="U324">
            <v>152.6</v>
          </cell>
          <cell r="V324">
            <v>164.9</v>
          </cell>
          <cell r="Z324">
            <v>168.2</v>
          </cell>
          <cell r="AA324">
            <v>154.19999999999999</v>
          </cell>
          <cell r="AB324">
            <v>160.80000000000001</v>
          </cell>
          <cell r="AC324">
            <v>162.69999999999999</v>
          </cell>
          <cell r="AD324">
            <v>166.8</v>
          </cell>
          <cell r="AE324">
            <v>160.6</v>
          </cell>
          <cell r="AF324">
            <v>166.5</v>
          </cell>
        </row>
        <row r="325">
          <cell r="A325" t="str">
            <v>Rural+Urban</v>
          </cell>
          <cell r="B325">
            <v>2022</v>
          </cell>
          <cell r="C325" t="str">
            <v>March</v>
          </cell>
          <cell r="F325">
            <v>151.30000000000001</v>
          </cell>
          <cell r="G325">
            <v>210.7</v>
          </cell>
          <cell r="H325">
            <v>167.8</v>
          </cell>
          <cell r="I325">
            <v>162.19999999999999</v>
          </cell>
          <cell r="J325">
            <v>194.6</v>
          </cell>
          <cell r="K325">
            <v>157.6</v>
          </cell>
          <cell r="L325">
            <v>166.9</v>
          </cell>
          <cell r="M325">
            <v>163.9</v>
          </cell>
          <cell r="N325">
            <v>118.8</v>
          </cell>
          <cell r="O325">
            <v>177.4</v>
          </cell>
          <cell r="P325">
            <v>165.3</v>
          </cell>
          <cell r="Q325">
            <v>179.3</v>
          </cell>
          <cell r="R325">
            <v>168.4</v>
          </cell>
          <cell r="S325">
            <v>193.7</v>
          </cell>
          <cell r="T325">
            <v>172.1</v>
          </cell>
          <cell r="U325">
            <v>164.6</v>
          </cell>
          <cell r="V325">
            <v>171.1</v>
          </cell>
          <cell r="Z325">
            <v>173</v>
          </cell>
          <cell r="AA325">
            <v>157.9</v>
          </cell>
          <cell r="AB325">
            <v>163.30000000000001</v>
          </cell>
          <cell r="AC325">
            <v>166</v>
          </cell>
          <cell r="AD325">
            <v>167.2</v>
          </cell>
          <cell r="AE325">
            <v>164.6</v>
          </cell>
          <cell r="AF325">
            <v>167.7</v>
          </cell>
        </row>
        <row r="326">
          <cell r="A326" t="str">
            <v>Rural</v>
          </cell>
          <cell r="B326">
            <v>2022</v>
          </cell>
          <cell r="C326" t="str">
            <v>April</v>
          </cell>
          <cell r="F326">
            <v>151.80000000000001</v>
          </cell>
          <cell r="G326">
            <v>209.7</v>
          </cell>
          <cell r="H326">
            <v>164.5</v>
          </cell>
          <cell r="I326">
            <v>163.80000000000001</v>
          </cell>
          <cell r="J326">
            <v>207.4</v>
          </cell>
          <cell r="K326">
            <v>169.7</v>
          </cell>
          <cell r="L326">
            <v>153.6</v>
          </cell>
          <cell r="M326">
            <v>165.1</v>
          </cell>
          <cell r="N326">
            <v>118.2</v>
          </cell>
          <cell r="O326">
            <v>182.9</v>
          </cell>
          <cell r="P326">
            <v>172.4</v>
          </cell>
          <cell r="Q326">
            <v>178.9</v>
          </cell>
          <cell r="R326">
            <v>168.6</v>
          </cell>
          <cell r="S326">
            <v>192.8</v>
          </cell>
          <cell r="T326">
            <v>177.5</v>
          </cell>
          <cell r="U326">
            <v>175.1</v>
          </cell>
          <cell r="V326">
            <v>177.1</v>
          </cell>
          <cell r="Z326">
            <v>177</v>
          </cell>
          <cell r="AA326">
            <v>166.2</v>
          </cell>
          <cell r="AB326">
            <v>167.2</v>
          </cell>
          <cell r="AC326">
            <v>170.9</v>
          </cell>
          <cell r="AD326">
            <v>169</v>
          </cell>
          <cell r="AE326">
            <v>170.2</v>
          </cell>
          <cell r="AF326">
            <v>170.8</v>
          </cell>
        </row>
        <row r="327">
          <cell r="A327" t="str">
            <v>Urban</v>
          </cell>
          <cell r="B327">
            <v>2022</v>
          </cell>
          <cell r="C327" t="str">
            <v>April</v>
          </cell>
          <cell r="F327">
            <v>155.4</v>
          </cell>
          <cell r="G327">
            <v>215.8</v>
          </cell>
          <cell r="H327">
            <v>164.6</v>
          </cell>
          <cell r="I327">
            <v>164.2</v>
          </cell>
          <cell r="J327">
            <v>186</v>
          </cell>
          <cell r="K327">
            <v>175.9</v>
          </cell>
          <cell r="L327">
            <v>190.7</v>
          </cell>
          <cell r="M327">
            <v>164</v>
          </cell>
          <cell r="N327">
            <v>120.5</v>
          </cell>
          <cell r="O327">
            <v>178</v>
          </cell>
          <cell r="P327">
            <v>157.5</v>
          </cell>
          <cell r="Q327">
            <v>183.3</v>
          </cell>
          <cell r="R327">
            <v>174.5</v>
          </cell>
          <cell r="S327">
            <v>197.1</v>
          </cell>
          <cell r="T327">
            <v>168.4</v>
          </cell>
          <cell r="U327">
            <v>154.5</v>
          </cell>
          <cell r="V327">
            <v>166.3</v>
          </cell>
          <cell r="Z327">
            <v>169</v>
          </cell>
          <cell r="AA327">
            <v>159.30000000000001</v>
          </cell>
          <cell r="AB327">
            <v>162.19999999999999</v>
          </cell>
          <cell r="AC327">
            <v>164</v>
          </cell>
          <cell r="AD327">
            <v>168.4</v>
          </cell>
          <cell r="AE327">
            <v>163.1</v>
          </cell>
          <cell r="AF327">
            <v>169.2</v>
          </cell>
        </row>
        <row r="328">
          <cell r="A328" t="str">
            <v>Rural+Urban</v>
          </cell>
          <cell r="B328">
            <v>2022</v>
          </cell>
          <cell r="C328" t="str">
            <v>April</v>
          </cell>
          <cell r="F328">
            <v>152.9</v>
          </cell>
          <cell r="G328">
            <v>211.8</v>
          </cell>
          <cell r="H328">
            <v>164.5</v>
          </cell>
          <cell r="I328">
            <v>163.9</v>
          </cell>
          <cell r="J328">
            <v>199.5</v>
          </cell>
          <cell r="K328">
            <v>172.6</v>
          </cell>
          <cell r="L328">
            <v>166.2</v>
          </cell>
          <cell r="M328">
            <v>164.7</v>
          </cell>
          <cell r="N328">
            <v>119</v>
          </cell>
          <cell r="O328">
            <v>181.3</v>
          </cell>
          <cell r="P328">
            <v>166.2</v>
          </cell>
          <cell r="Q328">
            <v>180.9</v>
          </cell>
          <cell r="R328">
            <v>170.8</v>
          </cell>
          <cell r="S328">
            <v>193.9</v>
          </cell>
          <cell r="T328">
            <v>173.9</v>
          </cell>
          <cell r="U328">
            <v>166.5</v>
          </cell>
          <cell r="V328">
            <v>172.8</v>
          </cell>
          <cell r="Z328">
            <v>174</v>
          </cell>
          <cell r="AA328">
            <v>162.6</v>
          </cell>
          <cell r="AB328">
            <v>164.4</v>
          </cell>
          <cell r="AC328">
            <v>166.9</v>
          </cell>
          <cell r="AD328">
            <v>168.8</v>
          </cell>
          <cell r="AE328">
            <v>166.8</v>
          </cell>
          <cell r="AF328">
            <v>170.1</v>
          </cell>
        </row>
        <row r="329">
          <cell r="A329" t="str">
            <v>Rural</v>
          </cell>
          <cell r="B329">
            <v>2022</v>
          </cell>
          <cell r="C329" t="str">
            <v>May</v>
          </cell>
          <cell r="F329">
            <v>152.9</v>
          </cell>
          <cell r="G329">
            <v>214.7</v>
          </cell>
          <cell r="H329">
            <v>161.4</v>
          </cell>
          <cell r="I329">
            <v>164.6</v>
          </cell>
          <cell r="J329">
            <v>209.9</v>
          </cell>
          <cell r="K329">
            <v>168</v>
          </cell>
          <cell r="L329">
            <v>160.4</v>
          </cell>
          <cell r="M329">
            <v>165</v>
          </cell>
          <cell r="N329">
            <v>118.9</v>
          </cell>
          <cell r="O329">
            <v>186.6</v>
          </cell>
          <cell r="P329">
            <v>173.2</v>
          </cell>
          <cell r="Q329">
            <v>180.4</v>
          </cell>
          <cell r="R329">
            <v>170.8</v>
          </cell>
          <cell r="S329">
            <v>192.9</v>
          </cell>
          <cell r="T329">
            <v>179.3</v>
          </cell>
          <cell r="U329">
            <v>177.2</v>
          </cell>
          <cell r="V329">
            <v>179</v>
          </cell>
          <cell r="Z329">
            <v>177.7</v>
          </cell>
          <cell r="AA329">
            <v>167.1</v>
          </cell>
          <cell r="AB329">
            <v>167.6</v>
          </cell>
          <cell r="AC329">
            <v>171.8</v>
          </cell>
          <cell r="AD329">
            <v>168.5</v>
          </cell>
          <cell r="AE329">
            <v>170.9</v>
          </cell>
          <cell r="AF329">
            <v>172.5</v>
          </cell>
        </row>
        <row r="330">
          <cell r="A330" t="str">
            <v>Urban</v>
          </cell>
          <cell r="B330">
            <v>2022</v>
          </cell>
          <cell r="C330" t="str">
            <v>May</v>
          </cell>
          <cell r="F330">
            <v>156.69999999999999</v>
          </cell>
          <cell r="G330">
            <v>221.2</v>
          </cell>
          <cell r="H330">
            <v>164.1</v>
          </cell>
          <cell r="I330">
            <v>165.4</v>
          </cell>
          <cell r="J330">
            <v>189.5</v>
          </cell>
          <cell r="K330">
            <v>174.5</v>
          </cell>
          <cell r="L330">
            <v>203.2</v>
          </cell>
          <cell r="M330">
            <v>164.1</v>
          </cell>
          <cell r="N330">
            <v>121.2</v>
          </cell>
          <cell r="O330">
            <v>181.4</v>
          </cell>
          <cell r="P330">
            <v>158.5</v>
          </cell>
          <cell r="Q330">
            <v>184.9</v>
          </cell>
          <cell r="R330">
            <v>177.5</v>
          </cell>
          <cell r="S330">
            <v>197.5</v>
          </cell>
          <cell r="T330">
            <v>170</v>
          </cell>
          <cell r="U330">
            <v>155.9</v>
          </cell>
          <cell r="V330">
            <v>167.8</v>
          </cell>
          <cell r="Z330">
            <v>170.1</v>
          </cell>
          <cell r="AA330">
            <v>159.4</v>
          </cell>
          <cell r="AB330">
            <v>163.19999999999999</v>
          </cell>
          <cell r="AC330">
            <v>165.2</v>
          </cell>
          <cell r="AD330">
            <v>168.2</v>
          </cell>
          <cell r="AE330">
            <v>163.80000000000001</v>
          </cell>
          <cell r="AF330">
            <v>170.8</v>
          </cell>
        </row>
        <row r="331">
          <cell r="A331" t="str">
            <v>Rural+Urban</v>
          </cell>
          <cell r="B331">
            <v>2022</v>
          </cell>
          <cell r="C331" t="str">
            <v>May</v>
          </cell>
          <cell r="F331">
            <v>154.1</v>
          </cell>
          <cell r="G331">
            <v>217</v>
          </cell>
          <cell r="H331">
            <v>162.4</v>
          </cell>
          <cell r="I331">
            <v>164.9</v>
          </cell>
          <cell r="J331">
            <v>202.4</v>
          </cell>
          <cell r="K331">
            <v>171</v>
          </cell>
          <cell r="L331">
            <v>174.9</v>
          </cell>
          <cell r="M331">
            <v>164.7</v>
          </cell>
          <cell r="N331">
            <v>119.7</v>
          </cell>
          <cell r="O331">
            <v>184.9</v>
          </cell>
          <cell r="P331">
            <v>167.1</v>
          </cell>
          <cell r="Q331">
            <v>182.5</v>
          </cell>
          <cell r="R331">
            <v>173.3</v>
          </cell>
          <cell r="S331">
            <v>194.1</v>
          </cell>
          <cell r="T331">
            <v>175.6</v>
          </cell>
          <cell r="U331">
            <v>168.4</v>
          </cell>
          <cell r="V331">
            <v>174.6</v>
          </cell>
          <cell r="Z331">
            <v>174.8</v>
          </cell>
          <cell r="AA331">
            <v>163</v>
          </cell>
          <cell r="AB331">
            <v>165.1</v>
          </cell>
          <cell r="AC331">
            <v>167.9</v>
          </cell>
          <cell r="AD331">
            <v>168.4</v>
          </cell>
          <cell r="AE331">
            <v>167.5</v>
          </cell>
          <cell r="AF331">
            <v>171.7</v>
          </cell>
        </row>
        <row r="332">
          <cell r="A332" t="str">
            <v>Rural</v>
          </cell>
          <cell r="B332">
            <v>2022</v>
          </cell>
          <cell r="C332" t="str">
            <v>June</v>
          </cell>
          <cell r="F332">
            <v>153.80000000000001</v>
          </cell>
          <cell r="G332">
            <v>217.2</v>
          </cell>
          <cell r="H332">
            <v>169.6</v>
          </cell>
          <cell r="I332">
            <v>165.4</v>
          </cell>
          <cell r="J332">
            <v>208.1</v>
          </cell>
          <cell r="K332">
            <v>165.8</v>
          </cell>
          <cell r="L332">
            <v>167.3</v>
          </cell>
          <cell r="M332">
            <v>164.6</v>
          </cell>
          <cell r="N332">
            <v>119.1</v>
          </cell>
          <cell r="O332">
            <v>188.9</v>
          </cell>
          <cell r="P332">
            <v>174.2</v>
          </cell>
          <cell r="Q332">
            <v>181.9</v>
          </cell>
          <cell r="R332">
            <v>172.4</v>
          </cell>
          <cell r="S332">
            <v>192.9</v>
          </cell>
          <cell r="T332">
            <v>180.7</v>
          </cell>
          <cell r="U332">
            <v>178.7</v>
          </cell>
          <cell r="V332">
            <v>180.4</v>
          </cell>
          <cell r="Z332">
            <v>178.2</v>
          </cell>
          <cell r="AA332">
            <v>165.5</v>
          </cell>
          <cell r="AB332">
            <v>168</v>
          </cell>
          <cell r="AC332">
            <v>172.6</v>
          </cell>
          <cell r="AD332">
            <v>169.5</v>
          </cell>
          <cell r="AE332">
            <v>171</v>
          </cell>
          <cell r="AF332">
            <v>173.6</v>
          </cell>
        </row>
        <row r="333">
          <cell r="A333" t="str">
            <v>Urban</v>
          </cell>
          <cell r="B333">
            <v>2022</v>
          </cell>
          <cell r="C333" t="str">
            <v>June</v>
          </cell>
          <cell r="F333">
            <v>157.5</v>
          </cell>
          <cell r="G333">
            <v>223.4</v>
          </cell>
          <cell r="H333">
            <v>172.8</v>
          </cell>
          <cell r="I333">
            <v>166.4</v>
          </cell>
          <cell r="J333">
            <v>188.6</v>
          </cell>
          <cell r="K333">
            <v>174.1</v>
          </cell>
          <cell r="L333">
            <v>211.5</v>
          </cell>
          <cell r="M333">
            <v>163.6</v>
          </cell>
          <cell r="N333">
            <v>121.4</v>
          </cell>
          <cell r="O333">
            <v>183.5</v>
          </cell>
          <cell r="P333">
            <v>159.1</v>
          </cell>
          <cell r="Q333">
            <v>186.3</v>
          </cell>
          <cell r="R333">
            <v>179.3</v>
          </cell>
          <cell r="S333">
            <v>198.3</v>
          </cell>
          <cell r="T333">
            <v>171.6</v>
          </cell>
          <cell r="U333">
            <v>157.4</v>
          </cell>
          <cell r="V333">
            <v>169.4</v>
          </cell>
          <cell r="Z333">
            <v>170.9</v>
          </cell>
          <cell r="AA333">
            <v>157.19999999999999</v>
          </cell>
          <cell r="AB333">
            <v>164.1</v>
          </cell>
          <cell r="AC333">
            <v>166.5</v>
          </cell>
          <cell r="AD333">
            <v>169.2</v>
          </cell>
          <cell r="AE333">
            <v>163.80000000000001</v>
          </cell>
          <cell r="AF333">
            <v>171.4</v>
          </cell>
        </row>
        <row r="334">
          <cell r="A334" t="str">
            <v>Rural+Urban</v>
          </cell>
          <cell r="B334">
            <v>2022</v>
          </cell>
          <cell r="C334" t="str">
            <v>June</v>
          </cell>
          <cell r="F334">
            <v>155</v>
          </cell>
          <cell r="G334">
            <v>219.4</v>
          </cell>
          <cell r="H334">
            <v>170.8</v>
          </cell>
          <cell r="I334">
            <v>165.8</v>
          </cell>
          <cell r="J334">
            <v>200.9</v>
          </cell>
          <cell r="K334">
            <v>169.7</v>
          </cell>
          <cell r="L334">
            <v>182.3</v>
          </cell>
          <cell r="M334">
            <v>164.3</v>
          </cell>
          <cell r="N334">
            <v>119.9</v>
          </cell>
          <cell r="O334">
            <v>187.1</v>
          </cell>
          <cell r="P334">
            <v>167.9</v>
          </cell>
          <cell r="Q334">
            <v>183.9</v>
          </cell>
          <cell r="R334">
            <v>174.9</v>
          </cell>
          <cell r="S334">
            <v>194.3</v>
          </cell>
          <cell r="T334">
            <v>177.1</v>
          </cell>
          <cell r="U334">
            <v>169.9</v>
          </cell>
          <cell r="V334">
            <v>176</v>
          </cell>
          <cell r="Z334">
            <v>175.4</v>
          </cell>
          <cell r="AA334">
            <v>161.1</v>
          </cell>
          <cell r="AB334">
            <v>165.8</v>
          </cell>
          <cell r="AC334">
            <v>169</v>
          </cell>
          <cell r="AD334">
            <v>169.4</v>
          </cell>
          <cell r="AE334">
            <v>167.5</v>
          </cell>
          <cell r="AF334">
            <v>172.6</v>
          </cell>
        </row>
        <row r="335">
          <cell r="A335" t="str">
            <v>Rural</v>
          </cell>
          <cell r="B335">
            <v>2022</v>
          </cell>
          <cell r="C335" t="str">
            <v>July</v>
          </cell>
          <cell r="F335">
            <v>155.19999999999999</v>
          </cell>
          <cell r="G335">
            <v>210.8</v>
          </cell>
          <cell r="H335">
            <v>174.3</v>
          </cell>
          <cell r="I335">
            <v>166.3</v>
          </cell>
          <cell r="J335">
            <v>202.2</v>
          </cell>
          <cell r="K335">
            <v>169.6</v>
          </cell>
          <cell r="L335">
            <v>168.6</v>
          </cell>
          <cell r="M335">
            <v>164.4</v>
          </cell>
          <cell r="N335">
            <v>119.2</v>
          </cell>
          <cell r="O335">
            <v>191.8</v>
          </cell>
          <cell r="P335">
            <v>174.5</v>
          </cell>
          <cell r="Q335">
            <v>183.1</v>
          </cell>
          <cell r="R335">
            <v>172.5</v>
          </cell>
          <cell r="S335">
            <v>193.2</v>
          </cell>
          <cell r="T335">
            <v>182</v>
          </cell>
          <cell r="U335">
            <v>180.3</v>
          </cell>
          <cell r="V335">
            <v>181.7</v>
          </cell>
          <cell r="Z335">
            <v>178.8</v>
          </cell>
          <cell r="AA335">
            <v>166.3</v>
          </cell>
          <cell r="AB335">
            <v>168.6</v>
          </cell>
          <cell r="AC335">
            <v>174.7</v>
          </cell>
          <cell r="AD335">
            <v>169.7</v>
          </cell>
          <cell r="AE335">
            <v>171.8</v>
          </cell>
          <cell r="AF335">
            <v>174.3</v>
          </cell>
        </row>
        <row r="336">
          <cell r="A336" t="str">
            <v>Urban</v>
          </cell>
          <cell r="B336">
            <v>2022</v>
          </cell>
          <cell r="C336" t="str">
            <v>July</v>
          </cell>
          <cell r="F336">
            <v>159.30000000000001</v>
          </cell>
          <cell r="G336">
            <v>217.1</v>
          </cell>
          <cell r="H336">
            <v>176.6</v>
          </cell>
          <cell r="I336">
            <v>167.1</v>
          </cell>
          <cell r="J336">
            <v>184.8</v>
          </cell>
          <cell r="K336">
            <v>179.5</v>
          </cell>
          <cell r="L336">
            <v>208.5</v>
          </cell>
          <cell r="M336">
            <v>164</v>
          </cell>
          <cell r="N336">
            <v>121.5</v>
          </cell>
          <cell r="O336">
            <v>186.3</v>
          </cell>
          <cell r="P336">
            <v>159.80000000000001</v>
          </cell>
          <cell r="Q336">
            <v>187.7</v>
          </cell>
          <cell r="R336">
            <v>179.4</v>
          </cell>
          <cell r="S336">
            <v>198.6</v>
          </cell>
          <cell r="T336">
            <v>172.7</v>
          </cell>
          <cell r="U336">
            <v>158.69999999999999</v>
          </cell>
          <cell r="V336">
            <v>170.6</v>
          </cell>
          <cell r="Z336">
            <v>171.7</v>
          </cell>
          <cell r="AA336">
            <v>157.4</v>
          </cell>
          <cell r="AB336">
            <v>164.6</v>
          </cell>
          <cell r="AC336">
            <v>169.1</v>
          </cell>
          <cell r="AD336">
            <v>169.8</v>
          </cell>
          <cell r="AE336">
            <v>164.7</v>
          </cell>
          <cell r="AF336">
            <v>172.3</v>
          </cell>
        </row>
        <row r="337">
          <cell r="A337" t="str">
            <v>Rural+Urban</v>
          </cell>
          <cell r="B337">
            <v>2022</v>
          </cell>
          <cell r="C337" t="str">
            <v>July</v>
          </cell>
          <cell r="F337">
            <v>156.5</v>
          </cell>
          <cell r="G337">
            <v>213</v>
          </cell>
          <cell r="H337">
            <v>175.2</v>
          </cell>
          <cell r="I337">
            <v>166.6</v>
          </cell>
          <cell r="J337">
            <v>195.8</v>
          </cell>
          <cell r="K337">
            <v>174.2</v>
          </cell>
          <cell r="L337">
            <v>182.1</v>
          </cell>
          <cell r="M337">
            <v>164.3</v>
          </cell>
          <cell r="N337">
            <v>120</v>
          </cell>
          <cell r="O337">
            <v>190</v>
          </cell>
          <cell r="P337">
            <v>168.4</v>
          </cell>
          <cell r="Q337">
            <v>185.2</v>
          </cell>
          <cell r="R337">
            <v>175</v>
          </cell>
          <cell r="S337">
            <v>194.6</v>
          </cell>
          <cell r="T337">
            <v>178.3</v>
          </cell>
          <cell r="U337">
            <v>171.3</v>
          </cell>
          <cell r="V337">
            <v>177.3</v>
          </cell>
          <cell r="Z337">
            <v>176.1</v>
          </cell>
          <cell r="AA337">
            <v>161.6</v>
          </cell>
          <cell r="AB337">
            <v>166.3</v>
          </cell>
          <cell r="AC337">
            <v>171.4</v>
          </cell>
          <cell r="AD337">
            <v>169.7</v>
          </cell>
          <cell r="AE337">
            <v>168.4</v>
          </cell>
          <cell r="AF337">
            <v>173.4</v>
          </cell>
        </row>
        <row r="338">
          <cell r="A338" t="str">
            <v>Rural</v>
          </cell>
          <cell r="B338">
            <v>2022</v>
          </cell>
          <cell r="C338" t="str">
            <v>August</v>
          </cell>
          <cell r="F338">
            <v>159.5</v>
          </cell>
          <cell r="G338">
            <v>204.1</v>
          </cell>
          <cell r="H338">
            <v>168.3</v>
          </cell>
          <cell r="I338">
            <v>167.9</v>
          </cell>
          <cell r="J338">
            <v>198.1</v>
          </cell>
          <cell r="K338">
            <v>169.2</v>
          </cell>
          <cell r="L338">
            <v>173.1</v>
          </cell>
          <cell r="M338">
            <v>167.1</v>
          </cell>
          <cell r="N338">
            <v>120.2</v>
          </cell>
          <cell r="O338">
            <v>195.6</v>
          </cell>
          <cell r="P338">
            <v>174.8</v>
          </cell>
          <cell r="Q338">
            <v>184</v>
          </cell>
          <cell r="R338">
            <v>173.9</v>
          </cell>
          <cell r="S338">
            <v>193.7</v>
          </cell>
          <cell r="T338">
            <v>183.2</v>
          </cell>
          <cell r="U338">
            <v>181.7</v>
          </cell>
          <cell r="V338">
            <v>183</v>
          </cell>
          <cell r="Z338">
            <v>179.4</v>
          </cell>
          <cell r="AA338">
            <v>166.6</v>
          </cell>
          <cell r="AB338">
            <v>169.3</v>
          </cell>
          <cell r="AC338">
            <v>175.7</v>
          </cell>
          <cell r="AD338">
            <v>171.1</v>
          </cell>
          <cell r="AE338">
            <v>172.6</v>
          </cell>
          <cell r="AF338">
            <v>175.3</v>
          </cell>
        </row>
        <row r="339">
          <cell r="A339" t="str">
            <v>Urban</v>
          </cell>
          <cell r="B339">
            <v>2022</v>
          </cell>
          <cell r="C339" t="str">
            <v>August</v>
          </cell>
          <cell r="F339">
            <v>162.1</v>
          </cell>
          <cell r="G339">
            <v>210.9</v>
          </cell>
          <cell r="H339">
            <v>170.6</v>
          </cell>
          <cell r="I339">
            <v>168.4</v>
          </cell>
          <cell r="J339">
            <v>182.5</v>
          </cell>
          <cell r="K339">
            <v>177.1</v>
          </cell>
          <cell r="L339">
            <v>213.1</v>
          </cell>
          <cell r="M339">
            <v>167.3</v>
          </cell>
          <cell r="N339">
            <v>122.2</v>
          </cell>
          <cell r="O339">
            <v>189.7</v>
          </cell>
          <cell r="P339">
            <v>160.5</v>
          </cell>
          <cell r="Q339">
            <v>188.9</v>
          </cell>
          <cell r="R339">
            <v>180.4</v>
          </cell>
          <cell r="S339">
            <v>198.7</v>
          </cell>
          <cell r="T339">
            <v>173.7</v>
          </cell>
          <cell r="U339">
            <v>160</v>
          </cell>
          <cell r="V339">
            <v>171.6</v>
          </cell>
          <cell r="Z339">
            <v>172.6</v>
          </cell>
          <cell r="AA339">
            <v>157.69999999999999</v>
          </cell>
          <cell r="AB339">
            <v>165.1</v>
          </cell>
          <cell r="AC339">
            <v>169.9</v>
          </cell>
          <cell r="AD339">
            <v>171.4</v>
          </cell>
          <cell r="AE339">
            <v>165.4</v>
          </cell>
          <cell r="AF339">
            <v>173.1</v>
          </cell>
        </row>
        <row r="340">
          <cell r="A340" t="str">
            <v>Rural+Urban</v>
          </cell>
          <cell r="B340">
            <v>2022</v>
          </cell>
          <cell r="C340" t="str">
            <v>August</v>
          </cell>
          <cell r="F340">
            <v>160.30000000000001</v>
          </cell>
          <cell r="G340">
            <v>206.5</v>
          </cell>
          <cell r="H340">
            <v>169.2</v>
          </cell>
          <cell r="I340">
            <v>168.1</v>
          </cell>
          <cell r="J340">
            <v>192.4</v>
          </cell>
          <cell r="K340">
            <v>172.9</v>
          </cell>
          <cell r="L340">
            <v>186.7</v>
          </cell>
          <cell r="M340">
            <v>167.2</v>
          </cell>
          <cell r="N340">
            <v>120.9</v>
          </cell>
          <cell r="O340">
            <v>193.6</v>
          </cell>
          <cell r="P340">
            <v>168.8</v>
          </cell>
          <cell r="Q340">
            <v>186.3</v>
          </cell>
          <cell r="R340">
            <v>176.3</v>
          </cell>
          <cell r="S340">
            <v>195</v>
          </cell>
          <cell r="T340">
            <v>179.5</v>
          </cell>
          <cell r="U340">
            <v>172.7</v>
          </cell>
          <cell r="V340">
            <v>178.5</v>
          </cell>
          <cell r="Z340">
            <v>176.8</v>
          </cell>
          <cell r="AA340">
            <v>161.9</v>
          </cell>
          <cell r="AB340">
            <v>166.9</v>
          </cell>
          <cell r="AC340">
            <v>172.3</v>
          </cell>
          <cell r="AD340">
            <v>171.2</v>
          </cell>
          <cell r="AE340">
            <v>169.1</v>
          </cell>
          <cell r="AF340">
            <v>174.3</v>
          </cell>
        </row>
        <row r="341">
          <cell r="A341" t="str">
            <v>Rural</v>
          </cell>
          <cell r="B341">
            <v>2022</v>
          </cell>
          <cell r="C341" t="str">
            <v>September</v>
          </cell>
          <cell r="F341">
            <v>162.9</v>
          </cell>
          <cell r="G341">
            <v>206.7</v>
          </cell>
          <cell r="H341">
            <v>169</v>
          </cell>
          <cell r="I341">
            <v>169.5</v>
          </cell>
          <cell r="J341">
            <v>194.1</v>
          </cell>
          <cell r="K341">
            <v>164.1</v>
          </cell>
          <cell r="L341">
            <v>176.9</v>
          </cell>
          <cell r="M341">
            <v>169</v>
          </cell>
          <cell r="N341">
            <v>120.8</v>
          </cell>
          <cell r="O341">
            <v>199.1</v>
          </cell>
          <cell r="P341">
            <v>175.4</v>
          </cell>
          <cell r="Q341">
            <v>184.8</v>
          </cell>
          <cell r="R341">
            <v>175.5</v>
          </cell>
          <cell r="S341">
            <v>194.5</v>
          </cell>
          <cell r="T341">
            <v>184.7</v>
          </cell>
          <cell r="U341">
            <v>183.3</v>
          </cell>
          <cell r="V341">
            <v>184.5</v>
          </cell>
          <cell r="Z341">
            <v>180.2</v>
          </cell>
          <cell r="AA341">
            <v>166.9</v>
          </cell>
          <cell r="AB341">
            <v>170</v>
          </cell>
          <cell r="AC341">
            <v>176.2</v>
          </cell>
          <cell r="AD341">
            <v>170.8</v>
          </cell>
          <cell r="AE341">
            <v>173.1</v>
          </cell>
          <cell r="AF341">
            <v>176.4</v>
          </cell>
        </row>
        <row r="342">
          <cell r="A342" t="str">
            <v>Urban</v>
          </cell>
          <cell r="B342">
            <v>2022</v>
          </cell>
          <cell r="C342" t="str">
            <v>September</v>
          </cell>
          <cell r="F342">
            <v>164.9</v>
          </cell>
          <cell r="G342">
            <v>213.7</v>
          </cell>
          <cell r="H342">
            <v>170.9</v>
          </cell>
          <cell r="I342">
            <v>170.1</v>
          </cell>
          <cell r="J342">
            <v>179.3</v>
          </cell>
          <cell r="K342">
            <v>167.5</v>
          </cell>
          <cell r="L342">
            <v>220.8</v>
          </cell>
          <cell r="M342">
            <v>169.2</v>
          </cell>
          <cell r="N342">
            <v>123.1</v>
          </cell>
          <cell r="O342">
            <v>193.6</v>
          </cell>
          <cell r="P342">
            <v>161.1</v>
          </cell>
          <cell r="Q342">
            <v>190.4</v>
          </cell>
          <cell r="R342">
            <v>181.8</v>
          </cell>
          <cell r="S342">
            <v>199.7</v>
          </cell>
          <cell r="T342">
            <v>175</v>
          </cell>
          <cell r="U342">
            <v>161.69999999999999</v>
          </cell>
          <cell r="V342">
            <v>173</v>
          </cell>
          <cell r="Z342">
            <v>173.8</v>
          </cell>
          <cell r="AA342">
            <v>158.19999999999999</v>
          </cell>
          <cell r="AB342">
            <v>165.8</v>
          </cell>
          <cell r="AC342">
            <v>170.9</v>
          </cell>
          <cell r="AD342">
            <v>171.1</v>
          </cell>
          <cell r="AE342">
            <v>166.1</v>
          </cell>
          <cell r="AF342">
            <v>174.1</v>
          </cell>
        </row>
        <row r="343">
          <cell r="A343" t="str">
            <v>Rural+Urban</v>
          </cell>
          <cell r="B343">
            <v>2022</v>
          </cell>
          <cell r="C343" t="str">
            <v>September</v>
          </cell>
          <cell r="F343">
            <v>163.5</v>
          </cell>
          <cell r="G343">
            <v>209.2</v>
          </cell>
          <cell r="H343">
            <v>169.7</v>
          </cell>
          <cell r="I343">
            <v>169.7</v>
          </cell>
          <cell r="J343">
            <v>188.7</v>
          </cell>
          <cell r="K343">
            <v>165.7</v>
          </cell>
          <cell r="L343">
            <v>191.8</v>
          </cell>
          <cell r="M343">
            <v>169.1</v>
          </cell>
          <cell r="N343">
            <v>121.6</v>
          </cell>
          <cell r="O343">
            <v>197.3</v>
          </cell>
          <cell r="P343">
            <v>169.4</v>
          </cell>
          <cell r="Q343">
            <v>187.4</v>
          </cell>
          <cell r="R343">
            <v>177.8</v>
          </cell>
          <cell r="S343">
            <v>195.9</v>
          </cell>
          <cell r="T343">
            <v>180.9</v>
          </cell>
          <cell r="U343">
            <v>174.3</v>
          </cell>
          <cell r="V343">
            <v>179.9</v>
          </cell>
          <cell r="Z343">
            <v>177.8</v>
          </cell>
          <cell r="AA343">
            <v>162.30000000000001</v>
          </cell>
          <cell r="AB343">
            <v>167.6</v>
          </cell>
          <cell r="AC343">
            <v>173.1</v>
          </cell>
          <cell r="AD343">
            <v>170.9</v>
          </cell>
          <cell r="AE343">
            <v>169.7</v>
          </cell>
          <cell r="AF343">
            <v>175.3</v>
          </cell>
        </row>
        <row r="344">
          <cell r="A344" t="str">
            <v>Rural</v>
          </cell>
          <cell r="B344">
            <v>2022</v>
          </cell>
          <cell r="C344" t="str">
            <v>October</v>
          </cell>
          <cell r="F344">
            <v>164.7</v>
          </cell>
          <cell r="G344">
            <v>208.8</v>
          </cell>
          <cell r="H344">
            <v>170.3</v>
          </cell>
          <cell r="I344">
            <v>170.9</v>
          </cell>
          <cell r="J344">
            <v>191.6</v>
          </cell>
          <cell r="K344">
            <v>162.19999999999999</v>
          </cell>
          <cell r="L344">
            <v>184.8</v>
          </cell>
          <cell r="M344">
            <v>169.7</v>
          </cell>
          <cell r="N344">
            <v>121.1</v>
          </cell>
          <cell r="O344">
            <v>201.6</v>
          </cell>
          <cell r="P344">
            <v>175.8</v>
          </cell>
          <cell r="Q344">
            <v>185.6</v>
          </cell>
          <cell r="R344">
            <v>177.4</v>
          </cell>
          <cell r="S344">
            <v>194.9</v>
          </cell>
          <cell r="T344">
            <v>186.1</v>
          </cell>
          <cell r="U344">
            <v>184.4</v>
          </cell>
          <cell r="V344">
            <v>185.9</v>
          </cell>
          <cell r="Z344">
            <v>181.2</v>
          </cell>
          <cell r="AA344">
            <v>167.4</v>
          </cell>
          <cell r="AB344">
            <v>170.6</v>
          </cell>
          <cell r="AC344">
            <v>176.5</v>
          </cell>
          <cell r="AD344">
            <v>172</v>
          </cell>
          <cell r="AE344">
            <v>173.9</v>
          </cell>
          <cell r="AF344">
            <v>177.9</v>
          </cell>
        </row>
        <row r="345">
          <cell r="A345" t="str">
            <v>Urban</v>
          </cell>
          <cell r="B345">
            <v>2022</v>
          </cell>
          <cell r="C345" t="str">
            <v>October</v>
          </cell>
          <cell r="F345">
            <v>166.4</v>
          </cell>
          <cell r="G345">
            <v>214.9</v>
          </cell>
          <cell r="H345">
            <v>171.9</v>
          </cell>
          <cell r="I345">
            <v>171</v>
          </cell>
          <cell r="J345">
            <v>177.7</v>
          </cell>
          <cell r="K345">
            <v>165.7</v>
          </cell>
          <cell r="L345">
            <v>228.6</v>
          </cell>
          <cell r="M345">
            <v>169.9</v>
          </cell>
          <cell r="N345">
            <v>123.4</v>
          </cell>
          <cell r="O345">
            <v>196.4</v>
          </cell>
          <cell r="P345">
            <v>161.6</v>
          </cell>
          <cell r="Q345">
            <v>191.5</v>
          </cell>
          <cell r="R345">
            <v>183.3</v>
          </cell>
          <cell r="S345">
            <v>200.1</v>
          </cell>
          <cell r="T345">
            <v>175.5</v>
          </cell>
          <cell r="U345">
            <v>162.6</v>
          </cell>
          <cell r="V345">
            <v>173.6</v>
          </cell>
          <cell r="Z345">
            <v>174.7</v>
          </cell>
          <cell r="AA345">
            <v>158.80000000000001</v>
          </cell>
          <cell r="AB345">
            <v>166.3</v>
          </cell>
          <cell r="AC345">
            <v>171.2</v>
          </cell>
          <cell r="AD345">
            <v>172.3</v>
          </cell>
          <cell r="AE345">
            <v>166.8</v>
          </cell>
          <cell r="AF345">
            <v>175.3</v>
          </cell>
        </row>
        <row r="346">
          <cell r="A346" t="str">
            <v>Rural+Urban</v>
          </cell>
          <cell r="B346">
            <v>2022</v>
          </cell>
          <cell r="C346" t="str">
            <v>October</v>
          </cell>
          <cell r="F346">
            <v>165.2</v>
          </cell>
          <cell r="G346">
            <v>210.9</v>
          </cell>
          <cell r="H346">
            <v>170.9</v>
          </cell>
          <cell r="I346">
            <v>170.9</v>
          </cell>
          <cell r="J346">
            <v>186.5</v>
          </cell>
          <cell r="K346">
            <v>163.80000000000001</v>
          </cell>
          <cell r="L346">
            <v>199.7</v>
          </cell>
          <cell r="M346">
            <v>169.8</v>
          </cell>
          <cell r="N346">
            <v>121.9</v>
          </cell>
          <cell r="O346">
            <v>199.9</v>
          </cell>
          <cell r="P346">
            <v>169.9</v>
          </cell>
          <cell r="Q346">
            <v>188.3</v>
          </cell>
          <cell r="R346">
            <v>179.6</v>
          </cell>
          <cell r="S346">
            <v>196.3</v>
          </cell>
          <cell r="T346">
            <v>181.9</v>
          </cell>
          <cell r="U346">
            <v>175.3</v>
          </cell>
          <cell r="V346">
            <v>181</v>
          </cell>
          <cell r="Z346">
            <v>178.7</v>
          </cell>
          <cell r="AA346">
            <v>162.9</v>
          </cell>
          <cell r="AB346">
            <v>168.2</v>
          </cell>
          <cell r="AC346">
            <v>173.4</v>
          </cell>
          <cell r="AD346">
            <v>172.1</v>
          </cell>
          <cell r="AE346">
            <v>170.5</v>
          </cell>
          <cell r="AF346">
            <v>176.7</v>
          </cell>
        </row>
        <row r="347">
          <cell r="A347" t="str">
            <v>Rural</v>
          </cell>
          <cell r="B347">
            <v>2022</v>
          </cell>
          <cell r="C347" t="str">
            <v>November</v>
          </cell>
          <cell r="F347">
            <v>166.9</v>
          </cell>
          <cell r="G347">
            <v>207.2</v>
          </cell>
          <cell r="H347">
            <v>180.2</v>
          </cell>
          <cell r="I347">
            <v>172.3</v>
          </cell>
          <cell r="J347">
            <v>194</v>
          </cell>
          <cell r="K347">
            <v>159.1</v>
          </cell>
          <cell r="L347">
            <v>171.6</v>
          </cell>
          <cell r="M347">
            <v>170.2</v>
          </cell>
          <cell r="N347">
            <v>121.5</v>
          </cell>
          <cell r="O347">
            <v>204.8</v>
          </cell>
          <cell r="P347">
            <v>176.4</v>
          </cell>
          <cell r="Q347">
            <v>186.9</v>
          </cell>
          <cell r="R347">
            <v>176.6</v>
          </cell>
          <cell r="S347">
            <v>195.5</v>
          </cell>
          <cell r="T347">
            <v>187.2</v>
          </cell>
          <cell r="U347">
            <v>185.2</v>
          </cell>
          <cell r="V347">
            <v>186.9</v>
          </cell>
          <cell r="Z347">
            <v>182.3</v>
          </cell>
          <cell r="AA347">
            <v>167.5</v>
          </cell>
          <cell r="AB347">
            <v>170.8</v>
          </cell>
          <cell r="AC347">
            <v>176.9</v>
          </cell>
          <cell r="AD347">
            <v>173.4</v>
          </cell>
          <cell r="AE347">
            <v>174.6</v>
          </cell>
          <cell r="AF347">
            <v>177.8</v>
          </cell>
        </row>
        <row r="348">
          <cell r="A348" t="str">
            <v>Urban</v>
          </cell>
          <cell r="B348">
            <v>2022</v>
          </cell>
          <cell r="C348" t="str">
            <v>November</v>
          </cell>
          <cell r="F348">
            <v>168.4</v>
          </cell>
          <cell r="G348">
            <v>213.4</v>
          </cell>
          <cell r="H348">
            <v>183.2</v>
          </cell>
          <cell r="I348">
            <v>172.3</v>
          </cell>
          <cell r="J348">
            <v>180</v>
          </cell>
          <cell r="K348">
            <v>162.6</v>
          </cell>
          <cell r="L348">
            <v>205.5</v>
          </cell>
          <cell r="M348">
            <v>171</v>
          </cell>
          <cell r="N348">
            <v>123.4</v>
          </cell>
          <cell r="O348">
            <v>198.8</v>
          </cell>
          <cell r="P348">
            <v>162.1</v>
          </cell>
          <cell r="Q348">
            <v>192.4</v>
          </cell>
          <cell r="R348">
            <v>181.3</v>
          </cell>
          <cell r="S348">
            <v>200.6</v>
          </cell>
          <cell r="T348">
            <v>176.7</v>
          </cell>
          <cell r="U348">
            <v>163.5</v>
          </cell>
          <cell r="V348">
            <v>174.7</v>
          </cell>
          <cell r="Z348">
            <v>175.8</v>
          </cell>
          <cell r="AA348">
            <v>158.9</v>
          </cell>
          <cell r="AB348">
            <v>166.7</v>
          </cell>
          <cell r="AC348">
            <v>171.5</v>
          </cell>
          <cell r="AD348">
            <v>173.8</v>
          </cell>
          <cell r="AE348">
            <v>167.4</v>
          </cell>
          <cell r="AF348">
            <v>174.1</v>
          </cell>
        </row>
        <row r="349">
          <cell r="A349" t="str">
            <v>Rural+Urban</v>
          </cell>
          <cell r="B349">
            <v>2022</v>
          </cell>
          <cell r="C349" t="str">
            <v>November</v>
          </cell>
          <cell r="F349">
            <v>167.4</v>
          </cell>
          <cell r="G349">
            <v>209.4</v>
          </cell>
          <cell r="H349">
            <v>181.4</v>
          </cell>
          <cell r="I349">
            <v>172.3</v>
          </cell>
          <cell r="J349">
            <v>188.9</v>
          </cell>
          <cell r="K349">
            <v>160.69999999999999</v>
          </cell>
          <cell r="L349">
            <v>183.1</v>
          </cell>
          <cell r="M349">
            <v>170.5</v>
          </cell>
          <cell r="N349">
            <v>122.1</v>
          </cell>
          <cell r="O349">
            <v>202.8</v>
          </cell>
          <cell r="P349">
            <v>170.4</v>
          </cell>
          <cell r="Q349">
            <v>189.5</v>
          </cell>
          <cell r="R349">
            <v>178.3</v>
          </cell>
          <cell r="S349">
            <v>196.9</v>
          </cell>
          <cell r="T349">
            <v>183.1</v>
          </cell>
          <cell r="U349">
            <v>176.2</v>
          </cell>
          <cell r="V349">
            <v>182.1</v>
          </cell>
          <cell r="Z349">
            <v>179.8</v>
          </cell>
          <cell r="AA349">
            <v>163</v>
          </cell>
          <cell r="AB349">
            <v>168.5</v>
          </cell>
          <cell r="AC349">
            <v>173.7</v>
          </cell>
          <cell r="AD349">
            <v>173.6</v>
          </cell>
          <cell r="AE349">
            <v>171.1</v>
          </cell>
          <cell r="AF349">
            <v>176.5</v>
          </cell>
        </row>
        <row r="350">
          <cell r="A350" t="str">
            <v>Rural</v>
          </cell>
          <cell r="B350">
            <v>2022</v>
          </cell>
          <cell r="C350" t="str">
            <v>December</v>
          </cell>
          <cell r="F350">
            <v>168.8</v>
          </cell>
          <cell r="G350">
            <v>206.9</v>
          </cell>
          <cell r="H350">
            <v>189.1</v>
          </cell>
          <cell r="I350">
            <v>173.4</v>
          </cell>
          <cell r="J350">
            <v>193.9</v>
          </cell>
          <cell r="K350">
            <v>156.69999999999999</v>
          </cell>
          <cell r="L350">
            <v>150.19999999999999</v>
          </cell>
          <cell r="M350">
            <v>170.5</v>
          </cell>
          <cell r="N350">
            <v>121.2</v>
          </cell>
          <cell r="O350">
            <v>207.5</v>
          </cell>
          <cell r="P350">
            <v>176.8</v>
          </cell>
          <cell r="Q350">
            <v>187.7</v>
          </cell>
          <cell r="R350">
            <v>174.4</v>
          </cell>
          <cell r="S350">
            <v>195.9</v>
          </cell>
          <cell r="T350">
            <v>188.1</v>
          </cell>
          <cell r="U350">
            <v>185.9</v>
          </cell>
          <cell r="V350">
            <v>187.8</v>
          </cell>
          <cell r="Z350">
            <v>183.5</v>
          </cell>
          <cell r="AA350">
            <v>167.8</v>
          </cell>
          <cell r="AB350">
            <v>171.2</v>
          </cell>
          <cell r="AC350">
            <v>177.3</v>
          </cell>
          <cell r="AD350">
            <v>175.7</v>
          </cell>
          <cell r="AE350">
            <v>175.5</v>
          </cell>
          <cell r="AF350">
            <v>177.1</v>
          </cell>
        </row>
        <row r="351">
          <cell r="A351" t="str">
            <v>Urban</v>
          </cell>
          <cell r="B351">
            <v>2022</v>
          </cell>
          <cell r="C351" t="str">
            <v>December</v>
          </cell>
          <cell r="F351">
            <v>170.2</v>
          </cell>
          <cell r="G351">
            <v>212.9</v>
          </cell>
          <cell r="H351">
            <v>191.9</v>
          </cell>
          <cell r="I351">
            <v>173.9</v>
          </cell>
          <cell r="J351">
            <v>179.1</v>
          </cell>
          <cell r="K351">
            <v>159.5</v>
          </cell>
          <cell r="L351">
            <v>178.7</v>
          </cell>
          <cell r="M351">
            <v>171.3</v>
          </cell>
          <cell r="N351">
            <v>123.1</v>
          </cell>
          <cell r="O351">
            <v>200.5</v>
          </cell>
          <cell r="P351">
            <v>162.80000000000001</v>
          </cell>
          <cell r="Q351">
            <v>193.3</v>
          </cell>
          <cell r="R351">
            <v>178.6</v>
          </cell>
          <cell r="S351">
            <v>201.1</v>
          </cell>
          <cell r="T351">
            <v>177.7</v>
          </cell>
          <cell r="U351">
            <v>164.5</v>
          </cell>
          <cell r="V351">
            <v>175.7</v>
          </cell>
          <cell r="Z351">
            <v>177.2</v>
          </cell>
          <cell r="AA351">
            <v>159.4</v>
          </cell>
          <cell r="AB351">
            <v>167.1</v>
          </cell>
          <cell r="AC351">
            <v>171.8</v>
          </cell>
          <cell r="AD351">
            <v>176</v>
          </cell>
          <cell r="AE351">
            <v>168.2</v>
          </cell>
          <cell r="AF351">
            <v>174.1</v>
          </cell>
        </row>
        <row r="352">
          <cell r="A352" t="str">
            <v>Rural+Urban</v>
          </cell>
          <cell r="B352">
            <v>2022</v>
          </cell>
          <cell r="C352" t="str">
            <v>December</v>
          </cell>
          <cell r="F352">
            <v>169.2</v>
          </cell>
          <cell r="G352">
            <v>209</v>
          </cell>
          <cell r="H352">
            <v>190.2</v>
          </cell>
          <cell r="I352">
            <v>173.6</v>
          </cell>
          <cell r="J352">
            <v>188.5</v>
          </cell>
          <cell r="K352">
            <v>158</v>
          </cell>
          <cell r="L352">
            <v>159.9</v>
          </cell>
          <cell r="M352">
            <v>170.8</v>
          </cell>
          <cell r="N352">
            <v>121.8</v>
          </cell>
          <cell r="O352">
            <v>205.2</v>
          </cell>
          <cell r="P352">
            <v>171</v>
          </cell>
          <cell r="Q352">
            <v>190.3</v>
          </cell>
          <cell r="R352">
            <v>175.9</v>
          </cell>
          <cell r="S352">
            <v>197.3</v>
          </cell>
          <cell r="T352">
            <v>184</v>
          </cell>
          <cell r="U352">
            <v>177</v>
          </cell>
          <cell r="V352">
            <v>183</v>
          </cell>
          <cell r="Z352">
            <v>181.1</v>
          </cell>
          <cell r="AA352">
            <v>163.4</v>
          </cell>
          <cell r="AB352">
            <v>168.9</v>
          </cell>
          <cell r="AC352">
            <v>174.1</v>
          </cell>
          <cell r="AD352">
            <v>175.8</v>
          </cell>
          <cell r="AE352">
            <v>172</v>
          </cell>
          <cell r="AF352">
            <v>175.7</v>
          </cell>
        </row>
        <row r="353">
          <cell r="A353" t="str">
            <v>Rural</v>
          </cell>
          <cell r="B353">
            <v>2023</v>
          </cell>
          <cell r="C353" t="str">
            <v>January</v>
          </cell>
          <cell r="F353">
            <v>174</v>
          </cell>
          <cell r="G353">
            <v>208.3</v>
          </cell>
          <cell r="H353">
            <v>192.9</v>
          </cell>
          <cell r="I353">
            <v>174.3</v>
          </cell>
          <cell r="J353">
            <v>192.6</v>
          </cell>
          <cell r="K353">
            <v>156.30000000000001</v>
          </cell>
          <cell r="L353">
            <v>142.9</v>
          </cell>
          <cell r="M353">
            <v>170.7</v>
          </cell>
          <cell r="N353">
            <v>120.3</v>
          </cell>
          <cell r="O353">
            <v>210.5</v>
          </cell>
          <cell r="P353">
            <v>176.9</v>
          </cell>
          <cell r="Q353">
            <v>188.5</v>
          </cell>
          <cell r="R353">
            <v>175</v>
          </cell>
          <cell r="S353">
            <v>196.9</v>
          </cell>
          <cell r="T353">
            <v>189</v>
          </cell>
          <cell r="U353">
            <v>186.3</v>
          </cell>
          <cell r="V353">
            <v>188.6</v>
          </cell>
          <cell r="Z353">
            <v>184.7</v>
          </cell>
          <cell r="AA353">
            <v>168.2</v>
          </cell>
          <cell r="AB353">
            <v>171.8</v>
          </cell>
          <cell r="AC353">
            <v>177.8</v>
          </cell>
          <cell r="AD353">
            <v>178.4</v>
          </cell>
          <cell r="AE353">
            <v>176.5</v>
          </cell>
          <cell r="AF353">
            <v>177.8</v>
          </cell>
        </row>
        <row r="354">
          <cell r="A354" t="str">
            <v>Urban</v>
          </cell>
          <cell r="B354">
            <v>2023</v>
          </cell>
          <cell r="C354" t="str">
            <v>January</v>
          </cell>
          <cell r="F354">
            <v>173.3</v>
          </cell>
          <cell r="G354">
            <v>215.2</v>
          </cell>
          <cell r="H354">
            <v>197</v>
          </cell>
          <cell r="I354">
            <v>175.2</v>
          </cell>
          <cell r="J354">
            <v>178</v>
          </cell>
          <cell r="K354">
            <v>160.5</v>
          </cell>
          <cell r="L354">
            <v>175.3</v>
          </cell>
          <cell r="M354">
            <v>171.2</v>
          </cell>
          <cell r="N354">
            <v>122.7</v>
          </cell>
          <cell r="O354">
            <v>204.3</v>
          </cell>
          <cell r="P354">
            <v>163.69999999999999</v>
          </cell>
          <cell r="Q354">
            <v>194.3</v>
          </cell>
          <cell r="R354">
            <v>179.5</v>
          </cell>
          <cell r="S354">
            <v>201.6</v>
          </cell>
          <cell r="T354">
            <v>178.7</v>
          </cell>
          <cell r="U354">
            <v>165.3</v>
          </cell>
          <cell r="V354">
            <v>176.6</v>
          </cell>
          <cell r="Z354">
            <v>178.5</v>
          </cell>
          <cell r="AA354">
            <v>159.5</v>
          </cell>
          <cell r="AB354">
            <v>167.8</v>
          </cell>
          <cell r="AC354">
            <v>171.8</v>
          </cell>
          <cell r="AD354">
            <v>178.8</v>
          </cell>
          <cell r="AE354">
            <v>168.9</v>
          </cell>
          <cell r="AF354">
            <v>174.9</v>
          </cell>
        </row>
        <row r="355">
          <cell r="A355" t="str">
            <v>Rural+Urban</v>
          </cell>
          <cell r="B355">
            <v>2023</v>
          </cell>
          <cell r="C355" t="str">
            <v>January</v>
          </cell>
          <cell r="F355">
            <v>173.8</v>
          </cell>
          <cell r="G355">
            <v>210.7</v>
          </cell>
          <cell r="H355">
            <v>194.5</v>
          </cell>
          <cell r="I355">
            <v>174.6</v>
          </cell>
          <cell r="J355">
            <v>187.2</v>
          </cell>
          <cell r="K355">
            <v>158.30000000000001</v>
          </cell>
          <cell r="L355">
            <v>153.9</v>
          </cell>
          <cell r="M355">
            <v>170.9</v>
          </cell>
          <cell r="N355">
            <v>121.1</v>
          </cell>
          <cell r="O355">
            <v>208.4</v>
          </cell>
          <cell r="P355">
            <v>171.4</v>
          </cell>
          <cell r="Q355">
            <v>191.2</v>
          </cell>
          <cell r="R355">
            <v>176.7</v>
          </cell>
          <cell r="S355">
            <v>198.2</v>
          </cell>
          <cell r="T355">
            <v>184.9</v>
          </cell>
          <cell r="U355">
            <v>177.6</v>
          </cell>
          <cell r="V355">
            <v>183.8</v>
          </cell>
          <cell r="Z355">
            <v>182.3</v>
          </cell>
          <cell r="AA355">
            <v>163.6</v>
          </cell>
          <cell r="AB355">
            <v>169.5</v>
          </cell>
          <cell r="AC355">
            <v>174.3</v>
          </cell>
          <cell r="AD355">
            <v>178.6</v>
          </cell>
          <cell r="AE355">
            <v>172.8</v>
          </cell>
          <cell r="AF355">
            <v>176.5</v>
          </cell>
        </row>
        <row r="356">
          <cell r="A356" t="str">
            <v>Rural</v>
          </cell>
          <cell r="B356">
            <v>2023</v>
          </cell>
          <cell r="C356" t="str">
            <v>February</v>
          </cell>
          <cell r="F356">
            <v>174.2</v>
          </cell>
          <cell r="G356">
            <v>205.2</v>
          </cell>
          <cell r="H356">
            <v>173.9</v>
          </cell>
          <cell r="I356">
            <v>177</v>
          </cell>
          <cell r="J356">
            <v>183.4</v>
          </cell>
          <cell r="K356">
            <v>167.2</v>
          </cell>
          <cell r="L356">
            <v>140.9</v>
          </cell>
          <cell r="M356">
            <v>170.4</v>
          </cell>
          <cell r="N356">
            <v>119.1</v>
          </cell>
          <cell r="O356">
            <v>212.1</v>
          </cell>
          <cell r="P356">
            <v>177.6</v>
          </cell>
          <cell r="Q356">
            <v>189.9</v>
          </cell>
          <cell r="R356">
            <v>174.8</v>
          </cell>
          <cell r="S356">
            <v>198.3</v>
          </cell>
          <cell r="T356">
            <v>190</v>
          </cell>
          <cell r="U356">
            <v>187</v>
          </cell>
          <cell r="V356">
            <v>189.6</v>
          </cell>
          <cell r="Z356">
            <v>186.6</v>
          </cell>
          <cell r="AA356">
            <v>169</v>
          </cell>
          <cell r="AB356">
            <v>172.8</v>
          </cell>
          <cell r="AC356">
            <v>178.5</v>
          </cell>
          <cell r="AD356">
            <v>180.7</v>
          </cell>
          <cell r="AE356">
            <v>177.9</v>
          </cell>
          <cell r="AF356">
            <v>178</v>
          </cell>
        </row>
        <row r="357">
          <cell r="A357" t="str">
            <v>Urban</v>
          </cell>
          <cell r="B357">
            <v>2023</v>
          </cell>
          <cell r="C357" t="str">
            <v>February</v>
          </cell>
          <cell r="F357">
            <v>174.7</v>
          </cell>
          <cell r="G357">
            <v>212.2</v>
          </cell>
          <cell r="H357">
            <v>177.2</v>
          </cell>
          <cell r="I357">
            <v>177.9</v>
          </cell>
          <cell r="J357">
            <v>172.2</v>
          </cell>
          <cell r="K357">
            <v>172.1</v>
          </cell>
          <cell r="L357">
            <v>175.8</v>
          </cell>
          <cell r="M357">
            <v>172.2</v>
          </cell>
          <cell r="N357">
            <v>121.9</v>
          </cell>
          <cell r="O357">
            <v>204.8</v>
          </cell>
          <cell r="P357">
            <v>164.9</v>
          </cell>
          <cell r="Q357">
            <v>196.6</v>
          </cell>
          <cell r="R357">
            <v>180.7</v>
          </cell>
          <cell r="S357">
            <v>202.7</v>
          </cell>
          <cell r="T357">
            <v>180.3</v>
          </cell>
          <cell r="U357">
            <v>167</v>
          </cell>
          <cell r="V357">
            <v>178.2</v>
          </cell>
          <cell r="Z357">
            <v>180.8</v>
          </cell>
          <cell r="AA357">
            <v>159.80000000000001</v>
          </cell>
          <cell r="AB357">
            <v>168.4</v>
          </cell>
          <cell r="AC357">
            <v>172.5</v>
          </cell>
          <cell r="AD357">
            <v>181.4</v>
          </cell>
          <cell r="AE357">
            <v>170</v>
          </cell>
          <cell r="AF357">
            <v>176.3</v>
          </cell>
        </row>
        <row r="358">
          <cell r="A358" t="str">
            <v>Rural+Urban</v>
          </cell>
          <cell r="B358">
            <v>2023</v>
          </cell>
          <cell r="C358" t="str">
            <v>February</v>
          </cell>
          <cell r="F358">
            <v>174.4</v>
          </cell>
          <cell r="G358">
            <v>207.7</v>
          </cell>
          <cell r="H358">
            <v>175.2</v>
          </cell>
          <cell r="I358">
            <v>177.3</v>
          </cell>
          <cell r="J358">
            <v>179.3</v>
          </cell>
          <cell r="K358">
            <v>169.5</v>
          </cell>
          <cell r="L358">
            <v>152.69999999999999</v>
          </cell>
          <cell r="M358">
            <v>171</v>
          </cell>
          <cell r="N358">
            <v>120</v>
          </cell>
          <cell r="O358">
            <v>209.7</v>
          </cell>
          <cell r="P358">
            <v>172.3</v>
          </cell>
          <cell r="Q358">
            <v>193</v>
          </cell>
          <cell r="R358">
            <v>177</v>
          </cell>
          <cell r="S358">
            <v>199.5</v>
          </cell>
          <cell r="T358">
            <v>186.2</v>
          </cell>
          <cell r="U358">
            <v>178.7</v>
          </cell>
          <cell r="V358">
            <v>185.1</v>
          </cell>
          <cell r="Z358">
            <v>184.4</v>
          </cell>
          <cell r="AA358">
            <v>164.2</v>
          </cell>
          <cell r="AB358">
            <v>170.3</v>
          </cell>
          <cell r="AC358">
            <v>175</v>
          </cell>
          <cell r="AD358">
            <v>181</v>
          </cell>
          <cell r="AE358">
            <v>174.1</v>
          </cell>
          <cell r="AF358">
            <v>177.2</v>
          </cell>
        </row>
        <row r="359">
          <cell r="A359" t="str">
            <v>Rural</v>
          </cell>
          <cell r="B359">
            <v>2023</v>
          </cell>
          <cell r="C359" t="str">
            <v>March</v>
          </cell>
          <cell r="F359">
            <v>174.3</v>
          </cell>
          <cell r="G359">
            <v>205.2</v>
          </cell>
          <cell r="H359">
            <v>173.9</v>
          </cell>
          <cell r="I359">
            <v>177</v>
          </cell>
          <cell r="J359">
            <v>183.3</v>
          </cell>
          <cell r="K359">
            <v>167.2</v>
          </cell>
          <cell r="L359">
            <v>140.9</v>
          </cell>
          <cell r="M359">
            <v>170.5</v>
          </cell>
          <cell r="N359">
            <v>119.1</v>
          </cell>
          <cell r="O359">
            <v>212.1</v>
          </cell>
          <cell r="P359">
            <v>177.6</v>
          </cell>
          <cell r="Q359">
            <v>189.9</v>
          </cell>
          <cell r="R359">
            <v>174.8</v>
          </cell>
          <cell r="S359">
            <v>198.4</v>
          </cell>
          <cell r="T359">
            <v>190</v>
          </cell>
          <cell r="U359">
            <v>187</v>
          </cell>
          <cell r="V359">
            <v>189.6</v>
          </cell>
          <cell r="Z359">
            <v>186.6</v>
          </cell>
          <cell r="AA359">
            <v>169</v>
          </cell>
          <cell r="AB359">
            <v>172.8</v>
          </cell>
          <cell r="AC359">
            <v>178.5</v>
          </cell>
          <cell r="AD359">
            <v>180.7</v>
          </cell>
          <cell r="AE359">
            <v>177.9</v>
          </cell>
          <cell r="AF359">
            <v>178</v>
          </cell>
        </row>
        <row r="360">
          <cell r="A360" t="str">
            <v>Urban</v>
          </cell>
          <cell r="B360">
            <v>2023</v>
          </cell>
          <cell r="C360" t="str">
            <v>March</v>
          </cell>
          <cell r="F360">
            <v>174.7</v>
          </cell>
          <cell r="G360">
            <v>212.2</v>
          </cell>
          <cell r="H360">
            <v>177.2</v>
          </cell>
          <cell r="I360">
            <v>177.9</v>
          </cell>
          <cell r="J360">
            <v>172.2</v>
          </cell>
          <cell r="K360">
            <v>172.1</v>
          </cell>
          <cell r="L360">
            <v>175.9</v>
          </cell>
          <cell r="M360">
            <v>172.2</v>
          </cell>
          <cell r="N360">
            <v>121.9</v>
          </cell>
          <cell r="O360">
            <v>204.8</v>
          </cell>
          <cell r="P360">
            <v>164.9</v>
          </cell>
          <cell r="Q360">
            <v>196.6</v>
          </cell>
          <cell r="R360">
            <v>180.8</v>
          </cell>
          <cell r="S360">
            <v>202.7</v>
          </cell>
          <cell r="T360">
            <v>180.2</v>
          </cell>
          <cell r="U360">
            <v>167</v>
          </cell>
          <cell r="V360">
            <v>178.2</v>
          </cell>
          <cell r="Z360">
            <v>180.8</v>
          </cell>
          <cell r="AA360">
            <v>159.80000000000001</v>
          </cell>
          <cell r="AB360">
            <v>168.4</v>
          </cell>
          <cell r="AC360">
            <v>172.5</v>
          </cell>
          <cell r="AD360">
            <v>181.5</v>
          </cell>
          <cell r="AE360">
            <v>170</v>
          </cell>
          <cell r="AF360">
            <v>176.3</v>
          </cell>
        </row>
        <row r="361">
          <cell r="A361" t="str">
            <v>Rural+Urban</v>
          </cell>
          <cell r="B361">
            <v>2023</v>
          </cell>
          <cell r="C361" t="str">
            <v>March</v>
          </cell>
          <cell r="F361">
            <v>174.4</v>
          </cell>
          <cell r="G361">
            <v>207.7</v>
          </cell>
          <cell r="H361">
            <v>175.2</v>
          </cell>
          <cell r="I361">
            <v>177.3</v>
          </cell>
          <cell r="J361">
            <v>179.2</v>
          </cell>
          <cell r="K361">
            <v>169.5</v>
          </cell>
          <cell r="L361">
            <v>152.80000000000001</v>
          </cell>
          <cell r="M361">
            <v>171.1</v>
          </cell>
          <cell r="N361">
            <v>120</v>
          </cell>
          <cell r="O361">
            <v>209.7</v>
          </cell>
          <cell r="P361">
            <v>172.3</v>
          </cell>
          <cell r="Q361">
            <v>193</v>
          </cell>
          <cell r="R361">
            <v>177</v>
          </cell>
          <cell r="S361">
            <v>199.5</v>
          </cell>
          <cell r="T361">
            <v>186.1</v>
          </cell>
          <cell r="U361">
            <v>178.7</v>
          </cell>
          <cell r="V361">
            <v>185.1</v>
          </cell>
          <cell r="Z361">
            <v>184.4</v>
          </cell>
          <cell r="AA361">
            <v>164.2</v>
          </cell>
          <cell r="AB361">
            <v>170.3</v>
          </cell>
          <cell r="AC361">
            <v>175</v>
          </cell>
          <cell r="AD361">
            <v>181</v>
          </cell>
          <cell r="AE361">
            <v>174.1</v>
          </cell>
          <cell r="AF361">
            <v>177.2</v>
          </cell>
        </row>
        <row r="362">
          <cell r="A362" t="str">
            <v>Rural</v>
          </cell>
          <cell r="B362">
            <v>2023</v>
          </cell>
          <cell r="C362" t="str">
            <v>April</v>
          </cell>
          <cell r="F362">
            <v>173.3</v>
          </cell>
          <cell r="G362">
            <v>206.9</v>
          </cell>
          <cell r="H362">
            <v>167.9</v>
          </cell>
          <cell r="I362">
            <v>178.2</v>
          </cell>
          <cell r="J362">
            <v>178.5</v>
          </cell>
          <cell r="K362">
            <v>173.7</v>
          </cell>
          <cell r="L362">
            <v>142.80000000000001</v>
          </cell>
          <cell r="M362">
            <v>172.8</v>
          </cell>
          <cell r="N362">
            <v>120.4</v>
          </cell>
          <cell r="O362">
            <v>215.5</v>
          </cell>
          <cell r="P362">
            <v>178.2</v>
          </cell>
          <cell r="Q362">
            <v>190.5</v>
          </cell>
          <cell r="R362">
            <v>175.5</v>
          </cell>
          <cell r="S362">
            <v>199.5</v>
          </cell>
          <cell r="T362">
            <v>190.7</v>
          </cell>
          <cell r="U362">
            <v>187.3</v>
          </cell>
          <cell r="V362">
            <v>190.2</v>
          </cell>
          <cell r="Z362">
            <v>187.2</v>
          </cell>
          <cell r="AA362">
            <v>169.4</v>
          </cell>
          <cell r="AB362">
            <v>173.2</v>
          </cell>
          <cell r="AC362">
            <v>179.4</v>
          </cell>
          <cell r="AD362">
            <v>183.8</v>
          </cell>
          <cell r="AE362">
            <v>178.9</v>
          </cell>
          <cell r="AF362">
            <v>178.8</v>
          </cell>
        </row>
        <row r="363">
          <cell r="A363" t="str">
            <v>Urban</v>
          </cell>
          <cell r="B363">
            <v>2023</v>
          </cell>
          <cell r="C363" t="str">
            <v>April</v>
          </cell>
          <cell r="F363">
            <v>174.8</v>
          </cell>
          <cell r="G363">
            <v>213.7</v>
          </cell>
          <cell r="H363">
            <v>172.4</v>
          </cell>
          <cell r="I363">
            <v>178.8</v>
          </cell>
          <cell r="J363">
            <v>168.7</v>
          </cell>
          <cell r="K363">
            <v>179.2</v>
          </cell>
          <cell r="L363">
            <v>179.9</v>
          </cell>
          <cell r="M363">
            <v>174.7</v>
          </cell>
          <cell r="N363">
            <v>123.1</v>
          </cell>
          <cell r="O363">
            <v>207.8</v>
          </cell>
          <cell r="P363">
            <v>165.5</v>
          </cell>
          <cell r="Q363">
            <v>197</v>
          </cell>
          <cell r="R363">
            <v>182.1</v>
          </cell>
          <cell r="S363">
            <v>203.5</v>
          </cell>
          <cell r="T363">
            <v>181</v>
          </cell>
          <cell r="U363">
            <v>167.7</v>
          </cell>
          <cell r="V363">
            <v>178.9</v>
          </cell>
          <cell r="Z363">
            <v>181.5</v>
          </cell>
          <cell r="AA363">
            <v>160.1</v>
          </cell>
          <cell r="AB363">
            <v>168.8</v>
          </cell>
          <cell r="AC363">
            <v>174.2</v>
          </cell>
          <cell r="AD363">
            <v>184.4</v>
          </cell>
          <cell r="AE363">
            <v>170.9</v>
          </cell>
          <cell r="AF363">
            <v>177.4</v>
          </cell>
        </row>
        <row r="364">
          <cell r="A364" t="str">
            <v>Rural+Urban</v>
          </cell>
          <cell r="B364">
            <v>2023</v>
          </cell>
          <cell r="C364" t="str">
            <v>April</v>
          </cell>
          <cell r="F364">
            <v>173.8</v>
          </cell>
          <cell r="G364">
            <v>209.3</v>
          </cell>
          <cell r="H364">
            <v>169.6</v>
          </cell>
          <cell r="I364">
            <v>178.4</v>
          </cell>
          <cell r="J364">
            <v>174.9</v>
          </cell>
          <cell r="K364">
            <v>176.3</v>
          </cell>
          <cell r="L364">
            <v>155.4</v>
          </cell>
          <cell r="M364">
            <v>173.4</v>
          </cell>
          <cell r="N364">
            <v>121.3</v>
          </cell>
          <cell r="O364">
            <v>212.9</v>
          </cell>
          <cell r="P364">
            <v>172.9</v>
          </cell>
          <cell r="Q364">
            <v>193.5</v>
          </cell>
          <cell r="R364">
            <v>177.9</v>
          </cell>
          <cell r="S364">
            <v>200.6</v>
          </cell>
          <cell r="T364">
            <v>186.9</v>
          </cell>
          <cell r="U364">
            <v>179.2</v>
          </cell>
          <cell r="V364">
            <v>185.7</v>
          </cell>
          <cell r="Z364">
            <v>185</v>
          </cell>
          <cell r="AA364">
            <v>164.5</v>
          </cell>
          <cell r="AB364">
            <v>170.7</v>
          </cell>
          <cell r="AC364">
            <v>176.4</v>
          </cell>
          <cell r="AD364">
            <v>184</v>
          </cell>
          <cell r="AE364">
            <v>175</v>
          </cell>
          <cell r="AF364">
            <v>178.1</v>
          </cell>
        </row>
        <row r="365">
          <cell r="A365" t="str">
            <v>Rural</v>
          </cell>
          <cell r="B365">
            <v>2023</v>
          </cell>
          <cell r="C365" t="str">
            <v>May</v>
          </cell>
          <cell r="F365">
            <v>173.2</v>
          </cell>
          <cell r="G365">
            <v>211.5</v>
          </cell>
          <cell r="H365">
            <v>171</v>
          </cell>
          <cell r="I365">
            <v>179.6</v>
          </cell>
          <cell r="J365">
            <v>173.3</v>
          </cell>
          <cell r="K365">
            <v>169</v>
          </cell>
          <cell r="L365">
            <v>148.69999999999999</v>
          </cell>
          <cell r="M365">
            <v>174.9</v>
          </cell>
          <cell r="N365">
            <v>121.9</v>
          </cell>
          <cell r="O365">
            <v>221</v>
          </cell>
          <cell r="P365">
            <v>178.7</v>
          </cell>
          <cell r="Q365">
            <v>191.1</v>
          </cell>
          <cell r="R365">
            <v>176.8</v>
          </cell>
          <cell r="S365">
            <v>199.9</v>
          </cell>
          <cell r="T365">
            <v>191.2</v>
          </cell>
          <cell r="U365">
            <v>187.9</v>
          </cell>
          <cell r="V365">
            <v>190.8</v>
          </cell>
          <cell r="Z365">
            <v>187.8</v>
          </cell>
          <cell r="AA365">
            <v>169.7</v>
          </cell>
          <cell r="AB365">
            <v>173.8</v>
          </cell>
          <cell r="AC365">
            <v>180.3</v>
          </cell>
          <cell r="AD365">
            <v>184.9</v>
          </cell>
          <cell r="AE365">
            <v>179.5</v>
          </cell>
          <cell r="AF365">
            <v>179.8</v>
          </cell>
        </row>
        <row r="366">
          <cell r="A366" t="str">
            <v>Urban</v>
          </cell>
          <cell r="B366">
            <v>2023</v>
          </cell>
          <cell r="C366" t="str">
            <v>May</v>
          </cell>
          <cell r="F366">
            <v>174.7</v>
          </cell>
          <cell r="G366">
            <v>219.4</v>
          </cell>
          <cell r="H366">
            <v>176.7</v>
          </cell>
          <cell r="I366">
            <v>179.4</v>
          </cell>
          <cell r="J366">
            <v>164.4</v>
          </cell>
          <cell r="K366">
            <v>175.8</v>
          </cell>
          <cell r="L366">
            <v>185</v>
          </cell>
          <cell r="M366">
            <v>176.9</v>
          </cell>
          <cell r="N366">
            <v>124.2</v>
          </cell>
          <cell r="O366">
            <v>211.9</v>
          </cell>
          <cell r="P366">
            <v>165.9</v>
          </cell>
          <cell r="Q366">
            <v>197.7</v>
          </cell>
          <cell r="R366">
            <v>183.1</v>
          </cell>
          <cell r="S366">
            <v>204.2</v>
          </cell>
          <cell r="T366">
            <v>181.3</v>
          </cell>
          <cell r="U366">
            <v>168.1</v>
          </cell>
          <cell r="V366">
            <v>179.3</v>
          </cell>
          <cell r="Z366">
            <v>182.2</v>
          </cell>
          <cell r="AA366">
            <v>160.4</v>
          </cell>
          <cell r="AB366">
            <v>169.2</v>
          </cell>
          <cell r="AC366">
            <v>174.8</v>
          </cell>
          <cell r="AD366">
            <v>185.6</v>
          </cell>
          <cell r="AE366">
            <v>171.6</v>
          </cell>
          <cell r="AF366">
            <v>178.2</v>
          </cell>
        </row>
        <row r="367">
          <cell r="A367" t="str">
            <v>Rural+Urban</v>
          </cell>
          <cell r="B367">
            <v>2023</v>
          </cell>
          <cell r="C367" t="str">
            <v>May</v>
          </cell>
          <cell r="F367">
            <v>173.7</v>
          </cell>
          <cell r="G367">
            <v>214.3</v>
          </cell>
          <cell r="H367">
            <v>173.2</v>
          </cell>
          <cell r="I367">
            <v>179.5</v>
          </cell>
          <cell r="J367">
            <v>170</v>
          </cell>
          <cell r="K367">
            <v>172.2</v>
          </cell>
          <cell r="L367">
            <v>161</v>
          </cell>
          <cell r="M367">
            <v>175.6</v>
          </cell>
          <cell r="N367">
            <v>122.7</v>
          </cell>
          <cell r="O367">
            <v>218</v>
          </cell>
          <cell r="P367">
            <v>173.4</v>
          </cell>
          <cell r="Q367">
            <v>194.2</v>
          </cell>
          <cell r="R367">
            <v>179.1</v>
          </cell>
          <cell r="S367">
            <v>201</v>
          </cell>
          <cell r="T367">
            <v>187.3</v>
          </cell>
          <cell r="U367">
            <v>179.7</v>
          </cell>
          <cell r="V367">
            <v>186.2</v>
          </cell>
          <cell r="Z367">
            <v>185.7</v>
          </cell>
          <cell r="AA367">
            <v>164.8</v>
          </cell>
          <cell r="AB367">
            <v>171.2</v>
          </cell>
          <cell r="AC367">
            <v>177.1</v>
          </cell>
          <cell r="AD367">
            <v>185.2</v>
          </cell>
          <cell r="AE367">
            <v>175.7</v>
          </cell>
          <cell r="AF367">
            <v>179.1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13ED94-E3E5-403D-8B71-109EBD8D6091}" autoFormatId="16" applyNumberFormats="0" applyBorderFormats="0" applyFontFormats="0" applyPatternFormats="0" applyAlignmentFormats="0" applyWidthHeightFormats="0">
  <queryTableRefresh nextId="32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47D2DD-5D25-4186-B60A-A4DDD9B22D64}" name="India_CPI_Inflation__CSV" displayName="India_CPI_Inflation__CSV" ref="A1:AD373" tableType="queryTable" totalsRowShown="0">
  <autoFilter ref="A1:AD373" xr:uid="{0247D2DD-5D25-4186-B60A-A4DDD9B22D64}"/>
  <tableColumns count="30">
    <tableColumn id="1" xr3:uid="{A17E7589-207D-40A3-9140-4F4CE1593C26}" uniqueName="1" name="Sector" queryTableFieldId="1" dataDxfId="23"/>
    <tableColumn id="2" xr3:uid="{520E202B-7BBD-4AC1-98CC-8168B0B2CA3D}" uniqueName="2" name="Year" queryTableFieldId="2"/>
    <tableColumn id="3" xr3:uid="{F4D01946-7724-4774-8CED-D3AE90128A18}" uniqueName="3" name="Month" queryTableFieldId="3" dataDxfId="22"/>
    <tableColumn id="4" xr3:uid="{3B3DD9F5-923C-42A3-944B-462E9B40D13E}" uniqueName="4" name="Cereals and products" queryTableFieldId="4"/>
    <tableColumn id="5" xr3:uid="{9891A6B1-FED2-422A-BE0D-F35AB703A71C}" uniqueName="5" name="Meat and fish" queryTableFieldId="5"/>
    <tableColumn id="6" xr3:uid="{20E802D0-F6C5-4F84-BBFB-06F05148C477}" uniqueName="6" name="Egg" queryTableFieldId="6"/>
    <tableColumn id="7" xr3:uid="{5D304072-E21D-4E54-AA08-A2BDCEFE9B91}" uniqueName="7" name="Milk and products" queryTableFieldId="7"/>
    <tableColumn id="8" xr3:uid="{52B828E2-FD28-4F60-8524-69AB071B870A}" uniqueName="8" name="Oils and fats" queryTableFieldId="8"/>
    <tableColumn id="9" xr3:uid="{83EEA7F0-F194-4588-96F1-6D278C53E879}" uniqueName="9" name="Fruits" queryTableFieldId="9"/>
    <tableColumn id="10" xr3:uid="{426CC5F7-DD87-4AF3-99BB-3ACC4A4C888D}" uniqueName="10" name="Vegetables" queryTableFieldId="10"/>
    <tableColumn id="11" xr3:uid="{C4A766DE-F0A2-4ED6-8EF5-FFB797D91374}" uniqueName="11" name="Pulses and products" queryTableFieldId="11"/>
    <tableColumn id="12" xr3:uid="{A4D40F91-60D5-454A-9289-FCDB8F40F2C9}" uniqueName="12" name="Sugar and Confectionery" queryTableFieldId="12"/>
    <tableColumn id="13" xr3:uid="{8E0264F8-5125-4FE4-8969-77ACC8949A43}" uniqueName="13" name="Spices" queryTableFieldId="13"/>
    <tableColumn id="14" xr3:uid="{E49EA9ED-66D6-4B9D-8B44-36C83DF097C5}" uniqueName="14" name="Non-alcoholic beverages" queryTableFieldId="14"/>
    <tableColumn id="15" xr3:uid="{163D2B8C-0D48-4216-9A55-4E94AD9FC7A1}" uniqueName="15" name="Prepared meals, snacks, sweets etc." queryTableFieldId="15"/>
    <tableColumn id="16" xr3:uid="{DAB89C04-6E12-4B5C-BAAC-D6DE2A0DD4AB}" uniqueName="16" name="Food and beverages" queryTableFieldId="16"/>
    <tableColumn id="17" xr3:uid="{60B11EAE-CC3B-4571-831F-FC14DEF389A9}" uniqueName="17" name="Pan, tobacco and intoxicants" queryTableFieldId="17"/>
    <tableColumn id="18" xr3:uid="{FB579A59-8E69-4A81-96A4-49A36547E3C8}" uniqueName="18" name="Clothing" queryTableFieldId="18"/>
    <tableColumn id="19" xr3:uid="{E932337E-C3F2-4220-A98D-1543B351B3BA}" uniqueName="19" name="Footwear" queryTableFieldId="19"/>
    <tableColumn id="20" xr3:uid="{D13EE32E-A905-496A-896A-233380AD4D71}" uniqueName="20" name="Clothing and footwear" queryTableFieldId="20"/>
    <tableColumn id="21" xr3:uid="{F200D20B-E921-4B8F-AC07-6583F771B5F6}" uniqueName="21" name="Housing" queryTableFieldId="21" dataDxfId="21"/>
    <tableColumn id="22" xr3:uid="{113C6103-C837-482D-8784-64C994D3D1CF}" uniqueName="22" name="Fuel and light" queryTableFieldId="22"/>
    <tableColumn id="23" xr3:uid="{6B47612D-933E-48CC-92E6-B188C465B9DB}" uniqueName="23" name="Household goods and services" queryTableFieldId="23"/>
    <tableColumn id="24" xr3:uid="{CA6D286D-949B-435A-A5D9-D1B1596C0B13}" uniqueName="24" name="Health" queryTableFieldId="24"/>
    <tableColumn id="25" xr3:uid="{C13F6CA9-BFD3-43BC-B235-48297D54E654}" uniqueName="25" name="Transport and communication" queryTableFieldId="25"/>
    <tableColumn id="26" xr3:uid="{8FB68FDD-6B84-4411-A352-2426F4392BDB}" uniqueName="26" name="Recreation and amusement" queryTableFieldId="26"/>
    <tableColumn id="27" xr3:uid="{3ECE6832-BD78-4FA1-9E66-97B7A8DBCAE0}" uniqueName="27" name="Education" queryTableFieldId="27"/>
    <tableColumn id="28" xr3:uid="{265C85F2-6E8A-47C5-B5C1-EA7A5A609787}" uniqueName="28" name="Personal care and effects" queryTableFieldId="28"/>
    <tableColumn id="29" xr3:uid="{C7156E72-F9EE-4869-A5D7-4A660E1B53C0}" uniqueName="29" name="Miscellaneous" queryTableFieldId="29"/>
    <tableColumn id="30" xr3:uid="{BAC32B4A-1D01-4EB8-952F-985C0099EAC6}" uniqueName="30" name="General index" queryTableField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251C55-B0BC-47A3-9106-8443FD58349C}" name="Table2" displayName="Table2" ref="B9:G17" totalsRowShown="0" headerRowDxfId="20">
  <autoFilter ref="B9:G17" xr:uid="{C9251C55-B0BC-47A3-9106-8443FD58349C}"/>
  <tableColumns count="6">
    <tableColumn id="1" xr3:uid="{083BC8E2-01BA-404E-BB39-7E42269998EF}" name="Sector" dataDxfId="19"/>
    <tableColumn id="2" xr3:uid="{FCAF24A9-7957-4EFC-994D-077347F804CC}" name="Year" dataDxfId="18"/>
    <tableColumn id="3" xr3:uid="{3CAA5CD6-DD0A-4111-9F41-929051E33490}" name="Month" dataDxfId="17"/>
    <tableColumn id="4" xr3:uid="{DEA92A68-3975-4F14-AD2C-733285EBEC9B}" name="General index" dataDxfId="16"/>
    <tableColumn id="5" xr3:uid="{9F904FA6-0AC3-4ADF-A91C-8D4CA2B023B5}" name="Y-o-Y Calculation"/>
    <tableColumn id="6" xr3:uid="{26781B98-96FE-4209-9113-F6B6F5B9BB66}" name="Y-o-Y%" dataDxfId="15" dataCellStyle="Percent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6A1388-0C78-49F0-AD7D-BC6C1C00E9FB}" name="Table3" displayName="Table3" ref="B8:F21" totalsRowShown="0" tableBorderDxfId="14">
  <autoFilter ref="B8:F21" xr:uid="{B76A1388-0C78-49F0-AD7D-BC6C1C00E9FB}"/>
  <tableColumns count="5">
    <tableColumn id="1" xr3:uid="{B7A5D92F-CF65-4134-9BE7-4E3FE914B3DD}" name="Year" dataDxfId="13"/>
    <tableColumn id="2" xr3:uid="{43EBD598-1AA3-4517-B896-3317F7E07652}" name="Month" dataDxfId="12"/>
    <tableColumn id="3" xr3:uid="{DCE68748-C12B-461C-8728-5545EADBFD0B}" name="Food" dataDxfId="11"/>
    <tableColumn id="4" xr3:uid="{8774B7A7-BFC5-49D6-B8C5-CF9D36796A3A}" name="M-o-M" dataDxfId="10">
      <calculatedColumnFormula>(D9-D8)/D8</calculatedColumnFormula>
    </tableColumn>
    <tableColumn id="5" xr3:uid="{12285C4B-6CFF-463D-95B2-BEA7EB859A17}" name="M-o-M%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086CB6-9D42-45A2-8F9B-B6FF5093849B}" name="Table4" displayName="Table4" ref="H8:L21" totalsRowShown="0" tableBorderDxfId="9">
  <autoFilter ref="H8:L21" xr:uid="{06086CB6-9D42-45A2-8F9B-B6FF5093849B}"/>
  <tableColumns count="5">
    <tableColumn id="1" xr3:uid="{38CFD086-AF82-40D7-8ACF-ED306EAF9228}" name="Year" dataDxfId="8"/>
    <tableColumn id="2" xr3:uid="{B0191562-5E8C-4BF2-9C17-C39CD00DC73F}" name="Month" dataDxfId="7"/>
    <tableColumn id="3" xr3:uid="{D633D8C0-0331-4E9C-ADD5-378DC5031B2B}" name="Food" dataDxfId="6"/>
    <tableColumn id="4" xr3:uid="{6C6085B8-3BE3-439A-984A-597355ABE5E2}" name="M-o-M" dataDxfId="5">
      <calculatedColumnFormula>(J9-J8)/J8</calculatedColumnFormula>
    </tableColumn>
    <tableColumn id="5" xr3:uid="{20ADB9AF-2702-4B35-ACD8-F68868487AD7}" name="M-o-M%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00CBD1-03D8-4528-A640-69C0262EA6A8}" name="Table5" displayName="Table5" ref="N8:R21" totalsRowShown="0" headerRowDxfId="4">
  <autoFilter ref="N8:R21" xr:uid="{D500CBD1-03D8-4528-A640-69C0262EA6A8}"/>
  <tableColumns count="5">
    <tableColumn id="1" xr3:uid="{F1C4D332-17EB-43DB-919C-313E2951FAD8}" name="Year" dataDxfId="3"/>
    <tableColumn id="2" xr3:uid="{450D0C54-32CF-4135-ADD1-1AB5CCC70560}" name="Month" dataDxfId="2"/>
    <tableColumn id="3" xr3:uid="{D555296D-8138-4D05-82FF-9FE472DE46BC}" name="Food" dataDxfId="1"/>
    <tableColumn id="4" xr3:uid="{DD7C919A-1151-43E6-89C6-0342149B329F}" name="M-o-M" dataDxfId="0">
      <calculatedColumnFormula>(P9-P8)/P8</calculatedColumnFormula>
    </tableColumn>
    <tableColumn id="5" xr3:uid="{8B0D30CA-C0B5-49AC-A39A-BDCC93DF413B}" name="M-o-M%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3DB4-5638-490C-8243-09784F2AFAFC}">
  <dimension ref="A1:AD373"/>
  <sheetViews>
    <sheetView workbookViewId="0">
      <pane xSplit="1" topLeftCell="B1" activePane="topRight" state="frozen"/>
      <selection pane="topRight" activeCell="G154" sqref="G154"/>
    </sheetView>
  </sheetViews>
  <sheetFormatPr defaultRowHeight="14.45"/>
  <cols>
    <col min="1" max="1" width="11.28515625" bestFit="1" customWidth="1"/>
    <col min="2" max="2" width="6.85546875" bestFit="1" customWidth="1"/>
    <col min="3" max="3" width="10" bestFit="1" customWidth="1"/>
    <col min="4" max="4" width="21" bestFit="1" customWidth="1"/>
    <col min="5" max="5" width="14.7109375" bestFit="1" customWidth="1"/>
    <col min="6" max="6" width="6.28515625" bestFit="1" customWidth="1"/>
    <col min="7" max="7" width="18.5703125" bestFit="1" customWidth="1"/>
    <col min="8" max="8" width="13.42578125" bestFit="1" customWidth="1"/>
    <col min="9" max="9" width="7.7109375" bestFit="1" customWidth="1"/>
    <col min="10" max="10" width="12.42578125" bestFit="1" customWidth="1"/>
    <col min="11" max="11" width="20.28515625" bestFit="1" customWidth="1"/>
    <col min="12" max="12" width="24.28515625" bestFit="1" customWidth="1"/>
    <col min="13" max="13" width="8.42578125" bestFit="1" customWidth="1"/>
    <col min="14" max="14" width="24.28515625" bestFit="1" customWidth="1"/>
    <col min="15" max="15" width="33.5703125" bestFit="1" customWidth="1"/>
    <col min="16" max="16" width="20.28515625" bestFit="1" customWidth="1"/>
    <col min="17" max="17" width="27.85546875" bestFit="1" customWidth="1"/>
    <col min="18" max="18" width="10.28515625" bestFit="1" customWidth="1"/>
    <col min="19" max="19" width="11.140625" bestFit="1" customWidth="1"/>
    <col min="20" max="20" width="22.28515625" bestFit="1" customWidth="1"/>
    <col min="21" max="21" width="10" bestFit="1" customWidth="1"/>
    <col min="22" max="22" width="14.42578125" bestFit="1" customWidth="1"/>
    <col min="23" max="23" width="28.85546875" bestFit="1" customWidth="1"/>
    <col min="24" max="24" width="8.7109375" bestFit="1" customWidth="1"/>
    <col min="25" max="25" width="29.140625" bestFit="1" customWidth="1"/>
    <col min="26" max="26" width="26.7109375" bestFit="1" customWidth="1"/>
    <col min="27" max="27" width="11.7109375" bestFit="1" customWidth="1"/>
    <col min="28" max="28" width="24.5703125" bestFit="1" customWidth="1"/>
    <col min="29" max="29" width="15.140625" bestFit="1" customWidth="1"/>
    <col min="30" max="30" width="14.7109375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>
      <c r="A46" t="s">
        <v>35</v>
      </c>
      <c r="B46">
        <v>2014</v>
      </c>
      <c r="C46" t="s">
        <v>38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60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60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61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61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60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60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62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62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63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63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64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64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65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65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66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66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67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67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68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68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69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69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70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70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71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71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72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72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73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73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74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74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75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75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77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77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78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78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77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77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79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79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80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80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81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81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82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82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83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83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84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84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85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85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86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86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87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87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88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88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89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89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90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90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91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91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92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92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93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93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94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94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95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95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96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96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97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97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98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98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100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100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101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101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102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102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103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103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104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104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105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105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106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106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107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107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108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108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109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109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110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110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112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113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113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113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114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114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115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115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116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116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117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117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118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118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119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119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120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120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121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121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122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122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124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124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125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125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126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126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127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127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128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128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129</v>
      </c>
      <c r="V261">
        <v>137.1</v>
      </c>
      <c r="X261">
        <v>144.80000000000001</v>
      </c>
    </row>
    <row r="262" spans="1:30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129</v>
      </c>
      <c r="V262">
        <v>144.1</v>
      </c>
      <c r="X262">
        <v>150.69999999999999</v>
      </c>
      <c r="AD262" s="27">
        <v>150.30000000000001</v>
      </c>
    </row>
    <row r="263" spans="1:30">
      <c r="A263" t="s">
        <v>30</v>
      </c>
      <c r="B263">
        <v>2020</v>
      </c>
      <c r="C263" t="s">
        <v>41</v>
      </c>
      <c r="U263" t="s">
        <v>32</v>
      </c>
    </row>
    <row r="264" spans="1:30">
      <c r="A264" t="s">
        <v>33</v>
      </c>
      <c r="B264">
        <v>2020</v>
      </c>
      <c r="C264" t="s">
        <v>41</v>
      </c>
      <c r="U264" t="s">
        <v>32</v>
      </c>
    </row>
    <row r="265" spans="1:30">
      <c r="A265" t="s">
        <v>35</v>
      </c>
      <c r="B265">
        <v>2020</v>
      </c>
      <c r="C265" t="s">
        <v>41</v>
      </c>
      <c r="U265" t="s">
        <v>32</v>
      </c>
      <c r="AD265" s="27">
        <f>AVERAGE(AD256:AD262,AD268:AD274)</f>
        <v>151.14166666666668</v>
      </c>
    </row>
    <row r="266" spans="1:30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130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130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130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130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131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131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132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132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133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133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134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134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135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135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136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136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137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137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139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139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140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140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141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141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142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142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143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143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144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144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144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144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145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145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146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146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147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147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148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148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149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149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150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150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151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151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152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152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153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153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154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154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155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155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156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156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157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157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159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159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160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160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161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161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161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161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163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163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4"/>
  <sheetViews>
    <sheetView view="pageBreakPreview" zoomScale="60" zoomScaleNormal="57" workbookViewId="0">
      <selection activeCell="G7" sqref="G7"/>
    </sheetView>
  </sheetViews>
  <sheetFormatPr defaultRowHeight="14.45"/>
  <cols>
    <col min="2" max="2" width="30.42578125" bestFit="1" customWidth="1"/>
    <col min="3" max="3" width="14" customWidth="1"/>
    <col min="4" max="4" width="12.5703125" customWidth="1"/>
  </cols>
  <sheetData>
    <row r="1" spans="2:3" ht="15" thickBot="1">
      <c r="B1" s="118" t="s">
        <v>164</v>
      </c>
      <c r="C1" s="119" t="s">
        <v>165</v>
      </c>
    </row>
    <row r="2" spans="2:3" ht="15" thickTop="1">
      <c r="B2" s="55"/>
      <c r="C2" s="79"/>
    </row>
    <row r="3" spans="2:3">
      <c r="B3" s="62" t="s">
        <v>3</v>
      </c>
      <c r="C3" s="125" t="s">
        <v>166</v>
      </c>
    </row>
    <row r="4" spans="2:3">
      <c r="B4" s="62" t="s">
        <v>4</v>
      </c>
      <c r="C4" s="125"/>
    </row>
    <row r="5" spans="2:3">
      <c r="B5" s="62" t="s">
        <v>5</v>
      </c>
      <c r="C5" s="125"/>
    </row>
    <row r="6" spans="2:3">
      <c r="B6" s="62" t="s">
        <v>6</v>
      </c>
      <c r="C6" s="125"/>
    </row>
    <row r="7" spans="2:3">
      <c r="B7" s="62" t="s">
        <v>7</v>
      </c>
      <c r="C7" s="125"/>
    </row>
    <row r="8" spans="2:3">
      <c r="B8" s="62" t="s">
        <v>8</v>
      </c>
      <c r="C8" s="125"/>
    </row>
    <row r="9" spans="2:3">
      <c r="B9" s="62" t="s">
        <v>9</v>
      </c>
      <c r="C9" s="125"/>
    </row>
    <row r="10" spans="2:3">
      <c r="B10" s="62" t="s">
        <v>10</v>
      </c>
      <c r="C10" s="125"/>
    </row>
    <row r="11" spans="2:3">
      <c r="B11" s="62" t="s">
        <v>11</v>
      </c>
      <c r="C11" s="125"/>
    </row>
    <row r="12" spans="2:3">
      <c r="B12" s="62" t="s">
        <v>12</v>
      </c>
      <c r="C12" s="125"/>
    </row>
    <row r="13" spans="2:3">
      <c r="B13" s="62" t="s">
        <v>13</v>
      </c>
      <c r="C13" s="125"/>
    </row>
    <row r="14" spans="2:3">
      <c r="B14" s="62" t="s">
        <v>14</v>
      </c>
      <c r="C14" s="125"/>
    </row>
    <row r="15" spans="2:3">
      <c r="B15" s="62" t="s">
        <v>15</v>
      </c>
      <c r="C15" s="125"/>
    </row>
    <row r="16" spans="2:3">
      <c r="B16" s="62" t="s">
        <v>16</v>
      </c>
      <c r="C16" s="125"/>
    </row>
    <row r="17" spans="2:3">
      <c r="B17" s="62"/>
      <c r="C17" s="57"/>
    </row>
    <row r="18" spans="2:3">
      <c r="B18" s="116" t="s">
        <v>17</v>
      </c>
      <c r="C18" s="123" t="s">
        <v>167</v>
      </c>
    </row>
    <row r="19" spans="2:3">
      <c r="B19" s="116" t="s">
        <v>18</v>
      </c>
      <c r="C19" s="123"/>
    </row>
    <row r="20" spans="2:3">
      <c r="B20" s="116" t="s">
        <v>19</v>
      </c>
      <c r="C20" s="123"/>
    </row>
    <row r="21" spans="2:3">
      <c r="B21" s="62"/>
      <c r="C21" s="57"/>
    </row>
    <row r="22" spans="2:3">
      <c r="B22" s="116" t="s">
        <v>20</v>
      </c>
      <c r="C22" s="123" t="s">
        <v>20</v>
      </c>
    </row>
    <row r="23" spans="2:3">
      <c r="B23" s="116" t="s">
        <v>22</v>
      </c>
      <c r="C23" s="123"/>
    </row>
    <row r="24" spans="2:3">
      <c r="B24" s="62"/>
      <c r="C24" s="57"/>
    </row>
    <row r="25" spans="2:3">
      <c r="B25" s="116" t="s">
        <v>23</v>
      </c>
      <c r="C25" s="123" t="s">
        <v>23</v>
      </c>
    </row>
    <row r="26" spans="2:3">
      <c r="B26" s="116" t="s">
        <v>27</v>
      </c>
      <c r="C26" s="123"/>
    </row>
    <row r="27" spans="2:3">
      <c r="B27" s="62"/>
      <c r="C27" s="57"/>
    </row>
    <row r="28" spans="2:3">
      <c r="B28" s="116" t="s">
        <v>168</v>
      </c>
      <c r="C28" s="123" t="s">
        <v>169</v>
      </c>
    </row>
    <row r="29" spans="2:3">
      <c r="B29" s="116" t="s">
        <v>170</v>
      </c>
      <c r="C29" s="123"/>
    </row>
    <row r="30" spans="2:3">
      <c r="B30" s="62"/>
      <c r="C30" s="57"/>
    </row>
    <row r="31" spans="2:3">
      <c r="B31" s="62" t="s">
        <v>26</v>
      </c>
      <c r="C31" s="57" t="s">
        <v>26</v>
      </c>
    </row>
    <row r="32" spans="2:3">
      <c r="B32" s="62"/>
      <c r="C32" s="57"/>
    </row>
    <row r="33" spans="2:3">
      <c r="B33" s="116" t="s">
        <v>25</v>
      </c>
      <c r="C33" s="123" t="s">
        <v>171</v>
      </c>
    </row>
    <row r="34" spans="2:3" ht="15" thickBot="1">
      <c r="B34" s="117" t="s">
        <v>28</v>
      </c>
      <c r="C34" s="124"/>
    </row>
  </sheetData>
  <mergeCells count="6">
    <mergeCell ref="C33:C34"/>
    <mergeCell ref="C3:C16"/>
    <mergeCell ref="C18:C20"/>
    <mergeCell ref="C22:C23"/>
    <mergeCell ref="C25:C26"/>
    <mergeCell ref="C28:C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8248-0B62-4173-ABCA-67D953ED4596}">
  <dimension ref="A1:B6"/>
  <sheetViews>
    <sheetView workbookViewId="0">
      <selection activeCell="B28" sqref="B28"/>
    </sheetView>
  </sheetViews>
  <sheetFormatPr defaultRowHeight="14.45"/>
  <cols>
    <col min="1" max="1" width="6.28515625" bestFit="1" customWidth="1"/>
    <col min="2" max="2" width="52.42578125" bestFit="1" customWidth="1"/>
  </cols>
  <sheetData>
    <row r="1" spans="1:2">
      <c r="B1" s="7" t="s">
        <v>172</v>
      </c>
    </row>
    <row r="2" spans="1:2">
      <c r="A2" s="8" t="s">
        <v>0</v>
      </c>
      <c r="B2" t="s">
        <v>173</v>
      </c>
    </row>
    <row r="3" spans="1:2">
      <c r="A3" s="3" t="s">
        <v>1</v>
      </c>
      <c r="B3" t="s">
        <v>174</v>
      </c>
    </row>
    <row r="6" spans="1:2">
      <c r="B6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A39D-9629-4DCB-889B-0BDD116476F7}">
  <sheetPr filterMode="1"/>
  <dimension ref="A1:M367"/>
  <sheetViews>
    <sheetView tabSelected="1" workbookViewId="0">
      <selection activeCell="H1" sqref="H1:H1048576"/>
    </sheetView>
  </sheetViews>
  <sheetFormatPr defaultRowHeight="14.45"/>
  <cols>
    <col min="1" max="1" width="11.28515625" bestFit="1" customWidth="1"/>
    <col min="2" max="2" width="5" bestFit="1" customWidth="1"/>
    <col min="3" max="3" width="10" bestFit="1" customWidth="1"/>
    <col min="4" max="4" width="12.7109375" bestFit="1" customWidth="1"/>
    <col min="5" max="5" width="17.85546875" hidden="1" customWidth="1"/>
    <col min="6" max="6" width="15.7109375" bestFit="1" customWidth="1"/>
    <col min="7" max="7" width="18" bestFit="1" customWidth="1"/>
    <col min="8" max="8" width="12" hidden="1" customWidth="1"/>
    <col min="9" max="9" width="6.28515625" bestFit="1" customWidth="1"/>
    <col min="10" max="10" width="28.28515625" bestFit="1" customWidth="1"/>
    <col min="11" max="11" width="9.5703125" bestFit="1" customWidth="1"/>
    <col min="12" max="12" width="16" bestFit="1" customWidth="1"/>
    <col min="13" max="13" width="17.28515625" bestFit="1" customWidth="1"/>
    <col min="14" max="14" width="21.140625" bestFit="1" customWidth="1"/>
    <col min="15" max="15" width="6" bestFit="1" customWidth="1"/>
    <col min="16" max="16" width="21.42578125" bestFit="1" customWidth="1"/>
    <col min="17" max="17" width="30.42578125" bestFit="1" customWidth="1"/>
    <col min="18" max="18" width="17.42578125" bestFit="1" customWidth="1"/>
    <col min="19" max="19" width="24.7109375" bestFit="1" customWidth="1"/>
    <col min="20" max="20" width="7.7109375" bestFit="1" customWidth="1"/>
    <col min="22" max="22" width="19.42578125" bestFit="1" customWidth="1"/>
    <col min="23" max="23" width="7.42578125" bestFit="1" customWidth="1"/>
    <col min="24" max="24" width="11.7109375" bestFit="1" customWidth="1"/>
    <col min="25" max="25" width="25.7109375" bestFit="1" customWidth="1"/>
    <col min="26" max="26" width="6.28515625" bestFit="1" customWidth="1"/>
    <col min="27" max="27" width="25.85546875" bestFit="1" customWidth="1"/>
    <col min="28" max="28" width="23.7109375" bestFit="1" customWidth="1"/>
    <col min="29" max="29" width="9.140625" bestFit="1" customWidth="1"/>
    <col min="30" max="30" width="21.85546875" bestFit="1" customWidth="1"/>
    <col min="31" max="31" width="12.5703125" bestFit="1" customWidth="1"/>
    <col min="32" max="32" width="12.140625" bestFit="1" customWidth="1"/>
    <col min="33" max="33" width="12" bestFit="1" customWidth="1"/>
  </cols>
  <sheetData>
    <row r="1" spans="1:13" ht="28.9">
      <c r="A1" s="47" t="s">
        <v>0</v>
      </c>
      <c r="B1" s="47" t="s">
        <v>1</v>
      </c>
      <c r="C1" s="47" t="s">
        <v>2</v>
      </c>
      <c r="D1" s="47" t="s">
        <v>176</v>
      </c>
      <c r="E1" s="47" t="s">
        <v>177</v>
      </c>
      <c r="F1" s="47" t="s">
        <v>178</v>
      </c>
      <c r="G1" s="47" t="s">
        <v>167</v>
      </c>
      <c r="H1" s="47" t="s">
        <v>179</v>
      </c>
      <c r="I1" s="47" t="s">
        <v>23</v>
      </c>
      <c r="J1" s="47" t="s">
        <v>180</v>
      </c>
      <c r="K1" s="47" t="s">
        <v>181</v>
      </c>
      <c r="L1" s="47" t="s">
        <v>171</v>
      </c>
      <c r="M1" s="47" t="s">
        <v>182</v>
      </c>
    </row>
    <row r="2" spans="1:13" hidden="1">
      <c r="A2" s="9" t="str">
        <f>'[1]14- All_India_Index_Upto_April2'!A2</f>
        <v>Rural</v>
      </c>
      <c r="B2" s="9">
        <f>'[1]14- All_India_Index_Upto_April2'!B2</f>
        <v>2013</v>
      </c>
      <c r="C2" s="9" t="str">
        <f>'[1]14- All_India_Index_Upto_April2'!C2</f>
        <v>January</v>
      </c>
      <c r="D2" s="9" t="str">
        <f t="shared" ref="D2:D65" si="0">_xlfn.TEXTJOIN("-",0,C2,B2)</f>
        <v>January-2013</v>
      </c>
      <c r="E2" s="46">
        <f t="shared" ref="E2:E65" si="1">DATEVALUE("1-" &amp;D2)</f>
        <v>41275</v>
      </c>
      <c r="F2" s="9">
        <f>SUM('[1]14- All_India_Index_Upto_April2'!F2:S2)</f>
        <v>1476.7999999999997</v>
      </c>
      <c r="G2" s="9">
        <f>SUM('[1]14- All_India_Index_Upto_April2'!T2:V2)</f>
        <v>318.70000000000005</v>
      </c>
      <c r="H2" s="9" t="e">
        <f>SUM([1]!_14__All_India_Index_Upto_April2[[#This Row],[Housing new]],[1]!_14__All_India_Index_Upto_April2[[#This Row],[Household goods and services]])</f>
        <v>#REF!</v>
      </c>
      <c r="I2" s="9">
        <f>SUM('[1]14- All_India_Index_Upto_April2'!Z2,'[1]14- All_India_Index_Upto_April2'!AD2)</f>
        <v>208.7</v>
      </c>
      <c r="J2" s="9">
        <f>SUM('[1]14- All_India_Index_Upto_April2'!AA2)</f>
        <v>103.3</v>
      </c>
      <c r="K2" s="9">
        <f>'[1]14- All_India_Index_Upto_April2'!AC2</f>
        <v>103.8</v>
      </c>
      <c r="L2" s="9">
        <f>SUM('[1]14- All_India_Index_Upto_April2'!AB2,'[1]14- All_India_Index_Upto_April2'!AE2)</f>
        <v>207.4</v>
      </c>
      <c r="M2" s="9">
        <f>'[1]14- All_India_Index_Upto_April2'!AF2</f>
        <v>105.1</v>
      </c>
    </row>
    <row r="3" spans="1:13" hidden="1">
      <c r="A3" s="9" t="str">
        <f>'[1]14- All_India_Index_Upto_April2'!A3</f>
        <v>Urban</v>
      </c>
      <c r="B3" s="9">
        <f>'[1]14- All_India_Index_Upto_April2'!B3</f>
        <v>2013</v>
      </c>
      <c r="C3" s="9" t="str">
        <f>'[1]14- All_India_Index_Upto_April2'!C3</f>
        <v>January</v>
      </c>
      <c r="D3" s="9" t="str">
        <f t="shared" si="0"/>
        <v>January-2013</v>
      </c>
      <c r="E3" s="46">
        <f t="shared" si="1"/>
        <v>41275</v>
      </c>
      <c r="F3" s="9">
        <f>SUM('[1]14- All_India_Index_Upto_April2'!F3:S3)</f>
        <v>1481.6000000000001</v>
      </c>
      <c r="G3" s="9">
        <f>SUM('[1]14- All_India_Index_Upto_April2'!T3:V3)</f>
        <v>316.7</v>
      </c>
      <c r="H3" s="9" t="e">
        <f>SUM([1]!_14__All_India_Index_Upto_April2[[#This Row],[Housing new]],[1]!_14__All_India_Index_Upto_April2[[#This Row],[Household goods and services]])</f>
        <v>#REF!</v>
      </c>
      <c r="I3" s="9">
        <f>SUM('[1]14- All_India_Index_Upto_April2'!Z3,'[1]14- All_India_Index_Upto_April2'!AD3)</f>
        <v>208.39999999999998</v>
      </c>
      <c r="J3" s="9">
        <f>SUM('[1]14- All_India_Index_Upto_April2'!AA3)</f>
        <v>103.2</v>
      </c>
      <c r="K3" s="9">
        <f>'[1]14- All_India_Index_Upto_April2'!AC3</f>
        <v>103.5</v>
      </c>
      <c r="L3" s="9">
        <f>SUM('[1]14- All_India_Index_Upto_April2'!AB3,'[1]14- All_India_Index_Upto_April2'!AE3)</f>
        <v>206.60000000000002</v>
      </c>
      <c r="M3" s="9">
        <f>'[1]14- All_India_Index_Upto_April2'!AF3</f>
        <v>104</v>
      </c>
    </row>
    <row r="4" spans="1:13" hidden="1">
      <c r="A4" s="9" t="str">
        <f>'[1]14- All_India_Index_Upto_April2'!A4</f>
        <v>Rural+Urban</v>
      </c>
      <c r="B4" s="9">
        <f>'[1]14- All_India_Index_Upto_April2'!B4</f>
        <v>2013</v>
      </c>
      <c r="C4" s="9" t="str">
        <f>'[1]14- All_India_Index_Upto_April2'!C4</f>
        <v>January</v>
      </c>
      <c r="D4" s="9" t="str">
        <f t="shared" si="0"/>
        <v>January-2013</v>
      </c>
      <c r="E4" s="46">
        <f t="shared" si="1"/>
        <v>41275</v>
      </c>
      <c r="F4" s="9">
        <f>SUM('[1]14- All_India_Index_Upto_April2'!F4:S4)</f>
        <v>1478.4</v>
      </c>
      <c r="G4" s="9">
        <f>SUM('[1]14- All_India_Index_Upto_April2'!T4:V4)</f>
        <v>318</v>
      </c>
      <c r="H4" s="9" t="e">
        <f>SUM([1]!_14__All_India_Index_Upto_April2[[#This Row],[Housing new]],[1]!_14__All_India_Index_Upto_April2[[#This Row],[Household goods and services]])</f>
        <v>#REF!</v>
      </c>
      <c r="I4" s="9">
        <f>SUM('[1]14- All_India_Index_Upto_April2'!Z4,'[1]14- All_India_Index_Upto_April2'!AD4)</f>
        <v>208.5</v>
      </c>
      <c r="J4" s="9">
        <f>SUM('[1]14- All_India_Index_Upto_April2'!AA4)</f>
        <v>103.2</v>
      </c>
      <c r="K4" s="9">
        <f>'[1]14- All_India_Index_Upto_April2'!AC4</f>
        <v>103.6</v>
      </c>
      <c r="L4" s="9">
        <f>SUM('[1]14- All_India_Index_Upto_April2'!AB4,'[1]14- All_India_Index_Upto_April2'!AE4)</f>
        <v>207</v>
      </c>
      <c r="M4" s="9">
        <f>'[1]14- All_India_Index_Upto_April2'!AF4</f>
        <v>104.6</v>
      </c>
    </row>
    <row r="5" spans="1:13" hidden="1">
      <c r="A5" s="9" t="str">
        <f>'[1]14- All_India_Index_Upto_April2'!A5</f>
        <v>Rural</v>
      </c>
      <c r="B5" s="9">
        <f>'[1]14- All_India_Index_Upto_April2'!B5</f>
        <v>2013</v>
      </c>
      <c r="C5" s="9" t="str">
        <f>'[1]14- All_India_Index_Upto_April2'!C5</f>
        <v>February</v>
      </c>
      <c r="D5" s="9" t="str">
        <f t="shared" si="0"/>
        <v>February-2013</v>
      </c>
      <c r="E5" s="46">
        <f t="shared" si="1"/>
        <v>41306</v>
      </c>
      <c r="F5" s="9">
        <f>SUM('[1]14- All_India_Index_Upto_April2'!F5:S5)</f>
        <v>1485.9999999999998</v>
      </c>
      <c r="G5" s="9">
        <f>SUM('[1]14- All_India_Index_Upto_April2'!T5:V5)</f>
        <v>320.39999999999998</v>
      </c>
      <c r="H5" s="9" t="e">
        <f>SUM([1]!_14__All_India_Index_Upto_April2[[#This Row],[Housing new]],[1]!_14__All_India_Index_Upto_April2[[#This Row],[Household goods and services]])</f>
        <v>#REF!</v>
      </c>
      <c r="I5" s="9">
        <f>SUM('[1]14- All_India_Index_Upto_April2'!Z5,'[1]14- All_India_Index_Upto_April2'!AD5)</f>
        <v>209</v>
      </c>
      <c r="J5" s="9">
        <f>SUM('[1]14- All_India_Index_Upto_April2'!AA5)</f>
        <v>103.9</v>
      </c>
      <c r="K5" s="9">
        <f>'[1]14- All_India_Index_Upto_April2'!AC5</f>
        <v>104.1</v>
      </c>
      <c r="L5" s="9">
        <f>SUM('[1]14- All_India_Index_Upto_April2'!AB5,'[1]14- All_India_Index_Upto_April2'!AE5)</f>
        <v>208.4</v>
      </c>
      <c r="M5" s="9">
        <f>'[1]14- All_India_Index_Upto_April2'!AF5</f>
        <v>105.8</v>
      </c>
    </row>
    <row r="6" spans="1:13" hidden="1">
      <c r="A6" s="9" t="str">
        <f>'[1]14- All_India_Index_Upto_April2'!A6</f>
        <v>Urban</v>
      </c>
      <c r="B6" s="9">
        <f>'[1]14- All_India_Index_Upto_April2'!B6</f>
        <v>2013</v>
      </c>
      <c r="C6" s="9" t="str">
        <f>'[1]14- All_India_Index_Upto_April2'!C6</f>
        <v>February</v>
      </c>
      <c r="D6" s="9" t="str">
        <f t="shared" si="0"/>
        <v>February-2013</v>
      </c>
      <c r="E6" s="46">
        <f t="shared" si="1"/>
        <v>41306</v>
      </c>
      <c r="F6" s="9">
        <f>SUM('[1]14- All_India_Index_Upto_April2'!F6:S6)</f>
        <v>1496.6000000000001</v>
      </c>
      <c r="G6" s="9">
        <f>SUM('[1]14- All_India_Index_Upto_April2'!T6:V6)</f>
        <v>318.5</v>
      </c>
      <c r="H6" s="9" t="e">
        <f>SUM([1]!_14__All_India_Index_Upto_April2[[#This Row],[Housing new]],[1]!_14__All_India_Index_Upto_April2[[#This Row],[Household goods and services]])</f>
        <v>#REF!</v>
      </c>
      <c r="I6" s="9">
        <f>SUM('[1]14- All_India_Index_Upto_April2'!Z6,'[1]14- All_India_Index_Upto_April2'!AD6)</f>
        <v>209</v>
      </c>
      <c r="J6" s="9">
        <f>SUM('[1]14- All_India_Index_Upto_April2'!AA6)</f>
        <v>104.4</v>
      </c>
      <c r="K6" s="9">
        <f>'[1]14- All_India_Index_Upto_April2'!AC6</f>
        <v>103.7</v>
      </c>
      <c r="L6" s="9">
        <f>SUM('[1]14- All_India_Index_Upto_April2'!AB6,'[1]14- All_India_Index_Upto_April2'!AE6)</f>
        <v>207.6</v>
      </c>
      <c r="M6" s="9">
        <f>'[1]14- All_India_Index_Upto_April2'!AF6</f>
        <v>104.7</v>
      </c>
    </row>
    <row r="7" spans="1:13" hidden="1">
      <c r="A7" s="9" t="str">
        <f>'[1]14- All_India_Index_Upto_April2'!A7</f>
        <v>Rural+Urban</v>
      </c>
      <c r="B7" s="9">
        <f>'[1]14- All_India_Index_Upto_April2'!B7</f>
        <v>2013</v>
      </c>
      <c r="C7" s="9" t="str">
        <f>'[1]14- All_India_Index_Upto_April2'!C7</f>
        <v>February</v>
      </c>
      <c r="D7" s="9" t="str">
        <f t="shared" si="0"/>
        <v>February-2013</v>
      </c>
      <c r="E7" s="46">
        <f t="shared" si="1"/>
        <v>41306</v>
      </c>
      <c r="F7" s="9">
        <f>SUM('[1]14- All_India_Index_Upto_April2'!F7:S7)</f>
        <v>1489.9</v>
      </c>
      <c r="G7" s="9">
        <f>SUM('[1]14- All_India_Index_Upto_April2'!T7:V7)</f>
        <v>319.7</v>
      </c>
      <c r="H7" s="9" t="e">
        <f>SUM([1]!_14__All_India_Index_Upto_April2[[#This Row],[Housing new]],[1]!_14__All_India_Index_Upto_April2[[#This Row],[Household goods and services]])</f>
        <v>#REF!</v>
      </c>
      <c r="I7" s="9">
        <f>SUM('[1]14- All_India_Index_Upto_April2'!Z7,'[1]14- All_India_Index_Upto_April2'!AD7)</f>
        <v>209</v>
      </c>
      <c r="J7" s="9">
        <f>SUM('[1]14- All_India_Index_Upto_April2'!AA7)</f>
        <v>104.2</v>
      </c>
      <c r="K7" s="9">
        <f>'[1]14- All_India_Index_Upto_April2'!AC7</f>
        <v>103.9</v>
      </c>
      <c r="L7" s="9">
        <f>SUM('[1]14- All_India_Index_Upto_April2'!AB7,'[1]14- All_India_Index_Upto_April2'!AE7)</f>
        <v>208</v>
      </c>
      <c r="M7" s="9">
        <f>'[1]14- All_India_Index_Upto_April2'!AF7</f>
        <v>105.3</v>
      </c>
    </row>
    <row r="8" spans="1:13" hidden="1">
      <c r="A8" s="9" t="str">
        <f>'[1]14- All_India_Index_Upto_April2'!A8</f>
        <v>Rural</v>
      </c>
      <c r="B8" s="9">
        <f>'[1]14- All_India_Index_Upto_April2'!B8</f>
        <v>2013</v>
      </c>
      <c r="C8" s="9" t="str">
        <f>'[1]14- All_India_Index_Upto_April2'!C8</f>
        <v>March</v>
      </c>
      <c r="D8" s="9" t="str">
        <f t="shared" si="0"/>
        <v>March-2013</v>
      </c>
      <c r="E8" s="46">
        <f t="shared" si="1"/>
        <v>41334</v>
      </c>
      <c r="F8" s="9">
        <f>SUM('[1]14- All_India_Index_Upto_April2'!F8:S8)</f>
        <v>1488.7</v>
      </c>
      <c r="G8" s="9">
        <f>SUM('[1]14- All_India_Index_Upto_April2'!T8:V8)</f>
        <v>321.89999999999998</v>
      </c>
      <c r="H8" s="9" t="e">
        <f>SUM([1]!_14__All_India_Index_Upto_April2[[#This Row],[Housing new]],[1]!_14__All_India_Index_Upto_April2[[#This Row],[Household goods and services]])</f>
        <v>#REF!</v>
      </c>
      <c r="I8" s="9">
        <f>SUM('[1]14- All_India_Index_Upto_April2'!Z8,'[1]14- All_India_Index_Upto_April2'!AD8)</f>
        <v>209</v>
      </c>
      <c r="J8" s="9">
        <f>SUM('[1]14- All_India_Index_Upto_April2'!AA8)</f>
        <v>104.6</v>
      </c>
      <c r="K8" s="9">
        <f>'[1]14- All_India_Index_Upto_April2'!AC8</f>
        <v>104.3</v>
      </c>
      <c r="L8" s="9">
        <f>SUM('[1]14- All_India_Index_Upto_April2'!AB8,'[1]14- All_India_Index_Upto_April2'!AE8)</f>
        <v>208.6</v>
      </c>
      <c r="M8" s="9">
        <f>'[1]14- All_India_Index_Upto_April2'!AF8</f>
        <v>106</v>
      </c>
    </row>
    <row r="9" spans="1:13" hidden="1">
      <c r="A9" s="9" t="str">
        <f>'[1]14- All_India_Index_Upto_April2'!A9</f>
        <v>Urban</v>
      </c>
      <c r="B9" s="9">
        <f>'[1]14- All_India_Index_Upto_April2'!B9</f>
        <v>2013</v>
      </c>
      <c r="C9" s="9" t="str">
        <f>'[1]14- All_India_Index_Upto_April2'!C9</f>
        <v>March</v>
      </c>
      <c r="D9" s="9" t="str">
        <f t="shared" si="0"/>
        <v>March-2013</v>
      </c>
      <c r="E9" s="46">
        <f t="shared" si="1"/>
        <v>41334</v>
      </c>
      <c r="F9" s="9">
        <f>SUM('[1]14- All_India_Index_Upto_April2'!F9:S9)</f>
        <v>1493.6</v>
      </c>
      <c r="G9" s="9">
        <f>SUM('[1]14- All_India_Index_Upto_April2'!T9:V9)</f>
        <v>320.2</v>
      </c>
      <c r="H9" s="9" t="e">
        <f>SUM([1]!_14__All_India_Index_Upto_April2[[#This Row],[Housing new]],[1]!_14__All_India_Index_Upto_April2[[#This Row],[Household goods and services]])</f>
        <v>#REF!</v>
      </c>
      <c r="I9" s="9">
        <f>SUM('[1]14- All_India_Index_Upto_April2'!Z9,'[1]14- All_India_Index_Upto_April2'!AD9)</f>
        <v>209.4</v>
      </c>
      <c r="J9" s="9">
        <f>SUM('[1]14- All_India_Index_Upto_April2'!AA9)</f>
        <v>105.5</v>
      </c>
      <c r="K9" s="9">
        <f>'[1]14- All_India_Index_Upto_April2'!AC9</f>
        <v>103.8</v>
      </c>
      <c r="L9" s="9">
        <f>SUM('[1]14- All_India_Index_Upto_April2'!AB9,'[1]14- All_India_Index_Upto_April2'!AE9)</f>
        <v>208.4</v>
      </c>
      <c r="M9" s="9">
        <f>'[1]14- All_India_Index_Upto_April2'!AF9</f>
        <v>105</v>
      </c>
    </row>
    <row r="10" spans="1:13" hidden="1">
      <c r="A10" s="9" t="str">
        <f>'[1]14- All_India_Index_Upto_April2'!A10</f>
        <v>Rural+Urban</v>
      </c>
      <c r="B10" s="9">
        <f>'[1]14- All_India_Index_Upto_April2'!B10</f>
        <v>2013</v>
      </c>
      <c r="C10" s="9" t="str">
        <f>'[1]14- All_India_Index_Upto_April2'!C10</f>
        <v>March</v>
      </c>
      <c r="D10" s="9" t="str">
        <f t="shared" si="0"/>
        <v>March-2013</v>
      </c>
      <c r="E10" s="46">
        <f t="shared" si="1"/>
        <v>41334</v>
      </c>
      <c r="F10" s="9">
        <f>SUM('[1]14- All_India_Index_Upto_April2'!F10:S10)</f>
        <v>1490.6000000000001</v>
      </c>
      <c r="G10" s="9">
        <f>SUM('[1]14- All_India_Index_Upto_April2'!T10:V10)</f>
        <v>321.2</v>
      </c>
      <c r="H10" s="9" t="e">
        <f>SUM([1]!_14__All_India_Index_Upto_April2[[#This Row],[Housing new]],[1]!_14__All_India_Index_Upto_April2[[#This Row],[Household goods and services]])</f>
        <v>#REF!</v>
      </c>
      <c r="I10" s="9">
        <f>SUM('[1]14- All_India_Index_Upto_April2'!Z10,'[1]14- All_India_Index_Upto_April2'!AD10)</f>
        <v>209.2</v>
      </c>
      <c r="J10" s="9">
        <f>SUM('[1]14- All_India_Index_Upto_April2'!AA10)</f>
        <v>105.1</v>
      </c>
      <c r="K10" s="9">
        <f>'[1]14- All_India_Index_Upto_April2'!AC10</f>
        <v>104</v>
      </c>
      <c r="L10" s="9">
        <f>SUM('[1]14- All_India_Index_Upto_April2'!AB10,'[1]14- All_India_Index_Upto_April2'!AE10)</f>
        <v>208.4</v>
      </c>
      <c r="M10" s="9">
        <f>'[1]14- All_India_Index_Upto_April2'!AF10</f>
        <v>105.5</v>
      </c>
    </row>
    <row r="11" spans="1:13" hidden="1">
      <c r="A11" s="9" t="str">
        <f>'[1]14- All_India_Index_Upto_April2'!A11</f>
        <v>Rural</v>
      </c>
      <c r="B11" s="9">
        <f>'[1]14- All_India_Index_Upto_April2'!B11</f>
        <v>2013</v>
      </c>
      <c r="C11" s="9" t="str">
        <f>'[1]14- All_India_Index_Upto_April2'!C11</f>
        <v>April</v>
      </c>
      <c r="D11" s="9" t="str">
        <f t="shared" si="0"/>
        <v>April-2013</v>
      </c>
      <c r="E11" s="46">
        <f t="shared" si="1"/>
        <v>41365</v>
      </c>
      <c r="F11" s="9">
        <f>SUM('[1]14- All_India_Index_Upto_April2'!F11:S11)</f>
        <v>1492.8999999999999</v>
      </c>
      <c r="G11" s="9">
        <f>SUM('[1]14- All_India_Index_Upto_April2'!T11:V11)</f>
        <v>323.5</v>
      </c>
      <c r="H11" s="9" t="e">
        <f>SUM([1]!_14__All_India_Index_Upto_April2[[#This Row],[Housing new]],[1]!_14__All_India_Index_Upto_April2[[#This Row],[Household goods and services]])</f>
        <v>#REF!</v>
      </c>
      <c r="I11" s="9">
        <f>SUM('[1]14- All_India_Index_Upto_April2'!Z11,'[1]14- All_India_Index_Upto_April2'!AD11)</f>
        <v>207.8</v>
      </c>
      <c r="J11" s="9">
        <f>SUM('[1]14- All_India_Index_Upto_April2'!AA11)</f>
        <v>104.4</v>
      </c>
      <c r="K11" s="9">
        <f>'[1]14- All_India_Index_Upto_April2'!AC11</f>
        <v>104.8</v>
      </c>
      <c r="L11" s="9">
        <f>SUM('[1]14- All_India_Index_Upto_April2'!AB11,'[1]14- All_India_Index_Upto_April2'!AE11)</f>
        <v>209.1</v>
      </c>
      <c r="M11" s="9">
        <f>'[1]14- All_India_Index_Upto_April2'!AF11</f>
        <v>106.4</v>
      </c>
    </row>
    <row r="12" spans="1:13" hidden="1">
      <c r="A12" s="9" t="str">
        <f>'[1]14- All_India_Index_Upto_April2'!A12</f>
        <v>Urban</v>
      </c>
      <c r="B12" s="9">
        <f>'[1]14- All_India_Index_Upto_April2'!B12</f>
        <v>2013</v>
      </c>
      <c r="C12" s="9" t="str">
        <f>'[1]14- All_India_Index_Upto_April2'!C12</f>
        <v>April</v>
      </c>
      <c r="D12" s="9" t="str">
        <f t="shared" si="0"/>
        <v>April-2013</v>
      </c>
      <c r="E12" s="46">
        <f t="shared" si="1"/>
        <v>41365</v>
      </c>
      <c r="F12" s="9">
        <f>SUM('[1]14- All_India_Index_Upto_April2'!F12:S12)</f>
        <v>1506.1999999999998</v>
      </c>
      <c r="G12" s="9">
        <f>SUM('[1]14- All_India_Index_Upto_April2'!T12:V12)</f>
        <v>322</v>
      </c>
      <c r="H12" s="9" t="e">
        <f>SUM([1]!_14__All_India_Index_Upto_April2[[#This Row],[Housing new]],[1]!_14__All_India_Index_Upto_April2[[#This Row],[Household goods and services]])</f>
        <v>#REF!</v>
      </c>
      <c r="I12" s="9">
        <f>SUM('[1]14- All_India_Index_Upto_April2'!Z12,'[1]14- All_India_Index_Upto_April2'!AD12)</f>
        <v>208.9</v>
      </c>
      <c r="J12" s="9">
        <f>SUM('[1]14- All_India_Index_Upto_April2'!AA12)</f>
        <v>105</v>
      </c>
      <c r="K12" s="9">
        <f>'[1]14- All_India_Index_Upto_April2'!AC12</f>
        <v>105.2</v>
      </c>
      <c r="L12" s="9">
        <f>SUM('[1]14- All_India_Index_Upto_April2'!AB12,'[1]14- All_India_Index_Upto_April2'!AE12)</f>
        <v>209.1</v>
      </c>
      <c r="M12" s="9">
        <f>'[1]14- All_India_Index_Upto_April2'!AF12</f>
        <v>105.7</v>
      </c>
    </row>
    <row r="13" spans="1:13" hidden="1">
      <c r="A13" s="9" t="str">
        <f>'[1]14- All_India_Index_Upto_April2'!A13</f>
        <v>Rural+Urban</v>
      </c>
      <c r="B13" s="9">
        <f>'[1]14- All_India_Index_Upto_April2'!B13</f>
        <v>2013</v>
      </c>
      <c r="C13" s="9" t="str">
        <f>'[1]14- All_India_Index_Upto_April2'!C13</f>
        <v>April</v>
      </c>
      <c r="D13" s="9" t="str">
        <f t="shared" si="0"/>
        <v>April-2013</v>
      </c>
      <c r="E13" s="46">
        <f t="shared" si="1"/>
        <v>41365</v>
      </c>
      <c r="F13" s="9">
        <f>SUM('[1]14- All_India_Index_Upto_April2'!F13:S13)</f>
        <v>1497.7</v>
      </c>
      <c r="G13" s="9">
        <f>SUM('[1]14- All_India_Index_Upto_April2'!T13:V13)</f>
        <v>322.89999999999998</v>
      </c>
      <c r="H13" s="9" t="e">
        <f>SUM([1]!_14__All_India_Index_Upto_April2[[#This Row],[Housing new]],[1]!_14__All_India_Index_Upto_April2[[#This Row],[Household goods and services]])</f>
        <v>#REF!</v>
      </c>
      <c r="I13" s="9">
        <f>SUM('[1]14- All_India_Index_Upto_April2'!Z13,'[1]14- All_India_Index_Upto_April2'!AD13)</f>
        <v>208.2</v>
      </c>
      <c r="J13" s="9">
        <f>SUM('[1]14- All_India_Index_Upto_April2'!AA13)</f>
        <v>104.7</v>
      </c>
      <c r="K13" s="9">
        <f>'[1]14- All_India_Index_Upto_April2'!AC13</f>
        <v>105</v>
      </c>
      <c r="L13" s="9">
        <f>SUM('[1]14- All_India_Index_Upto_April2'!AB13,'[1]14- All_India_Index_Upto_April2'!AE13)</f>
        <v>209</v>
      </c>
      <c r="M13" s="9">
        <f>'[1]14- All_India_Index_Upto_April2'!AF13</f>
        <v>106.1</v>
      </c>
    </row>
    <row r="14" spans="1:13" hidden="1">
      <c r="A14" s="9" t="str">
        <f>'[1]14- All_India_Index_Upto_April2'!A14</f>
        <v>Rural</v>
      </c>
      <c r="B14" s="9">
        <f>'[1]14- All_India_Index_Upto_April2'!B14</f>
        <v>2013</v>
      </c>
      <c r="C14" s="9" t="str">
        <f>'[1]14- All_India_Index_Upto_April2'!C14</f>
        <v>May</v>
      </c>
      <c r="D14" s="9" t="str">
        <f t="shared" si="0"/>
        <v>May-2013</v>
      </c>
      <c r="E14" s="46">
        <f t="shared" si="1"/>
        <v>41395</v>
      </c>
      <c r="F14" s="9">
        <f>SUM('[1]14- All_India_Index_Upto_April2'!F14:S14)</f>
        <v>1502.1</v>
      </c>
      <c r="G14" s="9">
        <f>SUM('[1]14- All_India_Index_Upto_April2'!T14:V14)</f>
        <v>325.29999999999995</v>
      </c>
      <c r="H14" s="9" t="e">
        <f>SUM([1]!_14__All_India_Index_Upto_April2[[#This Row],[Housing new]],[1]!_14__All_India_Index_Upto_April2[[#This Row],[Household goods and services]])</f>
        <v>#REF!</v>
      </c>
      <c r="I14" s="9">
        <f>SUM('[1]14- All_India_Index_Upto_April2'!Z14,'[1]14- All_India_Index_Upto_April2'!AD14)</f>
        <v>207.8</v>
      </c>
      <c r="J14" s="9">
        <f>SUM('[1]14- All_India_Index_Upto_April2'!AA14)</f>
        <v>104.1</v>
      </c>
      <c r="K14" s="9">
        <f>'[1]14- All_India_Index_Upto_April2'!AC14</f>
        <v>105.5</v>
      </c>
      <c r="L14" s="9">
        <f>SUM('[1]14- All_India_Index_Upto_April2'!AB14,'[1]14- All_India_Index_Upto_April2'!AE14)</f>
        <v>209.8</v>
      </c>
      <c r="M14" s="9">
        <f>'[1]14- All_India_Index_Upto_April2'!AF14</f>
        <v>107.2</v>
      </c>
    </row>
    <row r="15" spans="1:13" hidden="1">
      <c r="A15" s="9" t="str">
        <f>'[1]14- All_India_Index_Upto_April2'!A15</f>
        <v>Urban</v>
      </c>
      <c r="B15" s="9">
        <f>'[1]14- All_India_Index_Upto_April2'!B15</f>
        <v>2013</v>
      </c>
      <c r="C15" s="9" t="str">
        <f>'[1]14- All_India_Index_Upto_April2'!C15</f>
        <v>May</v>
      </c>
      <c r="D15" s="9" t="str">
        <f t="shared" si="0"/>
        <v>May-2013</v>
      </c>
      <c r="E15" s="46">
        <f t="shared" si="1"/>
        <v>41395</v>
      </c>
      <c r="F15" s="9">
        <f>SUM('[1]14- All_India_Index_Upto_April2'!F15:S15)</f>
        <v>1526.9999999999998</v>
      </c>
      <c r="G15" s="9">
        <f>SUM('[1]14- All_India_Index_Upto_April2'!T15:V15)</f>
        <v>323.5</v>
      </c>
      <c r="H15" s="9" t="e">
        <f>SUM([1]!_14__All_India_Index_Upto_April2[[#This Row],[Housing new]],[1]!_14__All_India_Index_Upto_April2[[#This Row],[Household goods and services]])</f>
        <v>#REF!</v>
      </c>
      <c r="I15" s="9">
        <f>SUM('[1]14- All_India_Index_Upto_April2'!Z15,'[1]14- All_India_Index_Upto_April2'!AD15)</f>
        <v>208.8</v>
      </c>
      <c r="J15" s="9">
        <f>SUM('[1]14- All_India_Index_Upto_April2'!AA15)</f>
        <v>103.9</v>
      </c>
      <c r="K15" s="9">
        <f>'[1]14- All_India_Index_Upto_April2'!AC15</f>
        <v>105.7</v>
      </c>
      <c r="L15" s="9">
        <f>SUM('[1]14- All_India_Index_Upto_April2'!AB15,'[1]14- All_India_Index_Upto_April2'!AE15)</f>
        <v>209.5</v>
      </c>
      <c r="M15" s="9">
        <f>'[1]14- All_India_Index_Upto_April2'!AF15</f>
        <v>106.6</v>
      </c>
    </row>
    <row r="16" spans="1:13" hidden="1">
      <c r="A16" s="9" t="str">
        <f>'[1]14- All_India_Index_Upto_April2'!A16</f>
        <v>Rural+Urban</v>
      </c>
      <c r="B16" s="9">
        <f>'[1]14- All_India_Index_Upto_April2'!B16</f>
        <v>2013</v>
      </c>
      <c r="C16" s="9" t="str">
        <f>'[1]14- All_India_Index_Upto_April2'!C16</f>
        <v>May</v>
      </c>
      <c r="D16" s="9" t="str">
        <f t="shared" si="0"/>
        <v>May-2013</v>
      </c>
      <c r="E16" s="46">
        <f t="shared" si="1"/>
        <v>41395</v>
      </c>
      <c r="F16" s="9">
        <f>SUM('[1]14- All_India_Index_Upto_April2'!F16:S16)</f>
        <v>1510.7999999999997</v>
      </c>
      <c r="G16" s="9">
        <f>SUM('[1]14- All_India_Index_Upto_April2'!T16:V16)</f>
        <v>324.60000000000002</v>
      </c>
      <c r="H16" s="9" t="e">
        <f>SUM([1]!_14__All_India_Index_Upto_April2[[#This Row],[Housing new]],[1]!_14__All_India_Index_Upto_April2[[#This Row],[Household goods and services]])</f>
        <v>#REF!</v>
      </c>
      <c r="I16" s="9">
        <f>SUM('[1]14- All_India_Index_Upto_April2'!Z16,'[1]14- All_India_Index_Upto_April2'!AD16)</f>
        <v>208.2</v>
      </c>
      <c r="J16" s="9">
        <f>SUM('[1]14- All_India_Index_Upto_April2'!AA16)</f>
        <v>104</v>
      </c>
      <c r="K16" s="9">
        <f>'[1]14- All_India_Index_Upto_April2'!AC16</f>
        <v>105.6</v>
      </c>
      <c r="L16" s="9">
        <f>SUM('[1]14- All_India_Index_Upto_April2'!AB16,'[1]14- All_India_Index_Upto_April2'!AE16)</f>
        <v>209.6</v>
      </c>
      <c r="M16" s="9">
        <f>'[1]14- All_India_Index_Upto_April2'!AF16</f>
        <v>106.9</v>
      </c>
    </row>
    <row r="17" spans="1:13" hidden="1">
      <c r="A17" s="9" t="str">
        <f>'[1]14- All_India_Index_Upto_April2'!A17</f>
        <v>Rural</v>
      </c>
      <c r="B17" s="9">
        <f>'[1]14- All_India_Index_Upto_April2'!B17</f>
        <v>2013</v>
      </c>
      <c r="C17" s="9" t="str">
        <f>'[1]14- All_India_Index_Upto_April2'!C17</f>
        <v>June</v>
      </c>
      <c r="D17" s="9" t="str">
        <f t="shared" si="0"/>
        <v>June-2013</v>
      </c>
      <c r="E17" s="46">
        <f t="shared" si="1"/>
        <v>41426</v>
      </c>
      <c r="F17" s="9">
        <f>SUM('[1]14- All_India_Index_Upto_April2'!F17:S17)</f>
        <v>1529</v>
      </c>
      <c r="G17" s="9">
        <f>SUM('[1]14- All_India_Index_Upto_April2'!T17:V17)</f>
        <v>328</v>
      </c>
      <c r="H17" s="9" t="e">
        <f>SUM([1]!_14__All_India_Index_Upto_April2[[#This Row],[Housing new]],[1]!_14__All_India_Index_Upto_April2[[#This Row],[Household goods and services]])</f>
        <v>#REF!</v>
      </c>
      <c r="I17" s="9">
        <f>SUM('[1]14- All_India_Index_Upto_April2'!Z17,'[1]14- All_India_Index_Upto_April2'!AD17)</f>
        <v>208.8</v>
      </c>
      <c r="J17" s="9">
        <f>SUM('[1]14- All_India_Index_Upto_April2'!AA17)</f>
        <v>105</v>
      </c>
      <c r="K17" s="9">
        <f>'[1]14- All_India_Index_Upto_April2'!AC17</f>
        <v>106.5</v>
      </c>
      <c r="L17" s="9">
        <f>SUM('[1]14- All_India_Index_Upto_April2'!AB17,'[1]14- All_India_Index_Upto_April2'!AE17)</f>
        <v>211.1</v>
      </c>
      <c r="M17" s="9">
        <f>'[1]14- All_India_Index_Upto_April2'!AF17</f>
        <v>108.9</v>
      </c>
    </row>
    <row r="18" spans="1:13" hidden="1">
      <c r="A18" s="9" t="str">
        <f>'[1]14- All_India_Index_Upto_April2'!A18</f>
        <v>Urban</v>
      </c>
      <c r="B18" s="9">
        <f>'[1]14- All_India_Index_Upto_April2'!B18</f>
        <v>2013</v>
      </c>
      <c r="C18" s="9" t="str">
        <f>'[1]14- All_India_Index_Upto_April2'!C18</f>
        <v>June</v>
      </c>
      <c r="D18" s="9" t="str">
        <f t="shared" si="0"/>
        <v>June-2013</v>
      </c>
      <c r="E18" s="46">
        <f t="shared" si="1"/>
        <v>41426</v>
      </c>
      <c r="F18" s="9">
        <f>SUM('[1]14- All_India_Index_Upto_April2'!F18:S18)</f>
        <v>1575.5000000000002</v>
      </c>
      <c r="G18" s="9">
        <f>SUM('[1]14- All_India_Index_Upto_April2'!T18:V18)</f>
        <v>325.3</v>
      </c>
      <c r="H18" s="9" t="e">
        <f>SUM([1]!_14__All_India_Index_Upto_April2[[#This Row],[Housing new]],[1]!_14__All_India_Index_Upto_April2[[#This Row],[Household goods and services]])</f>
        <v>#REF!</v>
      </c>
      <c r="I18" s="9">
        <f>SUM('[1]14- All_India_Index_Upto_April2'!Z18,'[1]14- All_India_Index_Upto_April2'!AD18)</f>
        <v>209.8</v>
      </c>
      <c r="J18" s="9">
        <f>SUM('[1]14- All_India_Index_Upto_April2'!AA18)</f>
        <v>105.2</v>
      </c>
      <c r="K18" s="9">
        <f>'[1]14- All_India_Index_Upto_April2'!AC18</f>
        <v>108.1</v>
      </c>
      <c r="L18" s="9">
        <f>SUM('[1]14- All_India_Index_Upto_April2'!AB18,'[1]14- All_India_Index_Upto_April2'!AE18)</f>
        <v>211.3</v>
      </c>
      <c r="M18" s="9">
        <f>'[1]14- All_India_Index_Upto_April2'!AF18</f>
        <v>109.7</v>
      </c>
    </row>
    <row r="19" spans="1:13" hidden="1">
      <c r="A19" s="9" t="str">
        <f>'[1]14- All_India_Index_Upto_April2'!A19</f>
        <v>Rural+Urban</v>
      </c>
      <c r="B19" s="9">
        <f>'[1]14- All_India_Index_Upto_April2'!B19</f>
        <v>2013</v>
      </c>
      <c r="C19" s="9" t="str">
        <f>'[1]14- All_India_Index_Upto_April2'!C19</f>
        <v>June</v>
      </c>
      <c r="D19" s="9" t="str">
        <f t="shared" si="0"/>
        <v>June-2013</v>
      </c>
      <c r="E19" s="46">
        <f t="shared" si="1"/>
        <v>41426</v>
      </c>
      <c r="F19" s="9">
        <f>SUM('[1]14- All_India_Index_Upto_April2'!F19:S19)</f>
        <v>1545.5</v>
      </c>
      <c r="G19" s="9">
        <f>SUM('[1]14- All_India_Index_Upto_April2'!T19:V19)</f>
        <v>326.89999999999998</v>
      </c>
      <c r="H19" s="9" t="e">
        <f>SUM([1]!_14__All_India_Index_Upto_April2[[#This Row],[Housing new]],[1]!_14__All_India_Index_Upto_April2[[#This Row],[Household goods and services]])</f>
        <v>#REF!</v>
      </c>
      <c r="I19" s="9">
        <f>SUM('[1]14- All_India_Index_Upto_April2'!Z19,'[1]14- All_India_Index_Upto_April2'!AD19)</f>
        <v>209.2</v>
      </c>
      <c r="J19" s="9">
        <f>SUM('[1]14- All_India_Index_Upto_April2'!AA19)</f>
        <v>105.1</v>
      </c>
      <c r="K19" s="9">
        <f>'[1]14- All_India_Index_Upto_April2'!AC19</f>
        <v>107.4</v>
      </c>
      <c r="L19" s="9">
        <f>SUM('[1]14- All_India_Index_Upto_April2'!AB19,'[1]14- All_India_Index_Upto_April2'!AE19)</f>
        <v>211.2</v>
      </c>
      <c r="M19" s="9">
        <f>'[1]14- All_India_Index_Upto_April2'!AF19</f>
        <v>109.3</v>
      </c>
    </row>
    <row r="20" spans="1:13" hidden="1">
      <c r="A20" s="9" t="str">
        <f>'[1]14- All_India_Index_Upto_April2'!A20</f>
        <v>Rural</v>
      </c>
      <c r="B20" s="9">
        <f>'[1]14- All_India_Index_Upto_April2'!B20</f>
        <v>2013</v>
      </c>
      <c r="C20" s="9" t="str">
        <f>'[1]14- All_India_Index_Upto_April2'!C20</f>
        <v>July</v>
      </c>
      <c r="D20" s="9" t="str">
        <f t="shared" si="0"/>
        <v>July-2013</v>
      </c>
      <c r="E20" s="46">
        <f t="shared" si="1"/>
        <v>41456</v>
      </c>
      <c r="F20" s="9">
        <f>SUM('[1]14- All_India_Index_Upto_April2'!F20:S20)</f>
        <v>1555.6999999999996</v>
      </c>
      <c r="G20" s="9">
        <f>SUM('[1]14- All_India_Index_Upto_April2'!T20:V20)</f>
        <v>330.3</v>
      </c>
      <c r="H20" s="9" t="e">
        <f>SUM([1]!_14__All_India_Index_Upto_April2[[#This Row],[Housing new]],[1]!_14__All_India_Index_Upto_April2[[#This Row],[Household goods and services]])</f>
        <v>#REF!</v>
      </c>
      <c r="I20" s="9">
        <f>SUM('[1]14- All_India_Index_Upto_April2'!Z20,'[1]14- All_India_Index_Upto_April2'!AD20)</f>
        <v>209.4</v>
      </c>
      <c r="J20" s="9">
        <f>SUM('[1]14- All_India_Index_Upto_April2'!AA20)</f>
        <v>106.8</v>
      </c>
      <c r="K20" s="9">
        <f>'[1]14- All_India_Index_Upto_April2'!AC20</f>
        <v>107.8</v>
      </c>
      <c r="L20" s="9">
        <f>SUM('[1]14- All_India_Index_Upto_April2'!AB20,'[1]14- All_India_Index_Upto_April2'!AE20)</f>
        <v>212.9</v>
      </c>
      <c r="M20" s="9">
        <f>'[1]14- All_India_Index_Upto_April2'!AF20</f>
        <v>110.7</v>
      </c>
    </row>
    <row r="21" spans="1:13" hidden="1">
      <c r="A21" s="9" t="str">
        <f>'[1]14- All_India_Index_Upto_April2'!A21</f>
        <v>Urban</v>
      </c>
      <c r="B21" s="9">
        <f>'[1]14- All_India_Index_Upto_April2'!B21</f>
        <v>2013</v>
      </c>
      <c r="C21" s="9" t="str">
        <f>'[1]14- All_India_Index_Upto_April2'!C21</f>
        <v>July</v>
      </c>
      <c r="D21" s="9" t="str">
        <f t="shared" si="0"/>
        <v>July-2013</v>
      </c>
      <c r="E21" s="46">
        <f t="shared" si="1"/>
        <v>41456</v>
      </c>
      <c r="F21" s="9">
        <f>SUM('[1]14- All_India_Index_Upto_April2'!F21:S21)</f>
        <v>1601.1000000000001</v>
      </c>
      <c r="G21" s="9">
        <f>SUM('[1]14- All_India_Index_Upto_April2'!T21:V21)</f>
        <v>327.10000000000002</v>
      </c>
      <c r="H21" s="9" t="e">
        <f>SUM([1]!_14__All_India_Index_Upto_April2[[#This Row],[Housing new]],[1]!_14__All_India_Index_Upto_April2[[#This Row],[Household goods and services]])</f>
        <v>#REF!</v>
      </c>
      <c r="I21" s="9">
        <f>SUM('[1]14- All_India_Index_Upto_April2'!Z21,'[1]14- All_India_Index_Upto_April2'!AD21)</f>
        <v>210.3</v>
      </c>
      <c r="J21" s="9">
        <f>SUM('[1]14- All_India_Index_Upto_April2'!AA21)</f>
        <v>107.3</v>
      </c>
      <c r="K21" s="9">
        <f>'[1]14- All_India_Index_Upto_April2'!AC21</f>
        <v>110.1</v>
      </c>
      <c r="L21" s="9">
        <f>SUM('[1]14- All_India_Index_Upto_April2'!AB21,'[1]14- All_India_Index_Upto_April2'!AE21)</f>
        <v>213.2</v>
      </c>
      <c r="M21" s="9">
        <f>'[1]14- All_India_Index_Upto_April2'!AF21</f>
        <v>111.4</v>
      </c>
    </row>
    <row r="22" spans="1:13" hidden="1">
      <c r="A22" s="9" t="str">
        <f>'[1]14- All_India_Index_Upto_April2'!A22</f>
        <v>Rural+Urban</v>
      </c>
      <c r="B22" s="9">
        <f>'[1]14- All_India_Index_Upto_April2'!B22</f>
        <v>2013</v>
      </c>
      <c r="C22" s="9" t="str">
        <f>'[1]14- All_India_Index_Upto_April2'!C22</f>
        <v>July</v>
      </c>
      <c r="D22" s="9" t="str">
        <f t="shared" si="0"/>
        <v>July-2013</v>
      </c>
      <c r="E22" s="46">
        <f t="shared" si="1"/>
        <v>41456</v>
      </c>
      <c r="F22" s="9">
        <f>SUM('[1]14- All_India_Index_Upto_April2'!F22:S22)</f>
        <v>1571.6999999999998</v>
      </c>
      <c r="G22" s="9">
        <f>SUM('[1]14- All_India_Index_Upto_April2'!T22:V22)</f>
        <v>329</v>
      </c>
      <c r="H22" s="9" t="e">
        <f>SUM([1]!_14__All_India_Index_Upto_April2[[#This Row],[Housing new]],[1]!_14__All_India_Index_Upto_April2[[#This Row],[Household goods and services]])</f>
        <v>#REF!</v>
      </c>
      <c r="I22" s="9">
        <f>SUM('[1]14- All_India_Index_Upto_April2'!Z22,'[1]14- All_India_Index_Upto_April2'!AD22)</f>
        <v>209.8</v>
      </c>
      <c r="J22" s="9">
        <f>SUM('[1]14- All_India_Index_Upto_April2'!AA22)</f>
        <v>107.1</v>
      </c>
      <c r="K22" s="9">
        <f>'[1]14- All_India_Index_Upto_April2'!AC22</f>
        <v>109.1</v>
      </c>
      <c r="L22" s="9">
        <f>SUM('[1]14- All_India_Index_Upto_April2'!AB22,'[1]14- All_India_Index_Upto_April2'!AE22)</f>
        <v>213</v>
      </c>
      <c r="M22" s="9">
        <f>'[1]14- All_India_Index_Upto_April2'!AF22</f>
        <v>111</v>
      </c>
    </row>
    <row r="23" spans="1:13" hidden="1">
      <c r="A23" s="9" t="str">
        <f>'[1]14- All_India_Index_Upto_April2'!A23</f>
        <v>Rural</v>
      </c>
      <c r="B23" s="9">
        <f>'[1]14- All_India_Index_Upto_April2'!B23</f>
        <v>2013</v>
      </c>
      <c r="C23" s="9" t="str">
        <f>'[1]14- All_India_Index_Upto_April2'!C23</f>
        <v>August</v>
      </c>
      <c r="D23" s="9" t="str">
        <f t="shared" si="0"/>
        <v>August-2013</v>
      </c>
      <c r="E23" s="46">
        <f t="shared" si="1"/>
        <v>41487</v>
      </c>
      <c r="F23" s="9">
        <f>SUM('[1]14- All_India_Index_Upto_April2'!F23:S23)</f>
        <v>1573.2</v>
      </c>
      <c r="G23" s="9">
        <f>SUM('[1]14- All_India_Index_Upto_April2'!T23:V23)</f>
        <v>332.6</v>
      </c>
      <c r="H23" s="9" t="e">
        <f>SUM([1]!_14__All_India_Index_Upto_April2[[#This Row],[Housing new]],[1]!_14__All_India_Index_Upto_April2[[#This Row],[Household goods and services]])</f>
        <v>#REF!</v>
      </c>
      <c r="I23" s="9">
        <f>SUM('[1]14- All_India_Index_Upto_April2'!Z23,'[1]14- All_India_Index_Upto_April2'!AD23)</f>
        <v>212.5</v>
      </c>
      <c r="J23" s="9">
        <f>SUM('[1]14- All_India_Index_Upto_April2'!AA23)</f>
        <v>107.8</v>
      </c>
      <c r="K23" s="9">
        <f>'[1]14- All_India_Index_Upto_April2'!AC23</f>
        <v>108.7</v>
      </c>
      <c r="L23" s="9">
        <f>SUM('[1]14- All_India_Index_Upto_April2'!AB23,'[1]14- All_India_Index_Upto_April2'!AE23)</f>
        <v>214.3</v>
      </c>
      <c r="M23" s="9">
        <f>'[1]14- All_India_Index_Upto_April2'!AF23</f>
        <v>112.1</v>
      </c>
    </row>
    <row r="24" spans="1:13" hidden="1">
      <c r="A24" s="9" t="str">
        <f>'[1]14- All_India_Index_Upto_April2'!A24</f>
        <v>Urban</v>
      </c>
      <c r="B24" s="9">
        <f>'[1]14- All_India_Index_Upto_April2'!B24</f>
        <v>2013</v>
      </c>
      <c r="C24" s="9" t="str">
        <f>'[1]14- All_India_Index_Upto_April2'!C24</f>
        <v>August</v>
      </c>
      <c r="D24" s="9" t="str">
        <f t="shared" si="0"/>
        <v>August-2013</v>
      </c>
      <c r="E24" s="46">
        <f t="shared" si="1"/>
        <v>41487</v>
      </c>
      <c r="F24" s="9">
        <f>SUM('[1]14- All_India_Index_Upto_April2'!F24:S24)</f>
        <v>1618.5000000000002</v>
      </c>
      <c r="G24" s="9">
        <f>SUM('[1]14- All_India_Index_Upto_April2'!T24:V24)</f>
        <v>329.09999999999997</v>
      </c>
      <c r="H24" s="9" t="e">
        <f>SUM([1]!_14__All_India_Index_Upto_April2[[#This Row],[Housing new]],[1]!_14__All_India_Index_Upto_April2[[#This Row],[Household goods and services]])</f>
        <v>#REF!</v>
      </c>
      <c r="I24" s="9">
        <f>SUM('[1]14- All_India_Index_Upto_April2'!Z24,'[1]14- All_India_Index_Upto_April2'!AD24)</f>
        <v>213.6</v>
      </c>
      <c r="J24" s="9">
        <f>SUM('[1]14- All_India_Index_Upto_April2'!AA24)</f>
        <v>108.1</v>
      </c>
      <c r="K24" s="9">
        <f>'[1]14- All_India_Index_Upto_April2'!AC24</f>
        <v>110.8</v>
      </c>
      <c r="L24" s="9">
        <f>SUM('[1]14- All_India_Index_Upto_April2'!AB24,'[1]14- All_India_Index_Upto_April2'!AE24)</f>
        <v>214.8</v>
      </c>
      <c r="M24" s="9">
        <f>'[1]14- All_India_Index_Upto_April2'!AF24</f>
        <v>112.7</v>
      </c>
    </row>
    <row r="25" spans="1:13" hidden="1">
      <c r="A25" s="9" t="str">
        <f>'[1]14- All_India_Index_Upto_April2'!A25</f>
        <v>Rural+Urban</v>
      </c>
      <c r="B25" s="9">
        <f>'[1]14- All_India_Index_Upto_April2'!B25</f>
        <v>2013</v>
      </c>
      <c r="C25" s="9" t="str">
        <f>'[1]14- All_India_Index_Upto_April2'!C25</f>
        <v>August</v>
      </c>
      <c r="D25" s="9" t="str">
        <f t="shared" si="0"/>
        <v>August-2013</v>
      </c>
      <c r="E25" s="46">
        <f t="shared" si="1"/>
        <v>41487</v>
      </c>
      <c r="F25" s="9">
        <f>SUM('[1]14- All_India_Index_Upto_April2'!F25:S25)</f>
        <v>1588.6000000000001</v>
      </c>
      <c r="G25" s="9">
        <f>SUM('[1]14- All_India_Index_Upto_April2'!T25:V25)</f>
        <v>331.1</v>
      </c>
      <c r="H25" s="9" t="e">
        <f>SUM([1]!_14__All_India_Index_Upto_April2[[#This Row],[Housing new]],[1]!_14__All_India_Index_Upto_April2[[#This Row],[Household goods and services]])</f>
        <v>#REF!</v>
      </c>
      <c r="I25" s="9">
        <f>SUM('[1]14- All_India_Index_Upto_April2'!Z25,'[1]14- All_India_Index_Upto_April2'!AD25)</f>
        <v>212.9</v>
      </c>
      <c r="J25" s="9">
        <f>SUM('[1]14- All_India_Index_Upto_April2'!AA25)</f>
        <v>108</v>
      </c>
      <c r="K25" s="9">
        <f>'[1]14- All_India_Index_Upto_April2'!AC25</f>
        <v>109.9</v>
      </c>
      <c r="L25" s="9">
        <f>SUM('[1]14- All_India_Index_Upto_April2'!AB25,'[1]14- All_India_Index_Upto_April2'!AE25)</f>
        <v>214.5</v>
      </c>
      <c r="M25" s="9">
        <f>'[1]14- All_India_Index_Upto_April2'!AF25</f>
        <v>112.4</v>
      </c>
    </row>
    <row r="26" spans="1:13" hidden="1">
      <c r="A26" s="9" t="str">
        <f>'[1]14- All_India_Index_Upto_April2'!A26</f>
        <v>Rural</v>
      </c>
      <c r="B26" s="9">
        <f>'[1]14- All_India_Index_Upto_April2'!B26</f>
        <v>2013</v>
      </c>
      <c r="C26" s="9" t="str">
        <f>'[1]14- All_India_Index_Upto_April2'!C26</f>
        <v>September</v>
      </c>
      <c r="D26" s="9" t="str">
        <f t="shared" si="0"/>
        <v>September-2013</v>
      </c>
      <c r="E26" s="46">
        <f t="shared" si="1"/>
        <v>41518</v>
      </c>
      <c r="F26" s="9">
        <f>SUM('[1]14- All_India_Index_Upto_April2'!F26:S26)</f>
        <v>1600.2000000000003</v>
      </c>
      <c r="G26" s="9">
        <f>SUM('[1]14- All_India_Index_Upto_April2'!T26:V26)</f>
        <v>336.6</v>
      </c>
      <c r="H26" s="9" t="e">
        <f>SUM([1]!_14__All_India_Index_Upto_April2[[#This Row],[Housing new]],[1]!_14__All_India_Index_Upto_April2[[#This Row],[Household goods and services]])</f>
        <v>#REF!</v>
      </c>
      <c r="I26" s="9">
        <f>SUM('[1]14- All_India_Index_Upto_April2'!Z26,'[1]14- All_India_Index_Upto_April2'!AD26)</f>
        <v>215</v>
      </c>
      <c r="J26" s="9">
        <f>SUM('[1]14- All_India_Index_Upto_April2'!AA26)</f>
        <v>109.3</v>
      </c>
      <c r="K26" s="9">
        <f>'[1]14- All_India_Index_Upto_April2'!AC26</f>
        <v>109.8</v>
      </c>
      <c r="L26" s="9">
        <f>SUM('[1]14- All_India_Index_Upto_April2'!AB26,'[1]14- All_India_Index_Upto_April2'!AE26)</f>
        <v>216.4</v>
      </c>
      <c r="M26" s="9">
        <f>'[1]14- All_India_Index_Upto_April2'!AF26</f>
        <v>114.2</v>
      </c>
    </row>
    <row r="27" spans="1:13" hidden="1">
      <c r="A27" s="9" t="str">
        <f>'[1]14- All_India_Index_Upto_April2'!A27</f>
        <v>Urban</v>
      </c>
      <c r="B27" s="9">
        <f>'[1]14- All_India_Index_Upto_April2'!B27</f>
        <v>2013</v>
      </c>
      <c r="C27" s="9" t="str">
        <f>'[1]14- All_India_Index_Upto_April2'!C27</f>
        <v>September</v>
      </c>
      <c r="D27" s="9" t="str">
        <f t="shared" si="0"/>
        <v>September-2013</v>
      </c>
      <c r="E27" s="46">
        <f t="shared" si="1"/>
        <v>41518</v>
      </c>
      <c r="F27" s="9">
        <f>SUM('[1]14- All_India_Index_Upto_April2'!F27:S27)</f>
        <v>1613.3000000000002</v>
      </c>
      <c r="G27" s="9">
        <f>SUM('[1]14- All_India_Index_Upto_April2'!T27:V27)</f>
        <v>331.5</v>
      </c>
      <c r="H27" s="9" t="e">
        <f>SUM([1]!_14__All_India_Index_Upto_April2[[#This Row],[Housing new]],[1]!_14__All_India_Index_Upto_April2[[#This Row],[Household goods and services]])</f>
        <v>#REF!</v>
      </c>
      <c r="I27" s="9">
        <f>SUM('[1]14- All_India_Index_Upto_April2'!Z27,'[1]14- All_India_Index_Upto_April2'!AD27)</f>
        <v>214.8</v>
      </c>
      <c r="J27" s="9">
        <f>SUM('[1]14- All_India_Index_Upto_April2'!AA27)</f>
        <v>110.4</v>
      </c>
      <c r="K27" s="9">
        <f>'[1]14- All_India_Index_Upto_April2'!AC27</f>
        <v>111.2</v>
      </c>
      <c r="L27" s="9">
        <f>SUM('[1]14- All_India_Index_Upto_April2'!AB27,'[1]14- All_India_Index_Upto_April2'!AE27)</f>
        <v>216.8</v>
      </c>
      <c r="M27" s="9">
        <f>'[1]14- All_India_Index_Upto_April2'!AF27</f>
        <v>113.2</v>
      </c>
    </row>
    <row r="28" spans="1:13" hidden="1">
      <c r="A28" s="9" t="str">
        <f>'[1]14- All_India_Index_Upto_April2'!A28</f>
        <v>Rural+Urban</v>
      </c>
      <c r="B28" s="9">
        <f>'[1]14- All_India_Index_Upto_April2'!B28</f>
        <v>2013</v>
      </c>
      <c r="C28" s="9" t="str">
        <f>'[1]14- All_India_Index_Upto_April2'!C28</f>
        <v>September</v>
      </c>
      <c r="D28" s="9" t="str">
        <f t="shared" si="0"/>
        <v>September-2013</v>
      </c>
      <c r="E28" s="46">
        <f t="shared" si="1"/>
        <v>41518</v>
      </c>
      <c r="F28" s="9">
        <f>SUM('[1]14- All_India_Index_Upto_April2'!F28:S28)</f>
        <v>1603.6999999999998</v>
      </c>
      <c r="G28" s="9">
        <f>SUM('[1]14- All_India_Index_Upto_April2'!T28:V28)</f>
        <v>334.5</v>
      </c>
      <c r="H28" s="9" t="e">
        <f>SUM([1]!_14__All_India_Index_Upto_April2[[#This Row],[Housing new]],[1]!_14__All_India_Index_Upto_April2[[#This Row],[Household goods and services]])</f>
        <v>#REF!</v>
      </c>
      <c r="I28" s="9">
        <f>SUM('[1]14- All_India_Index_Upto_April2'!Z28,'[1]14- All_India_Index_Upto_April2'!AD28)</f>
        <v>214.89999999999998</v>
      </c>
      <c r="J28" s="9">
        <f>SUM('[1]14- All_India_Index_Upto_April2'!AA28)</f>
        <v>109.9</v>
      </c>
      <c r="K28" s="9">
        <f>'[1]14- All_India_Index_Upto_April2'!AC28</f>
        <v>110.6</v>
      </c>
      <c r="L28" s="9">
        <f>SUM('[1]14- All_India_Index_Upto_April2'!AB28,'[1]14- All_India_Index_Upto_April2'!AE28)</f>
        <v>216.5</v>
      </c>
      <c r="M28" s="9">
        <f>'[1]14- All_India_Index_Upto_April2'!AF28</f>
        <v>113.7</v>
      </c>
    </row>
    <row r="29" spans="1:13" hidden="1">
      <c r="A29" s="9" t="str">
        <f>'[1]14- All_India_Index_Upto_April2'!A29</f>
        <v>Rural</v>
      </c>
      <c r="B29" s="9">
        <f>'[1]14- All_India_Index_Upto_April2'!B29</f>
        <v>2013</v>
      </c>
      <c r="C29" s="9" t="str">
        <f>'[1]14- All_India_Index_Upto_April2'!C29</f>
        <v>October</v>
      </c>
      <c r="D29" s="9" t="str">
        <f t="shared" si="0"/>
        <v>October-2013</v>
      </c>
      <c r="E29" s="46">
        <f t="shared" si="1"/>
        <v>41548</v>
      </c>
      <c r="F29" s="9">
        <f>SUM('[1]14- All_India_Index_Upto_April2'!F29:S29)</f>
        <v>1620.2</v>
      </c>
      <c r="G29" s="9">
        <f>SUM('[1]14- All_India_Index_Upto_April2'!T29:V29)</f>
        <v>339.29999999999995</v>
      </c>
      <c r="H29" s="9" t="e">
        <f>SUM([1]!_14__All_India_Index_Upto_April2[[#This Row],[Housing new]],[1]!_14__All_India_Index_Upto_April2[[#This Row],[Household goods and services]])</f>
        <v>#REF!</v>
      </c>
      <c r="I29" s="9">
        <f>SUM('[1]14- All_India_Index_Upto_April2'!Z29,'[1]14- All_India_Index_Upto_April2'!AD29)</f>
        <v>216.4</v>
      </c>
      <c r="J29" s="9">
        <f>SUM('[1]14- All_India_Index_Upto_April2'!AA29)</f>
        <v>109.3</v>
      </c>
      <c r="K29" s="9">
        <f>'[1]14- All_India_Index_Upto_April2'!AC29</f>
        <v>110.2</v>
      </c>
      <c r="L29" s="9">
        <f>SUM('[1]14- All_India_Index_Upto_April2'!AB29,'[1]14- All_India_Index_Upto_April2'!AE29)</f>
        <v>217.39999999999998</v>
      </c>
      <c r="M29" s="9">
        <f>'[1]14- All_India_Index_Upto_April2'!AF29</f>
        <v>115.5</v>
      </c>
    </row>
    <row r="30" spans="1:13" hidden="1">
      <c r="A30" s="9" t="str">
        <f>'[1]14- All_India_Index_Upto_April2'!A30</f>
        <v>Urban</v>
      </c>
      <c r="B30" s="9">
        <f>'[1]14- All_India_Index_Upto_April2'!B30</f>
        <v>2013</v>
      </c>
      <c r="C30" s="9" t="str">
        <f>'[1]14- All_India_Index_Upto_April2'!C30</f>
        <v>October</v>
      </c>
      <c r="D30" s="9" t="str">
        <f t="shared" si="0"/>
        <v>October-2013</v>
      </c>
      <c r="E30" s="46">
        <f t="shared" si="1"/>
        <v>41548</v>
      </c>
      <c r="F30" s="9">
        <f>SUM('[1]14- All_India_Index_Upto_April2'!F30:S30)</f>
        <v>1630.6999999999998</v>
      </c>
      <c r="G30" s="9">
        <f>SUM('[1]14- All_India_Index_Upto_April2'!T30:V30)</f>
        <v>334.2</v>
      </c>
      <c r="H30" s="9" t="e">
        <f>SUM([1]!_14__All_India_Index_Upto_April2[[#This Row],[Housing new]],[1]!_14__All_India_Index_Upto_April2[[#This Row],[Household goods and services]])</f>
        <v>#REF!</v>
      </c>
      <c r="I30" s="9">
        <f>SUM('[1]14- All_India_Index_Upto_April2'!Z30,'[1]14- All_India_Index_Upto_April2'!AD30)</f>
        <v>215.5</v>
      </c>
      <c r="J30" s="9">
        <f>SUM('[1]14- All_India_Index_Upto_April2'!AA30)</f>
        <v>109.7</v>
      </c>
      <c r="K30" s="9">
        <f>'[1]14- All_India_Index_Upto_April2'!AC30</f>
        <v>111.3</v>
      </c>
      <c r="L30" s="9">
        <f>SUM('[1]14- All_India_Index_Upto_April2'!AB30,'[1]14- All_India_Index_Upto_April2'!AE30)</f>
        <v>217.4</v>
      </c>
      <c r="M30" s="9">
        <f>'[1]14- All_India_Index_Upto_April2'!AF30</f>
        <v>114</v>
      </c>
    </row>
    <row r="31" spans="1:13" hidden="1">
      <c r="A31" s="9" t="str">
        <f>'[1]14- All_India_Index_Upto_April2'!A31</f>
        <v>Rural+Urban</v>
      </c>
      <c r="B31" s="9">
        <f>'[1]14- All_India_Index_Upto_April2'!B31</f>
        <v>2013</v>
      </c>
      <c r="C31" s="9" t="str">
        <f>'[1]14- All_India_Index_Upto_April2'!C31</f>
        <v>October</v>
      </c>
      <c r="D31" s="9" t="str">
        <f t="shared" si="0"/>
        <v>October-2013</v>
      </c>
      <c r="E31" s="46">
        <f t="shared" si="1"/>
        <v>41548</v>
      </c>
      <c r="F31" s="9">
        <f>SUM('[1]14- All_India_Index_Upto_April2'!F31:S31)</f>
        <v>1622.7000000000003</v>
      </c>
      <c r="G31" s="9">
        <f>SUM('[1]14- All_India_Index_Upto_April2'!T31:V31)</f>
        <v>337.2</v>
      </c>
      <c r="H31" s="9" t="e">
        <f>SUM([1]!_14__All_India_Index_Upto_April2[[#This Row],[Housing new]],[1]!_14__All_India_Index_Upto_April2[[#This Row],[Household goods and services]])</f>
        <v>#REF!</v>
      </c>
      <c r="I31" s="9">
        <f>SUM('[1]14- All_India_Index_Upto_April2'!Z31,'[1]14- All_India_Index_Upto_April2'!AD31)</f>
        <v>216</v>
      </c>
      <c r="J31" s="9">
        <f>SUM('[1]14- All_India_Index_Upto_April2'!AA31)</f>
        <v>109.5</v>
      </c>
      <c r="K31" s="9">
        <f>'[1]14- All_India_Index_Upto_April2'!AC31</f>
        <v>110.8</v>
      </c>
      <c r="L31" s="9">
        <f>SUM('[1]14- All_India_Index_Upto_April2'!AB31,'[1]14- All_India_Index_Upto_April2'!AE31)</f>
        <v>217.3</v>
      </c>
      <c r="M31" s="9">
        <f>'[1]14- All_India_Index_Upto_April2'!AF31</f>
        <v>114.8</v>
      </c>
    </row>
    <row r="32" spans="1:13" hidden="1">
      <c r="A32" s="9" t="str">
        <f>'[1]14- All_India_Index_Upto_April2'!A32</f>
        <v>Rural</v>
      </c>
      <c r="B32" s="9">
        <f>'[1]14- All_India_Index_Upto_April2'!B32</f>
        <v>2013</v>
      </c>
      <c r="C32" s="9" t="str">
        <f>'[1]14- All_India_Index_Upto_April2'!C32</f>
        <v xml:space="preserve">November </v>
      </c>
      <c r="D32" s="9" t="str">
        <f t="shared" si="0"/>
        <v>November -2013</v>
      </c>
      <c r="E32" s="46">
        <f t="shared" si="1"/>
        <v>41579</v>
      </c>
      <c r="F32" s="9">
        <f>SUM('[1]14- All_India_Index_Upto_April2'!F32:S32)</f>
        <v>1649.6</v>
      </c>
      <c r="G32" s="9">
        <f>SUM('[1]14- All_India_Index_Upto_April2'!T32:V32)</f>
        <v>342.1</v>
      </c>
      <c r="H32" s="9" t="e">
        <f>SUM([1]!_14__All_India_Index_Upto_April2[[#This Row],[Housing new]],[1]!_14__All_India_Index_Upto_April2[[#This Row],[Household goods and services]])</f>
        <v>#REF!</v>
      </c>
      <c r="I32" s="9">
        <f>SUM('[1]14- All_India_Index_Upto_April2'!Z32,'[1]14- All_India_Index_Upto_April2'!AD32)</f>
        <v>217.9</v>
      </c>
      <c r="J32" s="9">
        <f>SUM('[1]14- All_India_Index_Upto_April2'!AA32)</f>
        <v>109.6</v>
      </c>
      <c r="K32" s="9">
        <f>'[1]14- All_India_Index_Upto_April2'!AC32</f>
        <v>111</v>
      </c>
      <c r="L32" s="9">
        <f>SUM('[1]14- All_India_Index_Upto_April2'!AB32,'[1]14- All_India_Index_Upto_April2'!AE32)</f>
        <v>218.5</v>
      </c>
      <c r="M32" s="9">
        <f>'[1]14- All_India_Index_Upto_April2'!AF32</f>
        <v>117.4</v>
      </c>
    </row>
    <row r="33" spans="1:13" hidden="1">
      <c r="A33" s="9" t="str">
        <f>'[1]14- All_India_Index_Upto_April2'!A33</f>
        <v>Urban</v>
      </c>
      <c r="B33" s="9">
        <f>'[1]14- All_India_Index_Upto_April2'!B33</f>
        <v>2013</v>
      </c>
      <c r="C33" s="9" t="str">
        <f>'[1]14- All_India_Index_Upto_April2'!C33</f>
        <v>November</v>
      </c>
      <c r="D33" s="9" t="str">
        <f t="shared" si="0"/>
        <v>November-2013</v>
      </c>
      <c r="E33" s="46">
        <f t="shared" si="1"/>
        <v>41579</v>
      </c>
      <c r="F33" s="9">
        <f>SUM('[1]14- All_India_Index_Upto_April2'!F33:S33)</f>
        <v>1658.6999999999998</v>
      </c>
      <c r="G33" s="9">
        <f>SUM('[1]14- All_India_Index_Upto_April2'!T33:V33)</f>
        <v>336.8</v>
      </c>
      <c r="H33" s="9" t="e">
        <f>SUM([1]!_14__All_India_Index_Upto_April2[[#This Row],[Housing new]],[1]!_14__All_India_Index_Upto_April2[[#This Row],[Household goods and services]])</f>
        <v>#REF!</v>
      </c>
      <c r="I33" s="9">
        <f>SUM('[1]14- All_India_Index_Upto_April2'!Z33,'[1]14- All_India_Index_Upto_April2'!AD33)</f>
        <v>216.5</v>
      </c>
      <c r="J33" s="9">
        <f>SUM('[1]14- All_India_Index_Upto_April2'!AA33)</f>
        <v>109.5</v>
      </c>
      <c r="K33" s="9">
        <f>'[1]14- All_India_Index_Upto_April2'!AC33</f>
        <v>111.3</v>
      </c>
      <c r="L33" s="9">
        <f>SUM('[1]14- All_India_Index_Upto_April2'!AB33,'[1]14- All_India_Index_Upto_April2'!AE33)</f>
        <v>218.1</v>
      </c>
      <c r="M33" s="9">
        <f>'[1]14- All_India_Index_Upto_April2'!AF33</f>
        <v>115</v>
      </c>
    </row>
    <row r="34" spans="1:13" hidden="1">
      <c r="A34" s="9" t="str">
        <f>'[1]14- All_India_Index_Upto_April2'!A34</f>
        <v>Rural+Urban</v>
      </c>
      <c r="B34" s="9">
        <f>'[1]14- All_India_Index_Upto_April2'!B34</f>
        <v>2013</v>
      </c>
      <c r="C34" s="9" t="str">
        <f>'[1]14- All_India_Index_Upto_April2'!C34</f>
        <v>November</v>
      </c>
      <c r="D34" s="9" t="str">
        <f t="shared" si="0"/>
        <v>November-2013</v>
      </c>
      <c r="E34" s="46">
        <f t="shared" si="1"/>
        <v>41579</v>
      </c>
      <c r="F34" s="9">
        <f>SUM('[1]14- All_India_Index_Upto_April2'!F34:S34)</f>
        <v>1651.8999999999999</v>
      </c>
      <c r="G34" s="9">
        <f>SUM('[1]14- All_India_Index_Upto_April2'!T34:V34)</f>
        <v>339.90000000000003</v>
      </c>
      <c r="H34" s="9" t="e">
        <f>SUM([1]!_14__All_India_Index_Upto_April2[[#This Row],[Housing new]],[1]!_14__All_India_Index_Upto_April2[[#This Row],[Household goods and services]])</f>
        <v>#REF!</v>
      </c>
      <c r="I34" s="9">
        <f>SUM('[1]14- All_India_Index_Upto_April2'!Z34,'[1]14- All_India_Index_Upto_April2'!AD34)</f>
        <v>217.39999999999998</v>
      </c>
      <c r="J34" s="9">
        <f>SUM('[1]14- All_India_Index_Upto_April2'!AA34)</f>
        <v>109.5</v>
      </c>
      <c r="K34" s="9">
        <f>'[1]14- All_India_Index_Upto_April2'!AC34</f>
        <v>111.2</v>
      </c>
      <c r="L34" s="9">
        <f>SUM('[1]14- All_India_Index_Upto_April2'!AB34,'[1]14- All_India_Index_Upto_April2'!AE34)</f>
        <v>218.3</v>
      </c>
      <c r="M34" s="9">
        <f>'[1]14- All_India_Index_Upto_April2'!AF34</f>
        <v>116.3</v>
      </c>
    </row>
    <row r="35" spans="1:13" hidden="1">
      <c r="A35" s="9" t="str">
        <f>'[1]14- All_India_Index_Upto_April2'!A35</f>
        <v>Rural</v>
      </c>
      <c r="B35" s="9">
        <f>'[1]14- All_India_Index_Upto_April2'!B35</f>
        <v>2013</v>
      </c>
      <c r="C35" s="9" t="str">
        <f>'[1]14- All_India_Index_Upto_April2'!C35</f>
        <v>December</v>
      </c>
      <c r="D35" s="9" t="str">
        <f t="shared" si="0"/>
        <v>December-2013</v>
      </c>
      <c r="E35" s="46">
        <f t="shared" si="1"/>
        <v>41609</v>
      </c>
      <c r="F35" s="9">
        <f>SUM('[1]14- All_India_Index_Upto_April2'!F35:S35)</f>
        <v>1622.6</v>
      </c>
      <c r="G35" s="9">
        <f>SUM('[1]14- All_India_Index_Upto_April2'!T35:V35)</f>
        <v>345.3</v>
      </c>
      <c r="H35" s="9" t="e">
        <f>SUM([1]!_14__All_India_Index_Upto_April2[[#This Row],[Housing new]],[1]!_14__All_India_Index_Upto_April2[[#This Row],[Household goods and services]])</f>
        <v>#REF!</v>
      </c>
      <c r="I35" s="9">
        <f>SUM('[1]14- All_India_Index_Upto_April2'!Z35,'[1]14- All_India_Index_Upto_April2'!AD35)</f>
        <v>218.2</v>
      </c>
      <c r="J35" s="9">
        <f>SUM('[1]14- All_India_Index_Upto_April2'!AA35)</f>
        <v>109.9</v>
      </c>
      <c r="K35" s="9">
        <f>'[1]14- All_India_Index_Upto_April2'!AC35</f>
        <v>111.6</v>
      </c>
      <c r="L35" s="9">
        <f>SUM('[1]14- All_India_Index_Upto_April2'!AB35,'[1]14- All_India_Index_Upto_April2'!AE35)</f>
        <v>219.3</v>
      </c>
      <c r="M35" s="9">
        <f>'[1]14- All_India_Index_Upto_April2'!AF35</f>
        <v>115.5</v>
      </c>
    </row>
    <row r="36" spans="1:13" hidden="1">
      <c r="A36" s="9" t="str">
        <f>'[1]14- All_India_Index_Upto_April2'!A36</f>
        <v>Urban</v>
      </c>
      <c r="B36" s="9">
        <f>'[1]14- All_India_Index_Upto_April2'!B36</f>
        <v>2013</v>
      </c>
      <c r="C36" s="9" t="str">
        <f>'[1]14- All_India_Index_Upto_April2'!C36</f>
        <v>December</v>
      </c>
      <c r="D36" s="9" t="str">
        <f t="shared" si="0"/>
        <v>December-2013</v>
      </c>
      <c r="E36" s="46">
        <f t="shared" si="1"/>
        <v>41609</v>
      </c>
      <c r="F36" s="9">
        <f>SUM('[1]14- All_India_Index_Upto_April2'!F36:S36)</f>
        <v>1619.4</v>
      </c>
      <c r="G36" s="9">
        <f>SUM('[1]14- All_India_Index_Upto_April2'!T36:V36)</f>
        <v>338.8</v>
      </c>
      <c r="H36" s="9" t="e">
        <f>SUM([1]!_14__All_India_Index_Upto_April2[[#This Row],[Housing new]],[1]!_14__All_India_Index_Upto_April2[[#This Row],[Household goods and services]])</f>
        <v>#REF!</v>
      </c>
      <c r="I36" s="9">
        <f>SUM('[1]14- All_India_Index_Upto_April2'!Z36,'[1]14- All_India_Index_Upto_April2'!AD36)</f>
        <v>216.7</v>
      </c>
      <c r="J36" s="9">
        <f>SUM('[1]14- All_India_Index_Upto_April2'!AA36)</f>
        <v>109.7</v>
      </c>
      <c r="K36" s="9">
        <f>'[1]14- All_India_Index_Upto_April2'!AC36</f>
        <v>111.4</v>
      </c>
      <c r="L36" s="9">
        <f>SUM('[1]14- All_India_Index_Upto_April2'!AB36,'[1]14- All_India_Index_Upto_April2'!AE36)</f>
        <v>218.7</v>
      </c>
      <c r="M36" s="9">
        <f>'[1]14- All_India_Index_Upto_April2'!AF36</f>
        <v>113.3</v>
      </c>
    </row>
    <row r="37" spans="1:13" hidden="1">
      <c r="A37" s="9" t="str">
        <f>'[1]14- All_India_Index_Upto_April2'!A37</f>
        <v>Rural+Urban</v>
      </c>
      <c r="B37" s="9">
        <f>'[1]14- All_India_Index_Upto_April2'!B37</f>
        <v>2013</v>
      </c>
      <c r="C37" s="9" t="str">
        <f>'[1]14- All_India_Index_Upto_April2'!C37</f>
        <v>December</v>
      </c>
      <c r="D37" s="9" t="str">
        <f t="shared" si="0"/>
        <v>December-2013</v>
      </c>
      <c r="E37" s="46">
        <f t="shared" si="1"/>
        <v>41609</v>
      </c>
      <c r="F37" s="9">
        <f>SUM('[1]14- All_India_Index_Upto_April2'!F37:S37)</f>
        <v>1621.3000000000002</v>
      </c>
      <c r="G37" s="9">
        <f>SUM('[1]14- All_India_Index_Upto_April2'!T37:V37)</f>
        <v>342.7</v>
      </c>
      <c r="H37" s="9" t="e">
        <f>SUM([1]!_14__All_India_Index_Upto_April2[[#This Row],[Housing new]],[1]!_14__All_India_Index_Upto_April2[[#This Row],[Household goods and services]])</f>
        <v>#REF!</v>
      </c>
      <c r="I37" s="9">
        <f>SUM('[1]14- All_India_Index_Upto_April2'!Z37,'[1]14- All_India_Index_Upto_April2'!AD37)</f>
        <v>217.60000000000002</v>
      </c>
      <c r="J37" s="9">
        <f>SUM('[1]14- All_India_Index_Upto_April2'!AA37)</f>
        <v>109.8</v>
      </c>
      <c r="K37" s="9">
        <f>'[1]14- All_India_Index_Upto_April2'!AC37</f>
        <v>111.5</v>
      </c>
      <c r="L37" s="9">
        <f>SUM('[1]14- All_India_Index_Upto_April2'!AB37,'[1]14- All_India_Index_Upto_April2'!AE37)</f>
        <v>219</v>
      </c>
      <c r="M37" s="9">
        <f>'[1]14- All_India_Index_Upto_April2'!AF37</f>
        <v>114.5</v>
      </c>
    </row>
    <row r="38" spans="1:13" hidden="1">
      <c r="A38" s="9" t="str">
        <f>'[1]14- All_India_Index_Upto_April2'!A38</f>
        <v>Rural</v>
      </c>
      <c r="B38" s="9">
        <f>'[1]14- All_India_Index_Upto_April2'!B38</f>
        <v>2014</v>
      </c>
      <c r="C38" s="9" t="str">
        <f>'[1]14- All_India_Index_Upto_April2'!C38</f>
        <v>January</v>
      </c>
      <c r="D38" s="9" t="str">
        <f t="shared" si="0"/>
        <v>January-2014</v>
      </c>
      <c r="E38" s="46">
        <f t="shared" si="1"/>
        <v>41640</v>
      </c>
      <c r="F38" s="9">
        <f>SUM('[1]14- All_India_Index_Upto_April2'!F38:S38)</f>
        <v>1600.6000000000001</v>
      </c>
      <c r="G38" s="9">
        <f>SUM('[1]14- All_India_Index_Upto_April2'!T38:V38)</f>
        <v>347.2</v>
      </c>
      <c r="H38" s="9" t="e">
        <f>SUM([1]!_14__All_India_Index_Upto_April2[[#This Row],[Housing new]],[1]!_14__All_India_Index_Upto_April2[[#This Row],[Household goods and services]])</f>
        <v>#REF!</v>
      </c>
      <c r="I38" s="9">
        <f>SUM('[1]14- All_India_Index_Upto_April2'!Z38,'[1]14- All_India_Index_Upto_April2'!AD38)</f>
        <v>218.89999999999998</v>
      </c>
      <c r="J38" s="9">
        <f>SUM('[1]14- All_India_Index_Upto_April2'!AA38)</f>
        <v>110.5</v>
      </c>
      <c r="K38" s="9">
        <f>'[1]14- All_India_Index_Upto_April2'!AC38</f>
        <v>111.8</v>
      </c>
      <c r="L38" s="9">
        <f>SUM('[1]14- All_India_Index_Upto_April2'!AB38,'[1]14- All_India_Index_Upto_April2'!AE38)</f>
        <v>220.2</v>
      </c>
      <c r="M38" s="9">
        <f>'[1]14- All_India_Index_Upto_April2'!AF38</f>
        <v>114.2</v>
      </c>
    </row>
    <row r="39" spans="1:13" hidden="1">
      <c r="A39" s="9" t="str">
        <f>'[1]14- All_India_Index_Upto_April2'!A39</f>
        <v>Urban</v>
      </c>
      <c r="B39" s="9">
        <f>'[1]14- All_India_Index_Upto_April2'!B39</f>
        <v>2014</v>
      </c>
      <c r="C39" s="9" t="str">
        <f>'[1]14- All_India_Index_Upto_April2'!C39</f>
        <v>January</v>
      </c>
      <c r="D39" s="9" t="str">
        <f t="shared" si="0"/>
        <v>January-2014</v>
      </c>
      <c r="E39" s="46">
        <f t="shared" si="1"/>
        <v>41640</v>
      </c>
      <c r="F39" s="9">
        <f>SUM('[1]14- All_India_Index_Upto_April2'!F39:S39)</f>
        <v>1600</v>
      </c>
      <c r="G39" s="9">
        <f>SUM('[1]14- All_India_Index_Upto_April2'!T39:V39)</f>
        <v>340.4</v>
      </c>
      <c r="H39" s="9" t="e">
        <f>SUM([1]!_14__All_India_Index_Upto_April2[[#This Row],[Housing new]],[1]!_14__All_India_Index_Upto_April2[[#This Row],[Household goods and services]])</f>
        <v>#REF!</v>
      </c>
      <c r="I39" s="9">
        <f>SUM('[1]14- All_India_Index_Upto_April2'!Z39,'[1]14- All_India_Index_Upto_April2'!AD39)</f>
        <v>217.7</v>
      </c>
      <c r="J39" s="9">
        <f>SUM('[1]14- All_India_Index_Upto_April2'!AA39)</f>
        <v>110.8</v>
      </c>
      <c r="K39" s="9">
        <f>'[1]14- All_India_Index_Upto_April2'!AC39</f>
        <v>111.5</v>
      </c>
      <c r="L39" s="9">
        <f>SUM('[1]14- All_India_Index_Upto_April2'!AB39,'[1]14- All_India_Index_Upto_April2'!AE39)</f>
        <v>220.3</v>
      </c>
      <c r="M39" s="9">
        <f>'[1]14- All_India_Index_Upto_April2'!AF39</f>
        <v>112.9</v>
      </c>
    </row>
    <row r="40" spans="1:13" hidden="1">
      <c r="A40" s="9" t="str">
        <f>'[1]14- All_India_Index_Upto_April2'!A40</f>
        <v>Rural+Urban</v>
      </c>
      <c r="B40" s="9">
        <f>'[1]14- All_India_Index_Upto_April2'!B40</f>
        <v>2014</v>
      </c>
      <c r="C40" s="9" t="str">
        <f>'[1]14- All_India_Index_Upto_April2'!C40</f>
        <v>January</v>
      </c>
      <c r="D40" s="9" t="str">
        <f t="shared" si="0"/>
        <v>January-2014</v>
      </c>
      <c r="E40" s="46">
        <f t="shared" si="1"/>
        <v>41640</v>
      </c>
      <c r="F40" s="9">
        <f>SUM('[1]14- All_India_Index_Upto_April2'!F40:S40)</f>
        <v>1600.2999999999997</v>
      </c>
      <c r="G40" s="9">
        <f>SUM('[1]14- All_India_Index_Upto_April2'!T40:V40)</f>
        <v>344.4</v>
      </c>
      <c r="H40" s="9" t="e">
        <f>SUM([1]!_14__All_India_Index_Upto_April2[[#This Row],[Housing new]],[1]!_14__All_India_Index_Upto_April2[[#This Row],[Household goods and services]])</f>
        <v>#REF!</v>
      </c>
      <c r="I40" s="9">
        <f>SUM('[1]14- All_India_Index_Upto_April2'!Z40,'[1]14- All_India_Index_Upto_April2'!AD40)</f>
        <v>218.5</v>
      </c>
      <c r="J40" s="9">
        <f>SUM('[1]14- All_India_Index_Upto_April2'!AA40)</f>
        <v>110.7</v>
      </c>
      <c r="K40" s="9">
        <f>'[1]14- All_India_Index_Upto_April2'!AC40</f>
        <v>111.6</v>
      </c>
      <c r="L40" s="9">
        <f>SUM('[1]14- All_India_Index_Upto_April2'!AB40,'[1]14- All_India_Index_Upto_April2'!AE40)</f>
        <v>220.3</v>
      </c>
      <c r="M40" s="9">
        <f>'[1]14- All_India_Index_Upto_April2'!AF40</f>
        <v>113.6</v>
      </c>
    </row>
    <row r="41" spans="1:13" hidden="1">
      <c r="A41" s="9" t="str">
        <f>'[1]14- All_India_Index_Upto_April2'!A41</f>
        <v>Rural</v>
      </c>
      <c r="B41" s="9">
        <f>'[1]14- All_India_Index_Upto_April2'!B41</f>
        <v>2014</v>
      </c>
      <c r="C41" s="9" t="str">
        <f>'[1]14- All_India_Index_Upto_April2'!C41</f>
        <v>February</v>
      </c>
      <c r="D41" s="9" t="str">
        <f t="shared" si="0"/>
        <v>February-2014</v>
      </c>
      <c r="E41" s="46">
        <f t="shared" si="1"/>
        <v>41671</v>
      </c>
      <c r="F41" s="9">
        <f>SUM('[1]14- All_India_Index_Upto_April2'!F41:S41)</f>
        <v>1596.4</v>
      </c>
      <c r="G41" s="9">
        <f>SUM('[1]14- All_India_Index_Upto_April2'!T41:V41)</f>
        <v>348.3</v>
      </c>
      <c r="H41" s="9" t="e">
        <f>SUM([1]!_14__All_India_Index_Upto_April2[[#This Row],[Housing new]],[1]!_14__All_India_Index_Upto_April2[[#This Row],[Household goods and services]])</f>
        <v>#REF!</v>
      </c>
      <c r="I41" s="9">
        <f>SUM('[1]14- All_India_Index_Upto_April2'!Z41,'[1]14- All_India_Index_Upto_April2'!AD41)</f>
        <v>219.60000000000002</v>
      </c>
      <c r="J41" s="9">
        <f>SUM('[1]14- All_India_Index_Upto_April2'!AA41)</f>
        <v>110.8</v>
      </c>
      <c r="K41" s="9">
        <f>'[1]14- All_India_Index_Upto_April2'!AC41</f>
        <v>112</v>
      </c>
      <c r="L41" s="9">
        <f>SUM('[1]14- All_India_Index_Upto_April2'!AB41,'[1]14- All_India_Index_Upto_April2'!AE41)</f>
        <v>220.8</v>
      </c>
      <c r="M41" s="9">
        <f>'[1]14- All_India_Index_Upto_April2'!AF41</f>
        <v>114</v>
      </c>
    </row>
    <row r="42" spans="1:13" hidden="1">
      <c r="A42" s="9" t="str">
        <f>'[1]14- All_India_Index_Upto_April2'!A42</f>
        <v>Urban</v>
      </c>
      <c r="B42" s="9">
        <f>'[1]14- All_India_Index_Upto_April2'!B42</f>
        <v>2014</v>
      </c>
      <c r="C42" s="9" t="str">
        <f>'[1]14- All_India_Index_Upto_April2'!C42</f>
        <v>February</v>
      </c>
      <c r="D42" s="9" t="str">
        <f t="shared" si="0"/>
        <v>February-2014</v>
      </c>
      <c r="E42" s="46">
        <f t="shared" si="1"/>
        <v>41671</v>
      </c>
      <c r="F42" s="9">
        <f>SUM('[1]14- All_India_Index_Upto_April2'!F42:S42)</f>
        <v>1592.2</v>
      </c>
      <c r="G42" s="9">
        <f>SUM('[1]14- All_India_Index_Upto_April2'!T42:V42)</f>
        <v>341.7</v>
      </c>
      <c r="H42" s="9" t="e">
        <f>SUM([1]!_14__All_India_Index_Upto_April2[[#This Row],[Housing new]],[1]!_14__All_India_Index_Upto_April2[[#This Row],[Household goods and services]])</f>
        <v>#REF!</v>
      </c>
      <c r="I42" s="9">
        <f>SUM('[1]14- All_India_Index_Upto_April2'!Z42,'[1]14- All_India_Index_Upto_April2'!AD42)</f>
        <v>219.10000000000002</v>
      </c>
      <c r="J42" s="9">
        <f>SUM('[1]14- All_India_Index_Upto_April2'!AA42)</f>
        <v>111.3</v>
      </c>
      <c r="K42" s="9">
        <f>'[1]14- All_India_Index_Upto_April2'!AC42</f>
        <v>111.6</v>
      </c>
      <c r="L42" s="9">
        <f>SUM('[1]14- All_India_Index_Upto_April2'!AB42,'[1]14- All_India_Index_Upto_April2'!AE42)</f>
        <v>221.3</v>
      </c>
      <c r="M42" s="9">
        <f>'[1]14- All_India_Index_Upto_April2'!AF42</f>
        <v>113.1</v>
      </c>
    </row>
    <row r="43" spans="1:13" hidden="1">
      <c r="A43" s="9" t="str">
        <f>'[1]14- All_India_Index_Upto_April2'!A43</f>
        <v>Rural+Urban</v>
      </c>
      <c r="B43" s="9">
        <f>'[1]14- All_India_Index_Upto_April2'!B43</f>
        <v>2014</v>
      </c>
      <c r="C43" s="9" t="str">
        <f>'[1]14- All_India_Index_Upto_April2'!C43</f>
        <v>February</v>
      </c>
      <c r="D43" s="9" t="str">
        <f t="shared" si="0"/>
        <v>February-2014</v>
      </c>
      <c r="E43" s="46">
        <f t="shared" si="1"/>
        <v>41671</v>
      </c>
      <c r="F43" s="9">
        <f>SUM('[1]14- All_India_Index_Upto_April2'!F43:S43)</f>
        <v>1594.8</v>
      </c>
      <c r="G43" s="9">
        <f>SUM('[1]14- All_India_Index_Upto_April2'!T43:V43)</f>
        <v>345.6</v>
      </c>
      <c r="H43" s="9" t="e">
        <f>SUM([1]!_14__All_India_Index_Upto_April2[[#This Row],[Housing new]],[1]!_14__All_India_Index_Upto_April2[[#This Row],[Household goods and services]])</f>
        <v>#REF!</v>
      </c>
      <c r="I43" s="9">
        <f>SUM('[1]14- All_India_Index_Upto_April2'!Z43,'[1]14- All_India_Index_Upto_April2'!AD43)</f>
        <v>219.4</v>
      </c>
      <c r="J43" s="9">
        <f>SUM('[1]14- All_India_Index_Upto_April2'!AA43)</f>
        <v>111.1</v>
      </c>
      <c r="K43" s="9">
        <f>'[1]14- All_India_Index_Upto_April2'!AC43</f>
        <v>111.8</v>
      </c>
      <c r="L43" s="9">
        <f>SUM('[1]14- All_India_Index_Upto_April2'!AB43,'[1]14- All_India_Index_Upto_April2'!AE43)</f>
        <v>221</v>
      </c>
      <c r="M43" s="9">
        <f>'[1]14- All_India_Index_Upto_April2'!AF43</f>
        <v>113.6</v>
      </c>
    </row>
    <row r="44" spans="1:13" hidden="1">
      <c r="A44" s="9" t="str">
        <f>'[1]14- All_India_Index_Upto_April2'!A44</f>
        <v>Rural</v>
      </c>
      <c r="B44" s="9">
        <f>'[1]14- All_India_Index_Upto_April2'!B44</f>
        <v>2014</v>
      </c>
      <c r="C44" s="9" t="str">
        <f>'[1]14- All_India_Index_Upto_April2'!C44</f>
        <v>March</v>
      </c>
      <c r="D44" s="9" t="str">
        <f t="shared" si="0"/>
        <v>March-2014</v>
      </c>
      <c r="E44" s="46">
        <f t="shared" si="1"/>
        <v>41699</v>
      </c>
      <c r="F44" s="9">
        <f>SUM('[1]14- All_India_Index_Upto_April2'!F44:S44)</f>
        <v>1606</v>
      </c>
      <c r="G44" s="9">
        <f>SUM('[1]14- All_India_Index_Upto_April2'!T44:V44)</f>
        <v>349.6</v>
      </c>
      <c r="H44" s="9" t="e">
        <f>SUM([1]!_14__All_India_Index_Upto_April2[[#This Row],[Housing new]],[1]!_14__All_India_Index_Upto_April2[[#This Row],[Household goods and services]])</f>
        <v>#REF!</v>
      </c>
      <c r="I44" s="9">
        <f>SUM('[1]14- All_India_Index_Upto_April2'!Z44,'[1]14- All_India_Index_Upto_April2'!AD44)</f>
        <v>220.3</v>
      </c>
      <c r="J44" s="9">
        <f>SUM('[1]14- All_India_Index_Upto_April2'!AA44)</f>
        <v>111.2</v>
      </c>
      <c r="K44" s="9">
        <f>'[1]14- All_India_Index_Upto_April2'!AC44</f>
        <v>112.4</v>
      </c>
      <c r="L44" s="9">
        <f>SUM('[1]14- All_India_Index_Upto_April2'!AB44,'[1]14- All_India_Index_Upto_April2'!AE44)</f>
        <v>221.5</v>
      </c>
      <c r="M44" s="9">
        <f>'[1]14- All_India_Index_Upto_April2'!AF44</f>
        <v>114.6</v>
      </c>
    </row>
    <row r="45" spans="1:13" hidden="1">
      <c r="A45" s="9" t="str">
        <f>'[1]14- All_India_Index_Upto_April2'!A45</f>
        <v>Urban</v>
      </c>
      <c r="B45" s="9">
        <f>'[1]14- All_India_Index_Upto_April2'!B45</f>
        <v>2014</v>
      </c>
      <c r="C45" s="9" t="str">
        <f>'[1]14- All_India_Index_Upto_April2'!C45</f>
        <v>March</v>
      </c>
      <c r="D45" s="9" t="str">
        <f t="shared" si="0"/>
        <v>March-2014</v>
      </c>
      <c r="E45" s="46">
        <f t="shared" si="1"/>
        <v>41699</v>
      </c>
      <c r="F45" s="9">
        <f>SUM('[1]14- All_India_Index_Upto_April2'!F45:S45)</f>
        <v>1599.7</v>
      </c>
      <c r="G45" s="9">
        <f>SUM('[1]14- All_India_Index_Upto_April2'!T45:V45)</f>
        <v>343.09999999999997</v>
      </c>
      <c r="H45" s="9" t="e">
        <f>SUM([1]!_14__All_India_Index_Upto_April2[[#This Row],[Housing new]],[1]!_14__All_India_Index_Upto_April2[[#This Row],[Household goods and services]])</f>
        <v>#REF!</v>
      </c>
      <c r="I45" s="9">
        <f>SUM('[1]14- All_India_Index_Upto_April2'!Z45,'[1]14- All_India_Index_Upto_April2'!AD45)</f>
        <v>220</v>
      </c>
      <c r="J45" s="9">
        <f>SUM('[1]14- All_India_Index_Upto_April2'!AA45)</f>
        <v>111.6</v>
      </c>
      <c r="K45" s="9">
        <f>'[1]14- All_India_Index_Upto_April2'!AC45</f>
        <v>111.8</v>
      </c>
      <c r="L45" s="9">
        <f>SUM('[1]14- All_India_Index_Upto_April2'!AB45,'[1]14- All_India_Index_Upto_April2'!AE45)</f>
        <v>222.3</v>
      </c>
      <c r="M45" s="9">
        <f>'[1]14- All_India_Index_Upto_April2'!AF45</f>
        <v>113.7</v>
      </c>
    </row>
    <row r="46" spans="1:13" hidden="1">
      <c r="A46" s="9" t="str">
        <f>'[1]14- All_India_Index_Upto_April2'!A46</f>
        <v>Rural+Urban</v>
      </c>
      <c r="B46" s="9">
        <f>'[1]14- All_India_Index_Upto_April2'!B46</f>
        <v>2014</v>
      </c>
      <c r="C46" s="9" t="str">
        <f>'[1]14- All_India_Index_Upto_April2'!C46</f>
        <v>March</v>
      </c>
      <c r="D46" s="9" t="str">
        <f t="shared" si="0"/>
        <v>March-2014</v>
      </c>
      <c r="E46" s="46">
        <f t="shared" si="1"/>
        <v>41699</v>
      </c>
      <c r="F46" s="9">
        <f>SUM('[1]14- All_India_Index_Upto_April2'!F46:S46)</f>
        <v>1603.4999999999998</v>
      </c>
      <c r="G46" s="9">
        <f>SUM('[1]14- All_India_Index_Upto_April2'!T46:V46)</f>
        <v>346.9</v>
      </c>
      <c r="H46" s="9" t="e">
        <f>SUM([1]!_14__All_India_Index_Upto_April2[[#This Row],[Housing new]],[1]!_14__All_India_Index_Upto_April2[[#This Row],[Household goods and services]])</f>
        <v>#REF!</v>
      </c>
      <c r="I46" s="9">
        <f>SUM('[1]14- All_India_Index_Upto_April2'!Z46,'[1]14- All_India_Index_Upto_April2'!AD46)</f>
        <v>220.2</v>
      </c>
      <c r="J46" s="9">
        <f>SUM('[1]14- All_India_Index_Upto_April2'!AA46)</f>
        <v>111.4</v>
      </c>
      <c r="K46" s="9">
        <f>'[1]14- All_India_Index_Upto_April2'!AC46</f>
        <v>112</v>
      </c>
      <c r="L46" s="9">
        <f>SUM('[1]14- All_India_Index_Upto_April2'!AB46,'[1]14- All_India_Index_Upto_April2'!AE46)</f>
        <v>221.89999999999998</v>
      </c>
      <c r="M46" s="9">
        <f>'[1]14- All_India_Index_Upto_April2'!AF46</f>
        <v>114.2</v>
      </c>
    </row>
    <row r="47" spans="1:13" hidden="1">
      <c r="A47" s="9" t="str">
        <f>'[1]14- All_India_Index_Upto_April2'!A47</f>
        <v>Rural</v>
      </c>
      <c r="B47" s="9">
        <f>'[1]14- All_India_Index_Upto_April2'!B47</f>
        <v>2014</v>
      </c>
      <c r="C47" s="9" t="str">
        <f>'[1]14- All_India_Index_Upto_April2'!C47</f>
        <v>April</v>
      </c>
      <c r="D47" s="9" t="str">
        <f t="shared" si="0"/>
        <v>April-2014</v>
      </c>
      <c r="E47" s="46">
        <f t="shared" si="1"/>
        <v>41730</v>
      </c>
      <c r="F47" s="9">
        <f>SUM('[1]14- All_India_Index_Upto_April2'!F47:S47)</f>
        <v>1619.5000000000002</v>
      </c>
      <c r="G47" s="9">
        <f>SUM('[1]14- All_India_Index_Upto_April2'!T47:V47)</f>
        <v>352</v>
      </c>
      <c r="H47" s="9" t="e">
        <f>SUM([1]!_14__All_India_Index_Upto_April2[[#This Row],[Housing new]],[1]!_14__All_India_Index_Upto_April2[[#This Row],[Household goods and services]])</f>
        <v>#REF!</v>
      </c>
      <c r="I47" s="9">
        <f>SUM('[1]14- All_India_Index_Upto_April2'!Z47,'[1]14- All_India_Index_Upto_April2'!AD47)</f>
        <v>220.7</v>
      </c>
      <c r="J47" s="9">
        <f>SUM('[1]14- All_India_Index_Upto_April2'!AA47)</f>
        <v>111.2</v>
      </c>
      <c r="K47" s="9">
        <f>'[1]14- All_India_Index_Upto_April2'!AC47</f>
        <v>113</v>
      </c>
      <c r="L47" s="9">
        <f>SUM('[1]14- All_India_Index_Upto_April2'!AB47,'[1]14- All_India_Index_Upto_April2'!AE47)</f>
        <v>222</v>
      </c>
      <c r="M47" s="9">
        <f>'[1]14- All_India_Index_Upto_April2'!AF47</f>
        <v>115.4</v>
      </c>
    </row>
    <row r="48" spans="1:13" hidden="1">
      <c r="A48" s="9" t="str">
        <f>'[1]14- All_India_Index_Upto_April2'!A48</f>
        <v>Urban</v>
      </c>
      <c r="B48" s="9">
        <f>'[1]14- All_India_Index_Upto_April2'!B48</f>
        <v>2014</v>
      </c>
      <c r="C48" s="9" t="str">
        <f>'[1]14- All_India_Index_Upto_April2'!C48</f>
        <v>April</v>
      </c>
      <c r="D48" s="9" t="str">
        <f t="shared" si="0"/>
        <v>April-2014</v>
      </c>
      <c r="E48" s="46">
        <f t="shared" si="1"/>
        <v>41730</v>
      </c>
      <c r="F48" s="9">
        <f>SUM('[1]14- All_India_Index_Upto_April2'!F48:S48)</f>
        <v>1621.6000000000001</v>
      </c>
      <c r="G48" s="9">
        <f>SUM('[1]14- All_India_Index_Upto_April2'!T48:V48)</f>
        <v>344.5</v>
      </c>
      <c r="H48" s="9" t="e">
        <f>SUM([1]!_14__All_India_Index_Upto_April2[[#This Row],[Housing new]],[1]!_14__All_India_Index_Upto_April2[[#This Row],[Household goods and services]])</f>
        <v>#REF!</v>
      </c>
      <c r="I48" s="9">
        <f>SUM('[1]14- All_India_Index_Upto_April2'!Z48,'[1]14- All_India_Index_Upto_April2'!AD48)</f>
        <v>220.1</v>
      </c>
      <c r="J48" s="9">
        <f>SUM('[1]14- All_India_Index_Upto_April2'!AA48)</f>
        <v>111.2</v>
      </c>
      <c r="K48" s="9">
        <f>'[1]14- All_India_Index_Upto_April2'!AC48</f>
        <v>112.5</v>
      </c>
      <c r="L48" s="9">
        <f>SUM('[1]14- All_India_Index_Upto_April2'!AB48,'[1]14- All_India_Index_Upto_April2'!AE48)</f>
        <v>222.60000000000002</v>
      </c>
      <c r="M48" s="9">
        <f>'[1]14- All_India_Index_Upto_April2'!AF48</f>
        <v>114.7</v>
      </c>
    </row>
    <row r="49" spans="1:13" hidden="1">
      <c r="A49" s="9" t="str">
        <f>'[1]14- All_India_Index_Upto_April2'!A49</f>
        <v>Rural+Urban</v>
      </c>
      <c r="B49" s="9">
        <f>'[1]14- All_India_Index_Upto_April2'!B49</f>
        <v>2014</v>
      </c>
      <c r="C49" s="9" t="str">
        <f>'[1]14- All_India_Index_Upto_April2'!C49</f>
        <v>April</v>
      </c>
      <c r="D49" s="9" t="str">
        <f t="shared" si="0"/>
        <v>April-2014</v>
      </c>
      <c r="E49" s="46">
        <f t="shared" si="1"/>
        <v>41730</v>
      </c>
      <c r="F49" s="9">
        <f>SUM('[1]14- All_India_Index_Upto_April2'!F49:S49)</f>
        <v>1620.1</v>
      </c>
      <c r="G49" s="9">
        <f>SUM('[1]14- All_India_Index_Upto_April2'!T49:V49)</f>
        <v>349</v>
      </c>
      <c r="H49" s="9" t="e">
        <f>SUM([1]!_14__All_India_Index_Upto_April2[[#This Row],[Housing new]],[1]!_14__All_India_Index_Upto_April2[[#This Row],[Household goods and services]])</f>
        <v>#REF!</v>
      </c>
      <c r="I49" s="9">
        <f>SUM('[1]14- All_India_Index_Upto_April2'!Z49,'[1]14- All_India_Index_Upto_April2'!AD49)</f>
        <v>220.5</v>
      </c>
      <c r="J49" s="9">
        <f>SUM('[1]14- All_India_Index_Upto_April2'!AA49)</f>
        <v>111.2</v>
      </c>
      <c r="K49" s="9">
        <f>'[1]14- All_India_Index_Upto_April2'!AC49</f>
        <v>112.7</v>
      </c>
      <c r="L49" s="9">
        <f>SUM('[1]14- All_India_Index_Upto_April2'!AB49,'[1]14- All_India_Index_Upto_April2'!AE49)</f>
        <v>222.4</v>
      </c>
      <c r="M49" s="9">
        <f>'[1]14- All_India_Index_Upto_April2'!AF49</f>
        <v>115.1</v>
      </c>
    </row>
    <row r="50" spans="1:13" hidden="1">
      <c r="A50" s="9" t="str">
        <f>'[1]14- All_India_Index_Upto_April2'!A50</f>
        <v>Rural</v>
      </c>
      <c r="B50" s="9">
        <f>'[1]14- All_India_Index_Upto_April2'!B50</f>
        <v>2014</v>
      </c>
      <c r="C50" s="9" t="str">
        <f>'[1]14- All_India_Index_Upto_April2'!C50</f>
        <v>May</v>
      </c>
      <c r="D50" s="9" t="str">
        <f t="shared" si="0"/>
        <v>May-2014</v>
      </c>
      <c r="E50" s="46">
        <f t="shared" si="1"/>
        <v>41760</v>
      </c>
      <c r="F50" s="9">
        <f>SUM('[1]14- All_India_Index_Upto_April2'!F50:S50)</f>
        <v>1630.1999999999998</v>
      </c>
      <c r="G50" s="9">
        <f>SUM('[1]14- All_India_Index_Upto_April2'!T50:V50)</f>
        <v>354</v>
      </c>
      <c r="H50" s="9" t="e">
        <f>SUM([1]!_14__All_India_Index_Upto_April2[[#This Row],[Housing new]],[1]!_14__All_India_Index_Upto_April2[[#This Row],[Household goods and services]])</f>
        <v>#REF!</v>
      </c>
      <c r="I50" s="9">
        <f>SUM('[1]14- All_India_Index_Upto_April2'!Z50,'[1]14- All_India_Index_Upto_April2'!AD50)</f>
        <v>221</v>
      </c>
      <c r="J50" s="9">
        <f>SUM('[1]14- All_India_Index_Upto_April2'!AA50)</f>
        <v>111.4</v>
      </c>
      <c r="K50" s="9">
        <f>'[1]14- All_India_Index_Upto_April2'!AC50</f>
        <v>113.1</v>
      </c>
      <c r="L50" s="9">
        <f>SUM('[1]14- All_India_Index_Upto_April2'!AB50,'[1]14- All_India_Index_Upto_April2'!AE50)</f>
        <v>222.7</v>
      </c>
      <c r="M50" s="9">
        <f>'[1]14- All_India_Index_Upto_April2'!AF50</f>
        <v>116</v>
      </c>
    </row>
    <row r="51" spans="1:13" hidden="1">
      <c r="A51" s="9" t="str">
        <f>'[1]14- All_India_Index_Upto_April2'!A51</f>
        <v>Urban</v>
      </c>
      <c r="B51" s="9">
        <f>'[1]14- All_India_Index_Upto_April2'!B51</f>
        <v>2014</v>
      </c>
      <c r="C51" s="9" t="str">
        <f>'[1]14- All_India_Index_Upto_April2'!C51</f>
        <v>May</v>
      </c>
      <c r="D51" s="9" t="str">
        <f t="shared" si="0"/>
        <v>May-2014</v>
      </c>
      <c r="E51" s="46">
        <f t="shared" si="1"/>
        <v>41760</v>
      </c>
      <c r="F51" s="9">
        <f>SUM('[1]14- All_India_Index_Upto_April2'!F51:S51)</f>
        <v>1643.6000000000001</v>
      </c>
      <c r="G51" s="9">
        <f>SUM('[1]14- All_India_Index_Upto_April2'!T51:V51)</f>
        <v>345.9</v>
      </c>
      <c r="H51" s="9" t="e">
        <f>SUM([1]!_14__All_India_Index_Upto_April2[[#This Row],[Housing new]],[1]!_14__All_India_Index_Upto_April2[[#This Row],[Household goods and services]])</f>
        <v>#REF!</v>
      </c>
      <c r="I51" s="9">
        <f>SUM('[1]14- All_India_Index_Upto_April2'!Z51,'[1]14- All_India_Index_Upto_April2'!AD51)</f>
        <v>220.5</v>
      </c>
      <c r="J51" s="9">
        <f>SUM('[1]14- All_India_Index_Upto_April2'!AA51)</f>
        <v>111.3</v>
      </c>
      <c r="K51" s="9">
        <f>'[1]14- All_India_Index_Upto_April2'!AC51</f>
        <v>112.9</v>
      </c>
      <c r="L51" s="9">
        <f>SUM('[1]14- All_India_Index_Upto_April2'!AB51,'[1]14- All_India_Index_Upto_April2'!AE51)</f>
        <v>223.2</v>
      </c>
      <c r="M51" s="9">
        <f>'[1]14- All_India_Index_Upto_April2'!AF51</f>
        <v>115.6</v>
      </c>
    </row>
    <row r="52" spans="1:13" hidden="1">
      <c r="A52" s="9" t="str">
        <f>'[1]14- All_India_Index_Upto_April2'!A52</f>
        <v>Rural+Urban</v>
      </c>
      <c r="B52" s="9">
        <f>'[1]14- All_India_Index_Upto_April2'!B52</f>
        <v>2014</v>
      </c>
      <c r="C52" s="9" t="str">
        <f>'[1]14- All_India_Index_Upto_April2'!C52</f>
        <v>May</v>
      </c>
      <c r="D52" s="9" t="str">
        <f t="shared" si="0"/>
        <v>May-2014</v>
      </c>
      <c r="E52" s="46">
        <f t="shared" si="1"/>
        <v>41760</v>
      </c>
      <c r="F52" s="9">
        <f>SUM('[1]14- All_India_Index_Upto_April2'!F52:S52)</f>
        <v>1635.3000000000004</v>
      </c>
      <c r="G52" s="9">
        <f>SUM('[1]14- All_India_Index_Upto_April2'!T52:V52)</f>
        <v>350.79999999999995</v>
      </c>
      <c r="H52" s="9" t="e">
        <f>SUM([1]!_14__All_India_Index_Upto_April2[[#This Row],[Housing new]],[1]!_14__All_India_Index_Upto_April2[[#This Row],[Household goods and services]])</f>
        <v>#REF!</v>
      </c>
      <c r="I52" s="9">
        <f>SUM('[1]14- All_India_Index_Upto_April2'!Z52,'[1]14- All_India_Index_Upto_April2'!AD52)</f>
        <v>220.89999999999998</v>
      </c>
      <c r="J52" s="9">
        <f>SUM('[1]14- All_India_Index_Upto_April2'!AA52)</f>
        <v>111.3</v>
      </c>
      <c r="K52" s="9">
        <f>'[1]14- All_India_Index_Upto_April2'!AC52</f>
        <v>113</v>
      </c>
      <c r="L52" s="9">
        <f>SUM('[1]14- All_India_Index_Upto_April2'!AB52,'[1]14- All_India_Index_Upto_April2'!AE52)</f>
        <v>223</v>
      </c>
      <c r="M52" s="9">
        <f>'[1]14- All_India_Index_Upto_April2'!AF52</f>
        <v>115.8</v>
      </c>
    </row>
    <row r="53" spans="1:13" hidden="1">
      <c r="A53" s="9" t="str">
        <f>'[1]14- All_India_Index_Upto_April2'!A53</f>
        <v>Rural</v>
      </c>
      <c r="B53" s="9">
        <f>'[1]14- All_India_Index_Upto_April2'!B53</f>
        <v>2014</v>
      </c>
      <c r="C53" s="9" t="str">
        <f>'[1]14- All_India_Index_Upto_April2'!C53</f>
        <v>June</v>
      </c>
      <c r="D53" s="9" t="str">
        <f t="shared" si="0"/>
        <v>June-2014</v>
      </c>
      <c r="E53" s="46">
        <f t="shared" si="1"/>
        <v>41791</v>
      </c>
      <c r="F53" s="9">
        <f>SUM('[1]14- All_India_Index_Upto_April2'!F53:S53)</f>
        <v>1642.9999999999998</v>
      </c>
      <c r="G53" s="9">
        <f>SUM('[1]14- All_India_Index_Upto_April2'!T53:V53)</f>
        <v>356.3</v>
      </c>
      <c r="H53" s="9" t="e">
        <f>SUM([1]!_14__All_India_Index_Upto_April2[[#This Row],[Housing new]],[1]!_14__All_India_Index_Upto_April2[[#This Row],[Household goods and services]])</f>
        <v>#REF!</v>
      </c>
      <c r="I53" s="9">
        <f>SUM('[1]14- All_India_Index_Upto_April2'!Z53,'[1]14- All_India_Index_Upto_April2'!AD53)</f>
        <v>220.8</v>
      </c>
      <c r="J53" s="9">
        <f>SUM('[1]14- All_India_Index_Upto_April2'!AA53)</f>
        <v>112.2</v>
      </c>
      <c r="K53" s="9">
        <f>'[1]14- All_India_Index_Upto_April2'!AC53</f>
        <v>114.3</v>
      </c>
      <c r="L53" s="9">
        <f>SUM('[1]14- All_India_Index_Upto_April2'!AB53,'[1]14- All_India_Index_Upto_April2'!AE53)</f>
        <v>223.7</v>
      </c>
      <c r="M53" s="9">
        <f>'[1]14- All_India_Index_Upto_April2'!AF53</f>
        <v>117</v>
      </c>
    </row>
    <row r="54" spans="1:13" hidden="1">
      <c r="A54" s="9" t="str">
        <f>'[1]14- All_India_Index_Upto_April2'!A54</f>
        <v>Urban</v>
      </c>
      <c r="B54" s="9">
        <f>'[1]14- All_India_Index_Upto_April2'!B54</f>
        <v>2014</v>
      </c>
      <c r="C54" s="9" t="str">
        <f>'[1]14- All_India_Index_Upto_April2'!C54</f>
        <v>June</v>
      </c>
      <c r="D54" s="9" t="str">
        <f t="shared" si="0"/>
        <v>June-2014</v>
      </c>
      <c r="E54" s="46">
        <f t="shared" si="1"/>
        <v>41791</v>
      </c>
      <c r="F54" s="9">
        <f>SUM('[1]14- All_India_Index_Upto_April2'!F54:S54)</f>
        <v>1666</v>
      </c>
      <c r="G54" s="9">
        <f>SUM('[1]14- All_India_Index_Upto_April2'!T54:V54)</f>
        <v>347.3</v>
      </c>
      <c r="H54" s="9" t="e">
        <f>SUM([1]!_14__All_India_Index_Upto_April2[[#This Row],[Housing new]],[1]!_14__All_India_Index_Upto_April2[[#This Row],[Household goods and services]])</f>
        <v>#REF!</v>
      </c>
      <c r="I54" s="9">
        <f>SUM('[1]14- All_India_Index_Upto_April2'!Z54,'[1]14- All_India_Index_Upto_April2'!AD54)</f>
        <v>220.10000000000002</v>
      </c>
      <c r="J54" s="9">
        <f>SUM('[1]14- All_India_Index_Upto_April2'!AA54)</f>
        <v>111.5</v>
      </c>
      <c r="K54" s="9">
        <f>'[1]14- All_India_Index_Upto_April2'!AC54</f>
        <v>115.1</v>
      </c>
      <c r="L54" s="9">
        <f>SUM('[1]14- All_India_Index_Upto_April2'!AB54,'[1]14- All_India_Index_Upto_April2'!AE54)</f>
        <v>224</v>
      </c>
      <c r="M54" s="9">
        <f>'[1]14- All_India_Index_Upto_April2'!AF54</f>
        <v>116.4</v>
      </c>
    </row>
    <row r="55" spans="1:13" hidden="1">
      <c r="A55" s="9" t="str">
        <f>'[1]14- All_India_Index_Upto_April2'!A55</f>
        <v>Rural+Urban</v>
      </c>
      <c r="B55" s="9">
        <f>'[1]14- All_India_Index_Upto_April2'!B55</f>
        <v>2014</v>
      </c>
      <c r="C55" s="9" t="str">
        <f>'[1]14- All_India_Index_Upto_April2'!C55</f>
        <v>June</v>
      </c>
      <c r="D55" s="9" t="str">
        <f t="shared" si="0"/>
        <v>June-2014</v>
      </c>
      <c r="E55" s="46">
        <f t="shared" si="1"/>
        <v>41791</v>
      </c>
      <c r="F55" s="9">
        <f>SUM('[1]14- All_India_Index_Upto_April2'!F55:S55)</f>
        <v>1651.5000000000002</v>
      </c>
      <c r="G55" s="9">
        <f>SUM('[1]14- All_India_Index_Upto_April2'!T55:V55)</f>
        <v>352.7</v>
      </c>
      <c r="H55" s="9" t="e">
        <f>SUM([1]!_14__All_India_Index_Upto_April2[[#This Row],[Housing new]],[1]!_14__All_India_Index_Upto_April2[[#This Row],[Household goods and services]])</f>
        <v>#REF!</v>
      </c>
      <c r="I55" s="9">
        <f>SUM('[1]14- All_India_Index_Upto_April2'!Z55,'[1]14- All_India_Index_Upto_April2'!AD55)</f>
        <v>220.6</v>
      </c>
      <c r="J55" s="9">
        <f>SUM('[1]14- All_India_Index_Upto_April2'!AA55)</f>
        <v>111.8</v>
      </c>
      <c r="K55" s="9">
        <f>'[1]14- All_India_Index_Upto_April2'!AC55</f>
        <v>114.8</v>
      </c>
      <c r="L55" s="9">
        <f>SUM('[1]14- All_India_Index_Upto_April2'!AB55,'[1]14- All_India_Index_Upto_April2'!AE55)</f>
        <v>223.89999999999998</v>
      </c>
      <c r="M55" s="9">
        <f>'[1]14- All_India_Index_Upto_April2'!AF55</f>
        <v>116.7</v>
      </c>
    </row>
    <row r="56" spans="1:13" hidden="1">
      <c r="A56" s="9" t="str">
        <f>'[1]14- All_India_Index_Upto_April2'!A56</f>
        <v>Rural</v>
      </c>
      <c r="B56" s="9">
        <f>'[1]14- All_India_Index_Upto_April2'!B56</f>
        <v>2014</v>
      </c>
      <c r="C56" s="9" t="str">
        <f>'[1]14- All_India_Index_Upto_April2'!C56</f>
        <v>July</v>
      </c>
      <c r="D56" s="9" t="str">
        <f t="shared" si="0"/>
        <v>July-2014</v>
      </c>
      <c r="E56" s="46">
        <f t="shared" si="1"/>
        <v>41821</v>
      </c>
      <c r="F56" s="9">
        <f>SUM('[1]14- All_India_Index_Upto_April2'!F56:S56)</f>
        <v>1681.2</v>
      </c>
      <c r="G56" s="9">
        <f>SUM('[1]14- All_India_Index_Upto_April2'!T56:V56)</f>
        <v>359.3</v>
      </c>
      <c r="H56" s="9" t="e">
        <f>SUM([1]!_14__All_India_Index_Upto_April2[[#This Row],[Housing new]],[1]!_14__All_India_Index_Upto_April2[[#This Row],[Household goods and services]])</f>
        <v>#REF!</v>
      </c>
      <c r="I56" s="9">
        <f>SUM('[1]14- All_India_Index_Upto_April2'!Z56,'[1]14- All_India_Index_Upto_April2'!AD56)</f>
        <v>222.2</v>
      </c>
      <c r="J56" s="9">
        <f>SUM('[1]14- All_India_Index_Upto_April2'!AA56)</f>
        <v>113.2</v>
      </c>
      <c r="K56" s="9">
        <f>'[1]14- All_India_Index_Upto_April2'!AC56</f>
        <v>115.5</v>
      </c>
      <c r="L56" s="9">
        <f>SUM('[1]14- All_India_Index_Upto_April2'!AB56,'[1]14- All_India_Index_Upto_April2'!AE56)</f>
        <v>224.89999999999998</v>
      </c>
      <c r="M56" s="9">
        <f>'[1]14- All_India_Index_Upto_April2'!AF56</f>
        <v>119.5</v>
      </c>
    </row>
    <row r="57" spans="1:13" hidden="1">
      <c r="A57" s="9" t="str">
        <f>'[1]14- All_India_Index_Upto_April2'!A57</f>
        <v>Urban</v>
      </c>
      <c r="B57" s="9">
        <f>'[1]14- All_India_Index_Upto_April2'!B57</f>
        <v>2014</v>
      </c>
      <c r="C57" s="9" t="str">
        <f>'[1]14- All_India_Index_Upto_April2'!C57</f>
        <v>July</v>
      </c>
      <c r="D57" s="9" t="str">
        <f t="shared" si="0"/>
        <v>July-2014</v>
      </c>
      <c r="E57" s="46">
        <f t="shared" si="1"/>
        <v>41821</v>
      </c>
      <c r="F57" s="9">
        <f>SUM('[1]14- All_India_Index_Upto_April2'!F57:S57)</f>
        <v>1720.5</v>
      </c>
      <c r="G57" s="9">
        <f>SUM('[1]14- All_India_Index_Upto_April2'!T57:V57)</f>
        <v>349</v>
      </c>
      <c r="H57" s="9" t="e">
        <f>SUM([1]!_14__All_India_Index_Upto_April2[[#This Row],[Housing new]],[1]!_14__All_India_Index_Upto_April2[[#This Row],[Household goods and services]])</f>
        <v>#REF!</v>
      </c>
      <c r="I57" s="9">
        <f>SUM('[1]14- All_India_Index_Upto_April2'!Z57,'[1]14- All_India_Index_Upto_April2'!AD57)</f>
        <v>221.2</v>
      </c>
      <c r="J57" s="9">
        <f>SUM('[1]14- All_India_Index_Upto_April2'!AA57)</f>
        <v>113</v>
      </c>
      <c r="K57" s="9">
        <f>'[1]14- All_India_Index_Upto_April2'!AC57</f>
        <v>117.8</v>
      </c>
      <c r="L57" s="9">
        <f>SUM('[1]14- All_India_Index_Upto_April2'!AB57,'[1]14- All_India_Index_Upto_April2'!AE57)</f>
        <v>225.9</v>
      </c>
      <c r="M57" s="9">
        <f>'[1]14- All_India_Index_Upto_April2'!AF57</f>
        <v>118.9</v>
      </c>
    </row>
    <row r="58" spans="1:13" hidden="1">
      <c r="A58" s="9" t="str">
        <f>'[1]14- All_India_Index_Upto_April2'!A58</f>
        <v>Rural+Urban</v>
      </c>
      <c r="B58" s="9">
        <f>'[1]14- All_India_Index_Upto_April2'!B58</f>
        <v>2014</v>
      </c>
      <c r="C58" s="9" t="str">
        <f>'[1]14- All_India_Index_Upto_April2'!C58</f>
        <v>July</v>
      </c>
      <c r="D58" s="9" t="str">
        <f t="shared" si="0"/>
        <v>July-2014</v>
      </c>
      <c r="E58" s="46">
        <f t="shared" si="1"/>
        <v>41821</v>
      </c>
      <c r="F58" s="9">
        <f>SUM('[1]14- All_India_Index_Upto_April2'!F58:S58)</f>
        <v>1695.1</v>
      </c>
      <c r="G58" s="9">
        <f>SUM('[1]14- All_India_Index_Upto_April2'!T58:V58)</f>
        <v>355</v>
      </c>
      <c r="H58" s="9" t="e">
        <f>SUM([1]!_14__All_India_Index_Upto_April2[[#This Row],[Housing new]],[1]!_14__All_India_Index_Upto_April2[[#This Row],[Household goods and services]])</f>
        <v>#REF!</v>
      </c>
      <c r="I58" s="9">
        <f>SUM('[1]14- All_India_Index_Upto_April2'!Z58,'[1]14- All_India_Index_Upto_April2'!AD58)</f>
        <v>221.9</v>
      </c>
      <c r="J58" s="9">
        <f>SUM('[1]14- All_India_Index_Upto_April2'!AA58)</f>
        <v>113.1</v>
      </c>
      <c r="K58" s="9">
        <f>'[1]14- All_India_Index_Upto_April2'!AC58</f>
        <v>116.8</v>
      </c>
      <c r="L58" s="9">
        <f>SUM('[1]14- All_India_Index_Upto_April2'!AB58,'[1]14- All_India_Index_Upto_April2'!AE58)</f>
        <v>225.39999999999998</v>
      </c>
      <c r="M58" s="9">
        <f>'[1]14- All_India_Index_Upto_April2'!AF58</f>
        <v>119.2</v>
      </c>
    </row>
    <row r="59" spans="1:13" hidden="1">
      <c r="A59" s="9" t="str">
        <f>'[1]14- All_India_Index_Upto_April2'!A59</f>
        <v>Rural</v>
      </c>
      <c r="B59" s="9">
        <f>'[1]14- All_India_Index_Upto_April2'!B59</f>
        <v>2014</v>
      </c>
      <c r="C59" s="9" t="str">
        <f>'[1]14- All_India_Index_Upto_April2'!C59</f>
        <v>August</v>
      </c>
      <c r="D59" s="9" t="str">
        <f t="shared" si="0"/>
        <v>August-2014</v>
      </c>
      <c r="E59" s="46">
        <f t="shared" si="1"/>
        <v>41852</v>
      </c>
      <c r="F59" s="9">
        <f>SUM('[1]14- All_India_Index_Upto_April2'!F59:S59)</f>
        <v>1701.0999999999997</v>
      </c>
      <c r="G59" s="9">
        <f>SUM('[1]14- All_India_Index_Upto_April2'!T59:V59)</f>
        <v>360.4</v>
      </c>
      <c r="H59" s="9" t="e">
        <f>SUM([1]!_14__All_India_Index_Upto_April2[[#This Row],[Housing new]],[1]!_14__All_India_Index_Upto_April2[[#This Row],[Household goods and services]])</f>
        <v>#REF!</v>
      </c>
      <c r="I59" s="9">
        <f>SUM('[1]14- All_India_Index_Upto_April2'!Z59,'[1]14- All_India_Index_Upto_April2'!AD59)</f>
        <v>223.4</v>
      </c>
      <c r="J59" s="9">
        <f>SUM('[1]14- All_India_Index_Upto_April2'!AA59)</f>
        <v>113.2</v>
      </c>
      <c r="K59" s="9">
        <f>'[1]14- All_India_Index_Upto_April2'!AC59</f>
        <v>116.2</v>
      </c>
      <c r="L59" s="9">
        <f>SUM('[1]14- All_India_Index_Upto_April2'!AB59,'[1]14- All_India_Index_Upto_April2'!AE59)</f>
        <v>225.7</v>
      </c>
      <c r="M59" s="9">
        <f>'[1]14- All_India_Index_Upto_April2'!AF59</f>
        <v>120.7</v>
      </c>
    </row>
    <row r="60" spans="1:13" hidden="1">
      <c r="A60" s="9" t="str">
        <f>'[1]14- All_India_Index_Upto_April2'!A60</f>
        <v>Urban</v>
      </c>
      <c r="B60" s="9">
        <f>'[1]14- All_India_Index_Upto_April2'!B60</f>
        <v>2014</v>
      </c>
      <c r="C60" s="9" t="str">
        <f>'[1]14- All_India_Index_Upto_April2'!C60</f>
        <v>August</v>
      </c>
      <c r="D60" s="9" t="str">
        <f t="shared" si="0"/>
        <v>August-2014</v>
      </c>
      <c r="E60" s="46">
        <f t="shared" si="1"/>
        <v>41852</v>
      </c>
      <c r="F60" s="9">
        <f>SUM('[1]14- All_India_Index_Upto_April2'!F60:S60)</f>
        <v>1740</v>
      </c>
      <c r="G60" s="9">
        <f>SUM('[1]14- All_India_Index_Upto_April2'!T60:V60)</f>
        <v>350.6</v>
      </c>
      <c r="H60" s="9" t="e">
        <f>SUM([1]!_14__All_India_Index_Upto_April2[[#This Row],[Housing new]],[1]!_14__All_India_Index_Upto_April2[[#This Row],[Household goods and services]])</f>
        <v>#REF!</v>
      </c>
      <c r="I60" s="9">
        <f>SUM('[1]14- All_India_Index_Upto_April2'!Z60,'[1]14- All_India_Index_Upto_April2'!AD60)</f>
        <v>222.7</v>
      </c>
      <c r="J60" s="9">
        <f>SUM('[1]14- All_India_Index_Upto_April2'!AA60)</f>
        <v>112.5</v>
      </c>
      <c r="K60" s="9">
        <f>'[1]14- All_India_Index_Upto_April2'!AC60</f>
        <v>119.2</v>
      </c>
      <c r="L60" s="9">
        <f>SUM('[1]14- All_India_Index_Upto_April2'!AB60,'[1]14- All_India_Index_Upto_April2'!AE60)</f>
        <v>226.8</v>
      </c>
      <c r="M60" s="9">
        <f>'[1]14- All_India_Index_Upto_April2'!AF60</f>
        <v>119.9</v>
      </c>
    </row>
    <row r="61" spans="1:13" hidden="1">
      <c r="A61" s="9" t="str">
        <f>'[1]14- All_India_Index_Upto_April2'!A61</f>
        <v>Rural+Urban</v>
      </c>
      <c r="B61" s="9">
        <f>'[1]14- All_India_Index_Upto_April2'!B61</f>
        <v>2014</v>
      </c>
      <c r="C61" s="9" t="str">
        <f>'[1]14- All_India_Index_Upto_April2'!C61</f>
        <v>August</v>
      </c>
      <c r="D61" s="9" t="str">
        <f t="shared" si="0"/>
        <v>August-2014</v>
      </c>
      <c r="E61" s="46">
        <f t="shared" si="1"/>
        <v>41852</v>
      </c>
      <c r="F61" s="9">
        <f>SUM('[1]14- All_India_Index_Upto_April2'!F61:S61)</f>
        <v>1714.3999999999999</v>
      </c>
      <c r="G61" s="9">
        <f>SUM('[1]14- All_India_Index_Upto_April2'!T61:V61)</f>
        <v>356.4</v>
      </c>
      <c r="H61" s="9" t="e">
        <f>SUM([1]!_14__All_India_Index_Upto_April2[[#This Row],[Housing new]],[1]!_14__All_India_Index_Upto_April2[[#This Row],[Household goods and services]])</f>
        <v>#REF!</v>
      </c>
      <c r="I61" s="9">
        <f>SUM('[1]14- All_India_Index_Upto_April2'!Z61,'[1]14- All_India_Index_Upto_April2'!AD61)</f>
        <v>223.2</v>
      </c>
      <c r="J61" s="9">
        <f>SUM('[1]14- All_India_Index_Upto_April2'!AA61)</f>
        <v>112.8</v>
      </c>
      <c r="K61" s="9">
        <f>'[1]14- All_India_Index_Upto_April2'!AC61</f>
        <v>118</v>
      </c>
      <c r="L61" s="9">
        <f>SUM('[1]14- All_India_Index_Upto_April2'!AB61,'[1]14- All_India_Index_Upto_April2'!AE61)</f>
        <v>226.3</v>
      </c>
      <c r="M61" s="9">
        <f>'[1]14- All_India_Index_Upto_April2'!AF61</f>
        <v>120.3</v>
      </c>
    </row>
    <row r="62" spans="1:13" hidden="1">
      <c r="A62" s="9" t="str">
        <f>'[1]14- All_India_Index_Upto_April2'!A62</f>
        <v>Rural</v>
      </c>
      <c r="B62" s="9">
        <f>'[1]14- All_India_Index_Upto_April2'!B62</f>
        <v>2014</v>
      </c>
      <c r="C62" s="9" t="str">
        <f>'[1]14- All_India_Index_Upto_April2'!C62</f>
        <v>September</v>
      </c>
      <c r="D62" s="9" t="str">
        <f t="shared" si="0"/>
        <v>September-2014</v>
      </c>
      <c r="E62" s="46">
        <f t="shared" si="1"/>
        <v>41883</v>
      </c>
      <c r="F62" s="9">
        <f>SUM('[1]14- All_India_Index_Upto_April2'!F62:S62)</f>
        <v>1702.7</v>
      </c>
      <c r="G62" s="9">
        <f>SUM('[1]14- All_India_Index_Upto_April2'!T62:V62)</f>
        <v>362.2</v>
      </c>
      <c r="H62" s="9" t="e">
        <f>SUM([1]!_14__All_India_Index_Upto_April2[[#This Row],[Housing new]],[1]!_14__All_India_Index_Upto_April2[[#This Row],[Household goods and services]])</f>
        <v>#REF!</v>
      </c>
      <c r="I62" s="9">
        <f>SUM('[1]14- All_India_Index_Upto_April2'!Z62,'[1]14- All_India_Index_Upto_April2'!AD62)</f>
        <v>223.6</v>
      </c>
      <c r="J62" s="9">
        <f>SUM('[1]14- All_India_Index_Upto_April2'!AA62)</f>
        <v>112.8</v>
      </c>
      <c r="K62" s="9">
        <f>'[1]14- All_India_Index_Upto_April2'!AC62</f>
        <v>116.6</v>
      </c>
      <c r="L62" s="9">
        <f>SUM('[1]14- All_India_Index_Upto_April2'!AB62,'[1]14- All_India_Index_Upto_April2'!AE62)</f>
        <v>226.3</v>
      </c>
      <c r="M62" s="9">
        <f>'[1]14- All_India_Index_Upto_April2'!AF62</f>
        <v>120.9</v>
      </c>
    </row>
    <row r="63" spans="1:13" hidden="1">
      <c r="A63" s="9" t="str">
        <f>'[1]14- All_India_Index_Upto_April2'!A63</f>
        <v>Urban</v>
      </c>
      <c r="B63" s="9">
        <f>'[1]14- All_India_Index_Upto_April2'!B63</f>
        <v>2014</v>
      </c>
      <c r="C63" s="9" t="str">
        <f>'[1]14- All_India_Index_Upto_April2'!C63</f>
        <v>September</v>
      </c>
      <c r="D63" s="9" t="str">
        <f t="shared" si="0"/>
        <v>September-2014</v>
      </c>
      <c r="E63" s="46">
        <f t="shared" si="1"/>
        <v>41883</v>
      </c>
      <c r="F63" s="9">
        <f>SUM('[1]14- All_India_Index_Upto_April2'!F63:S63)</f>
        <v>1718.0000000000002</v>
      </c>
      <c r="G63" s="9">
        <f>SUM('[1]14- All_India_Index_Upto_April2'!T63:V63)</f>
        <v>352.1</v>
      </c>
      <c r="H63" s="9" t="e">
        <f>SUM([1]!_14__All_India_Index_Upto_April2[[#This Row],[Housing new]],[1]!_14__All_India_Index_Upto_April2[[#This Row],[Household goods and services]])</f>
        <v>#REF!</v>
      </c>
      <c r="I63" s="9">
        <f>SUM('[1]14- All_India_Index_Upto_April2'!Z63,'[1]14- All_India_Index_Upto_April2'!AD63)</f>
        <v>222.3</v>
      </c>
      <c r="J63" s="9">
        <f>SUM('[1]14- All_India_Index_Upto_April2'!AA63)</f>
        <v>111.2</v>
      </c>
      <c r="K63" s="9">
        <f>'[1]14- All_India_Index_Upto_April2'!AC63</f>
        <v>120</v>
      </c>
      <c r="L63" s="9">
        <f>SUM('[1]14- All_India_Index_Upto_April2'!AB63,'[1]14- All_India_Index_Upto_April2'!AE63)</f>
        <v>227</v>
      </c>
      <c r="M63" s="9">
        <f>'[1]14- All_India_Index_Upto_April2'!AF63</f>
        <v>119.2</v>
      </c>
    </row>
    <row r="64" spans="1:13" hidden="1">
      <c r="A64" s="9" t="str">
        <f>'[1]14- All_India_Index_Upto_April2'!A64</f>
        <v>Rural+Urban</v>
      </c>
      <c r="B64" s="9">
        <f>'[1]14- All_India_Index_Upto_April2'!B64</f>
        <v>2014</v>
      </c>
      <c r="C64" s="9" t="str">
        <f>'[1]14- All_India_Index_Upto_April2'!C64</f>
        <v>September</v>
      </c>
      <c r="D64" s="9" t="str">
        <f t="shared" si="0"/>
        <v>September-2014</v>
      </c>
      <c r="E64" s="46">
        <f t="shared" si="1"/>
        <v>41883</v>
      </c>
      <c r="F64" s="9">
        <f>SUM('[1]14- All_India_Index_Upto_April2'!F64:S64)</f>
        <v>1706.8999999999996</v>
      </c>
      <c r="G64" s="9">
        <f>SUM('[1]14- All_India_Index_Upto_April2'!T64:V64)</f>
        <v>358</v>
      </c>
      <c r="H64" s="9" t="e">
        <f>SUM([1]!_14__All_India_Index_Upto_April2[[#This Row],[Housing new]],[1]!_14__All_India_Index_Upto_April2[[#This Row],[Household goods and services]])</f>
        <v>#REF!</v>
      </c>
      <c r="I64" s="9">
        <f>SUM('[1]14- All_India_Index_Upto_April2'!Z64,'[1]14- All_India_Index_Upto_April2'!AD64)</f>
        <v>223.2</v>
      </c>
      <c r="J64" s="9">
        <f>SUM('[1]14- All_India_Index_Upto_April2'!AA64)</f>
        <v>112</v>
      </c>
      <c r="K64" s="9">
        <f>'[1]14- All_India_Index_Upto_April2'!AC64</f>
        <v>118.6</v>
      </c>
      <c r="L64" s="9">
        <f>SUM('[1]14- All_India_Index_Upto_April2'!AB64,'[1]14- All_India_Index_Upto_April2'!AE64)</f>
        <v>226.8</v>
      </c>
      <c r="M64" s="9">
        <f>'[1]14- All_India_Index_Upto_April2'!AF64</f>
        <v>120.1</v>
      </c>
    </row>
    <row r="65" spans="1:13" hidden="1">
      <c r="A65" s="9" t="str">
        <f>'[1]14- All_India_Index_Upto_April2'!A65</f>
        <v>Rural</v>
      </c>
      <c r="B65" s="9">
        <f>'[1]14- All_India_Index_Upto_April2'!B65</f>
        <v>2014</v>
      </c>
      <c r="C65" s="9" t="str">
        <f>'[1]14- All_India_Index_Upto_April2'!C65</f>
        <v>October</v>
      </c>
      <c r="D65" s="9" t="str">
        <f t="shared" si="0"/>
        <v>October-2014</v>
      </c>
      <c r="E65" s="46">
        <f t="shared" si="1"/>
        <v>41913</v>
      </c>
      <c r="F65" s="9">
        <f>SUM('[1]14- All_India_Index_Upto_April2'!F65:S65)</f>
        <v>1701.1999999999998</v>
      </c>
      <c r="G65" s="9">
        <f>SUM('[1]14- All_India_Index_Upto_April2'!T65:V65)</f>
        <v>365.3</v>
      </c>
      <c r="H65" s="9" t="e">
        <f>SUM([1]!_14__All_India_Index_Upto_April2[[#This Row],[Housing new]],[1]!_14__All_India_Index_Upto_April2[[#This Row],[Household goods and services]])</f>
        <v>#REF!</v>
      </c>
      <c r="I65" s="9">
        <f>SUM('[1]14- All_India_Index_Upto_April2'!Z65,'[1]14- All_India_Index_Upto_April2'!AD65)</f>
        <v>224.6</v>
      </c>
      <c r="J65" s="9">
        <f>SUM('[1]14- All_India_Index_Upto_April2'!AA65)</f>
        <v>112.6</v>
      </c>
      <c r="K65" s="9">
        <f>'[1]14- All_India_Index_Upto_April2'!AC65</f>
        <v>116.9</v>
      </c>
      <c r="L65" s="9">
        <f>SUM('[1]14- All_India_Index_Upto_April2'!AB65,'[1]14- All_India_Index_Upto_April2'!AE65)</f>
        <v>227</v>
      </c>
      <c r="M65" s="9">
        <f>'[1]14- All_India_Index_Upto_April2'!AF65</f>
        <v>121</v>
      </c>
    </row>
    <row r="66" spans="1:13" hidden="1">
      <c r="A66" s="9" t="str">
        <f>'[1]14- All_India_Index_Upto_April2'!A66</f>
        <v>Urban</v>
      </c>
      <c r="B66" s="9">
        <f>'[1]14- All_India_Index_Upto_April2'!B66</f>
        <v>2014</v>
      </c>
      <c r="C66" s="9" t="str">
        <f>'[1]14- All_India_Index_Upto_April2'!C66</f>
        <v>October</v>
      </c>
      <c r="D66" s="9" t="str">
        <f t="shared" ref="D66:D129" si="2">_xlfn.TEXTJOIN("-",0,C66,B66)</f>
        <v>October-2014</v>
      </c>
      <c r="E66" s="46">
        <f t="shared" ref="E66:E129" si="3">DATEVALUE("1-" &amp;D66)</f>
        <v>41913</v>
      </c>
      <c r="F66" s="9">
        <f>SUM('[1]14- All_India_Index_Upto_April2'!F66:S66)</f>
        <v>1711.8</v>
      </c>
      <c r="G66" s="9">
        <f>SUM('[1]14- All_India_Index_Upto_April2'!T66:V66)</f>
        <v>353.4</v>
      </c>
      <c r="H66" s="9" t="e">
        <f>SUM([1]!_14__All_India_Index_Upto_April2[[#This Row],[Housing new]],[1]!_14__All_India_Index_Upto_April2[[#This Row],[Household goods and services]])</f>
        <v>#REF!</v>
      </c>
      <c r="I66" s="9">
        <f>SUM('[1]14- All_India_Index_Upto_April2'!Z66,'[1]14- All_India_Index_Upto_April2'!AD66)</f>
        <v>222.7</v>
      </c>
      <c r="J66" s="9">
        <f>SUM('[1]14- All_India_Index_Upto_April2'!AA66)</f>
        <v>111</v>
      </c>
      <c r="K66" s="9">
        <f>'[1]14- All_India_Index_Upto_April2'!AC66</f>
        <v>120.2</v>
      </c>
      <c r="L66" s="9">
        <f>SUM('[1]14- All_India_Index_Upto_April2'!AB66,'[1]14- All_India_Index_Upto_April2'!AE66)</f>
        <v>227.3</v>
      </c>
      <c r="M66" s="9">
        <f>'[1]14- All_India_Index_Upto_April2'!AF66</f>
        <v>119.1</v>
      </c>
    </row>
    <row r="67" spans="1:13" hidden="1">
      <c r="A67" s="9" t="str">
        <f>'[1]14- All_India_Index_Upto_April2'!A67</f>
        <v>Rural+Urban</v>
      </c>
      <c r="B67" s="9">
        <f>'[1]14- All_India_Index_Upto_April2'!B67</f>
        <v>2014</v>
      </c>
      <c r="C67" s="9" t="str">
        <f>'[1]14- All_India_Index_Upto_April2'!C67</f>
        <v>October</v>
      </c>
      <c r="D67" s="9" t="str">
        <f t="shared" si="2"/>
        <v>October-2014</v>
      </c>
      <c r="E67" s="46">
        <f t="shared" si="3"/>
        <v>41913</v>
      </c>
      <c r="F67" s="9">
        <f>SUM('[1]14- All_India_Index_Upto_April2'!F67:S67)</f>
        <v>1703.8</v>
      </c>
      <c r="G67" s="9">
        <f>SUM('[1]14- All_India_Index_Upto_April2'!T67:V67)</f>
        <v>360.6</v>
      </c>
      <c r="H67" s="9" t="e">
        <f>SUM([1]!_14__All_India_Index_Upto_April2[[#This Row],[Housing new]],[1]!_14__All_India_Index_Upto_April2[[#This Row],[Household goods and services]])</f>
        <v>#REF!</v>
      </c>
      <c r="I67" s="9">
        <f>SUM('[1]14- All_India_Index_Upto_April2'!Z67,'[1]14- All_India_Index_Upto_April2'!AD67)</f>
        <v>223.89999999999998</v>
      </c>
      <c r="J67" s="9">
        <f>SUM('[1]14- All_India_Index_Upto_April2'!AA67)</f>
        <v>111.8</v>
      </c>
      <c r="K67" s="9">
        <f>'[1]14- All_India_Index_Upto_April2'!AC67</f>
        <v>118.8</v>
      </c>
      <c r="L67" s="9">
        <f>SUM('[1]14- All_India_Index_Upto_April2'!AB67,'[1]14- All_India_Index_Upto_April2'!AE67)</f>
        <v>227.2</v>
      </c>
      <c r="M67" s="9">
        <f>'[1]14- All_India_Index_Upto_April2'!AF67</f>
        <v>120.1</v>
      </c>
    </row>
    <row r="68" spans="1:13" hidden="1">
      <c r="A68" s="9" t="str">
        <f>'[1]14- All_India_Index_Upto_April2'!A68</f>
        <v>Rural</v>
      </c>
      <c r="B68" s="9">
        <f>'[1]14- All_India_Index_Upto_April2'!B68</f>
        <v>2014</v>
      </c>
      <c r="C68" s="9" t="str">
        <f>'[1]14- All_India_Index_Upto_April2'!C68</f>
        <v>November</v>
      </c>
      <c r="D68" s="9" t="str">
        <f t="shared" si="2"/>
        <v>November-2014</v>
      </c>
      <c r="E68" s="46">
        <f t="shared" si="3"/>
        <v>41944</v>
      </c>
      <c r="F68" s="9">
        <f>SUM('[1]14- All_India_Index_Upto_April2'!F68:S68)</f>
        <v>1702.8</v>
      </c>
      <c r="G68" s="9">
        <f>SUM('[1]14- All_India_Index_Upto_April2'!T68:V68)</f>
        <v>366.70000000000005</v>
      </c>
      <c r="H68" s="9" t="e">
        <f>SUM([1]!_14__All_India_Index_Upto_April2[[#This Row],[Housing new]],[1]!_14__All_India_Index_Upto_April2[[#This Row],[Household goods and services]])</f>
        <v>#REF!</v>
      </c>
      <c r="I68" s="9">
        <f>SUM('[1]14- All_India_Index_Upto_April2'!Z68,'[1]14- All_India_Index_Upto_April2'!AD68)</f>
        <v>224.7</v>
      </c>
      <c r="J68" s="9">
        <f>SUM('[1]14- All_India_Index_Upto_April2'!AA68)</f>
        <v>112</v>
      </c>
      <c r="K68" s="9">
        <f>'[1]14- All_India_Index_Upto_April2'!AC68</f>
        <v>117.2</v>
      </c>
      <c r="L68" s="9">
        <f>SUM('[1]14- All_India_Index_Upto_April2'!AB68,'[1]14- All_India_Index_Upto_April2'!AE68)</f>
        <v>227.39999999999998</v>
      </c>
      <c r="M68" s="9">
        <f>'[1]14- All_India_Index_Upto_April2'!AF68</f>
        <v>121.1</v>
      </c>
    </row>
    <row r="69" spans="1:13" hidden="1">
      <c r="A69" s="9" t="str">
        <f>'[1]14- All_India_Index_Upto_April2'!A69</f>
        <v>Urban</v>
      </c>
      <c r="B69" s="9">
        <f>'[1]14- All_India_Index_Upto_April2'!B69</f>
        <v>2014</v>
      </c>
      <c r="C69" s="9" t="str">
        <f>'[1]14- All_India_Index_Upto_April2'!C69</f>
        <v>November</v>
      </c>
      <c r="D69" s="9" t="str">
        <f t="shared" si="2"/>
        <v>November-2014</v>
      </c>
      <c r="E69" s="46">
        <f t="shared" si="3"/>
        <v>41944</v>
      </c>
      <c r="F69" s="9">
        <f>SUM('[1]14- All_India_Index_Upto_April2'!F69:S69)</f>
        <v>1713.6</v>
      </c>
      <c r="G69" s="9">
        <f>SUM('[1]14- All_India_Index_Upto_April2'!T69:V69)</f>
        <v>355.2</v>
      </c>
      <c r="H69" s="9" t="e">
        <f>SUM([1]!_14__All_India_Index_Upto_April2[[#This Row],[Housing new]],[1]!_14__All_India_Index_Upto_April2[[#This Row],[Household goods and services]])</f>
        <v>#REF!</v>
      </c>
      <c r="I69" s="9">
        <f>SUM('[1]14- All_India_Index_Upto_April2'!Z69,'[1]14- All_India_Index_Upto_April2'!AD69)</f>
        <v>222.6</v>
      </c>
      <c r="J69" s="9">
        <f>SUM('[1]14- All_India_Index_Upto_April2'!AA69)</f>
        <v>109.7</v>
      </c>
      <c r="K69" s="9">
        <f>'[1]14- All_India_Index_Upto_April2'!AC69</f>
        <v>120.3</v>
      </c>
      <c r="L69" s="9">
        <f>SUM('[1]14- All_India_Index_Upto_April2'!AB69,'[1]14- All_India_Index_Upto_April2'!AE69)</f>
        <v>227.4</v>
      </c>
      <c r="M69" s="9">
        <f>'[1]14- All_India_Index_Upto_April2'!AF69</f>
        <v>119</v>
      </c>
    </row>
    <row r="70" spans="1:13" hidden="1">
      <c r="A70" s="9" t="str">
        <f>'[1]14- All_India_Index_Upto_April2'!A70</f>
        <v>Rural+Urban</v>
      </c>
      <c r="B70" s="9">
        <f>'[1]14- All_India_Index_Upto_April2'!B70</f>
        <v>2014</v>
      </c>
      <c r="C70" s="9" t="str">
        <f>'[1]14- All_India_Index_Upto_April2'!C70</f>
        <v>November</v>
      </c>
      <c r="D70" s="9" t="str">
        <f t="shared" si="2"/>
        <v>November-2014</v>
      </c>
      <c r="E70" s="46">
        <f t="shared" si="3"/>
        <v>41944</v>
      </c>
      <c r="F70" s="9">
        <f>SUM('[1]14- All_India_Index_Upto_April2'!F70:S70)</f>
        <v>1705.3</v>
      </c>
      <c r="G70" s="9">
        <f>SUM('[1]14- All_India_Index_Upto_April2'!T70:V70)</f>
        <v>362.1</v>
      </c>
      <c r="H70" s="9" t="e">
        <f>SUM([1]!_14__All_India_Index_Upto_April2[[#This Row],[Housing new]],[1]!_14__All_India_Index_Upto_April2[[#This Row],[Household goods and services]])</f>
        <v>#REF!</v>
      </c>
      <c r="I70" s="9">
        <f>SUM('[1]14- All_India_Index_Upto_April2'!Z70,'[1]14- All_India_Index_Upto_April2'!AD70)</f>
        <v>223.89999999999998</v>
      </c>
      <c r="J70" s="9">
        <f>SUM('[1]14- All_India_Index_Upto_April2'!AA70)</f>
        <v>110.8</v>
      </c>
      <c r="K70" s="9">
        <f>'[1]14- All_India_Index_Upto_April2'!AC70</f>
        <v>119</v>
      </c>
      <c r="L70" s="9">
        <f>SUM('[1]14- All_India_Index_Upto_April2'!AB70,'[1]14- All_India_Index_Upto_April2'!AE70)</f>
        <v>227.5</v>
      </c>
      <c r="M70" s="9">
        <f>'[1]14- All_India_Index_Upto_April2'!AF70</f>
        <v>120.1</v>
      </c>
    </row>
    <row r="71" spans="1:13" hidden="1">
      <c r="A71" s="9" t="str">
        <f>'[1]14- All_India_Index_Upto_April2'!A71</f>
        <v>Rural</v>
      </c>
      <c r="B71" s="9">
        <f>'[1]14- All_India_Index_Upto_April2'!B71</f>
        <v>2014</v>
      </c>
      <c r="C71" s="9" t="str">
        <f>'[1]14- All_India_Index_Upto_April2'!C71</f>
        <v>December</v>
      </c>
      <c r="D71" s="9" t="str">
        <f t="shared" si="2"/>
        <v>December-2014</v>
      </c>
      <c r="E71" s="46">
        <f t="shared" si="3"/>
        <v>41974</v>
      </c>
      <c r="F71" s="9">
        <f>SUM('[1]14- All_India_Index_Upto_April2'!F71:S71)</f>
        <v>1691.3</v>
      </c>
      <c r="G71" s="9">
        <f>SUM('[1]14- All_India_Index_Upto_April2'!T71:V71)</f>
        <v>367.7</v>
      </c>
      <c r="H71" s="9" t="e">
        <f>SUM([1]!_14__All_India_Index_Upto_April2[[#This Row],[Housing new]],[1]!_14__All_India_Index_Upto_April2[[#This Row],[Household goods and services]])</f>
        <v>#REF!</v>
      </c>
      <c r="I71" s="9">
        <f>SUM('[1]14- All_India_Index_Upto_April2'!Z71,'[1]14- All_India_Index_Upto_April2'!AD71)</f>
        <v>225.60000000000002</v>
      </c>
      <c r="J71" s="9">
        <f>SUM('[1]14- All_India_Index_Upto_April2'!AA71)</f>
        <v>111.5</v>
      </c>
      <c r="K71" s="9">
        <f>'[1]14- All_India_Index_Upto_April2'!AC71</f>
        <v>117.7</v>
      </c>
      <c r="L71" s="9">
        <f>SUM('[1]14- All_India_Index_Upto_April2'!AB71,'[1]14- All_India_Index_Upto_April2'!AE71)</f>
        <v>227.5</v>
      </c>
      <c r="M71" s="9">
        <f>'[1]14- All_India_Index_Upto_April2'!AF71</f>
        <v>120.3</v>
      </c>
    </row>
    <row r="72" spans="1:13" hidden="1">
      <c r="A72" s="9" t="str">
        <f>'[1]14- All_India_Index_Upto_April2'!A72</f>
        <v>Urban</v>
      </c>
      <c r="B72" s="9">
        <f>'[1]14- All_India_Index_Upto_April2'!B72</f>
        <v>2014</v>
      </c>
      <c r="C72" s="9" t="str">
        <f>'[1]14- All_India_Index_Upto_April2'!C72</f>
        <v>December</v>
      </c>
      <c r="D72" s="9" t="str">
        <f t="shared" si="2"/>
        <v>December-2014</v>
      </c>
      <c r="E72" s="46">
        <f t="shared" si="3"/>
        <v>41974</v>
      </c>
      <c r="F72" s="9">
        <f>SUM('[1]14- All_India_Index_Upto_April2'!F72:S72)</f>
        <v>1703.6</v>
      </c>
      <c r="G72" s="9">
        <f>SUM('[1]14- All_India_Index_Upto_April2'!T72:V72)</f>
        <v>356.5</v>
      </c>
      <c r="H72" s="9" t="e">
        <f>SUM([1]!_14__All_India_Index_Upto_April2[[#This Row],[Housing new]],[1]!_14__All_India_Index_Upto_April2[[#This Row],[Household goods and services]])</f>
        <v>#REF!</v>
      </c>
      <c r="I72" s="9">
        <f>SUM('[1]14- All_India_Index_Upto_April2'!Z72,'[1]14- All_India_Index_Upto_April2'!AD72)</f>
        <v>223.60000000000002</v>
      </c>
      <c r="J72" s="9">
        <f>SUM('[1]14- All_India_Index_Upto_April2'!AA72)</f>
        <v>108.8</v>
      </c>
      <c r="K72" s="9">
        <f>'[1]14- All_India_Index_Upto_April2'!AC72</f>
        <v>120.7</v>
      </c>
      <c r="L72" s="9">
        <f>SUM('[1]14- All_India_Index_Upto_April2'!AB72,'[1]14- All_India_Index_Upto_April2'!AE72)</f>
        <v>227.7</v>
      </c>
      <c r="M72" s="9">
        <f>'[1]14- All_India_Index_Upto_April2'!AF72</f>
        <v>118.4</v>
      </c>
    </row>
    <row r="73" spans="1:13" hidden="1">
      <c r="A73" s="9" t="str">
        <f>'[1]14- All_India_Index_Upto_April2'!A73</f>
        <v>Rural+Urban</v>
      </c>
      <c r="B73" s="9">
        <f>'[1]14- All_India_Index_Upto_April2'!B73</f>
        <v>2014</v>
      </c>
      <c r="C73" s="9" t="str">
        <f>'[1]14- All_India_Index_Upto_April2'!C73</f>
        <v>December</v>
      </c>
      <c r="D73" s="9" t="str">
        <f t="shared" si="2"/>
        <v>December-2014</v>
      </c>
      <c r="E73" s="46">
        <f t="shared" si="3"/>
        <v>41974</v>
      </c>
      <c r="F73" s="9">
        <f>SUM('[1]14- All_India_Index_Upto_April2'!F73:S73)</f>
        <v>1694.6999999999998</v>
      </c>
      <c r="G73" s="9">
        <f>SUM('[1]14- All_India_Index_Upto_April2'!T73:V73)</f>
        <v>363.2</v>
      </c>
      <c r="H73" s="9" t="e">
        <f>SUM([1]!_14__All_India_Index_Upto_April2[[#This Row],[Housing new]],[1]!_14__All_India_Index_Upto_April2[[#This Row],[Household goods and services]])</f>
        <v>#REF!</v>
      </c>
      <c r="I73" s="9">
        <f>SUM('[1]14- All_India_Index_Upto_April2'!Z73,'[1]14- All_India_Index_Upto_April2'!AD73)</f>
        <v>224.89999999999998</v>
      </c>
      <c r="J73" s="9">
        <f>SUM('[1]14- All_India_Index_Upto_April2'!AA73)</f>
        <v>110.1</v>
      </c>
      <c r="K73" s="9">
        <f>'[1]14- All_India_Index_Upto_April2'!AC73</f>
        <v>119.5</v>
      </c>
      <c r="L73" s="9">
        <f>SUM('[1]14- All_India_Index_Upto_April2'!AB73,'[1]14- All_India_Index_Upto_April2'!AE73)</f>
        <v>227.7</v>
      </c>
      <c r="M73" s="9">
        <f>'[1]14- All_India_Index_Upto_April2'!AF73</f>
        <v>119.4</v>
      </c>
    </row>
    <row r="74" spans="1:13" hidden="1">
      <c r="A74" s="9" t="str">
        <f>'[1]14- All_India_Index_Upto_April2'!A74</f>
        <v>Rural</v>
      </c>
      <c r="B74" s="9">
        <f>'[1]14- All_India_Index_Upto_April2'!B74</f>
        <v>2015</v>
      </c>
      <c r="C74" s="9" t="str">
        <f>'[1]14- All_India_Index_Upto_April2'!C74</f>
        <v>January</v>
      </c>
      <c r="D74" s="9" t="str">
        <f t="shared" si="2"/>
        <v>January-2015</v>
      </c>
      <c r="E74" s="46">
        <f t="shared" si="3"/>
        <v>42005</v>
      </c>
      <c r="F74" s="9">
        <f>SUM('[1]14- All_India_Index_Upto_April2'!F74:S74)</f>
        <v>1690.8</v>
      </c>
      <c r="G74" s="9">
        <f>SUM('[1]14- All_India_Index_Upto_April2'!T74:V74)</f>
        <v>370</v>
      </c>
      <c r="H74" s="9" t="e">
        <f>SUM([1]!_14__All_India_Index_Upto_April2[[#This Row],[Housing new]],[1]!_14__All_India_Index_Upto_April2[[#This Row],[Household goods and services]])</f>
        <v>#REF!</v>
      </c>
      <c r="I74" s="9">
        <f>SUM('[1]14- All_India_Index_Upto_April2'!Z74,'[1]14- All_India_Index_Upto_April2'!AD74)</f>
        <v>226.8</v>
      </c>
      <c r="J74" s="9">
        <f>SUM('[1]14- All_India_Index_Upto_April2'!AA74)</f>
        <v>111</v>
      </c>
      <c r="K74" s="9">
        <f>'[1]14- All_India_Index_Upto_April2'!AC74</f>
        <v>118.2</v>
      </c>
      <c r="L74" s="9">
        <f>SUM('[1]14- All_India_Index_Upto_April2'!AB74,'[1]14- All_India_Index_Upto_April2'!AE74)</f>
        <v>228.5</v>
      </c>
      <c r="M74" s="9">
        <f>'[1]14- All_India_Index_Upto_April2'!AF74</f>
        <v>120.3</v>
      </c>
    </row>
    <row r="75" spans="1:13" hidden="1">
      <c r="A75" s="9" t="str">
        <f>'[1]14- All_India_Index_Upto_April2'!A75</f>
        <v>Urban</v>
      </c>
      <c r="B75" s="9">
        <f>'[1]14- All_India_Index_Upto_April2'!B75</f>
        <v>2015</v>
      </c>
      <c r="C75" s="9" t="str">
        <f>'[1]14- All_India_Index_Upto_April2'!C75</f>
        <v>January</v>
      </c>
      <c r="D75" s="9" t="str">
        <f t="shared" si="2"/>
        <v>January-2015</v>
      </c>
      <c r="E75" s="46">
        <f t="shared" si="3"/>
        <v>42005</v>
      </c>
      <c r="F75" s="9">
        <f>SUM('[1]14- All_India_Index_Upto_April2'!F75:S75)</f>
        <v>1702.3</v>
      </c>
      <c r="G75" s="9">
        <f>SUM('[1]14- All_India_Index_Upto_April2'!T75:V75)</f>
        <v>357.3</v>
      </c>
      <c r="H75" s="9" t="e">
        <f>SUM([1]!_14__All_India_Index_Upto_April2[[#This Row],[Housing new]],[1]!_14__All_India_Index_Upto_April2[[#This Row],[Household goods and services]])</f>
        <v>#REF!</v>
      </c>
      <c r="I75" s="9">
        <f>SUM('[1]14- All_India_Index_Upto_April2'!Z75,'[1]14- All_India_Index_Upto_April2'!AD75)</f>
        <v>225.10000000000002</v>
      </c>
      <c r="J75" s="9">
        <f>SUM('[1]14- All_India_Index_Upto_April2'!AA75)</f>
        <v>107.9</v>
      </c>
      <c r="K75" s="9">
        <f>'[1]14- All_India_Index_Upto_April2'!AC75</f>
        <v>120.8</v>
      </c>
      <c r="L75" s="9">
        <f>SUM('[1]14- All_India_Index_Upto_April2'!AB75,'[1]14- All_India_Index_Upto_April2'!AE75)</f>
        <v>228</v>
      </c>
      <c r="M75" s="9">
        <f>'[1]14- All_India_Index_Upto_April2'!AF75</f>
        <v>118.5</v>
      </c>
    </row>
    <row r="76" spans="1:13" hidden="1">
      <c r="A76" s="9" t="str">
        <f>'[1]14- All_India_Index_Upto_April2'!A76</f>
        <v>Rural+Urban</v>
      </c>
      <c r="B76" s="9">
        <f>'[1]14- All_India_Index_Upto_April2'!B76</f>
        <v>2015</v>
      </c>
      <c r="C76" s="9" t="str">
        <f>'[1]14- All_India_Index_Upto_April2'!C76</f>
        <v>January</v>
      </c>
      <c r="D76" s="9" t="str">
        <f t="shared" si="2"/>
        <v>January-2015</v>
      </c>
      <c r="E76" s="46">
        <f t="shared" si="3"/>
        <v>42005</v>
      </c>
      <c r="F76" s="9">
        <f>SUM('[1]14- All_India_Index_Upto_April2'!F76:S76)</f>
        <v>1693.3</v>
      </c>
      <c r="G76" s="9">
        <f>SUM('[1]14- All_India_Index_Upto_April2'!T76:V76)</f>
        <v>364.9</v>
      </c>
      <c r="H76" s="9" t="e">
        <f>SUM([1]!_14__All_India_Index_Upto_April2[[#This Row],[Housing new]],[1]!_14__All_India_Index_Upto_April2[[#This Row],[Household goods and services]])</f>
        <v>#REF!</v>
      </c>
      <c r="I76" s="9">
        <f>SUM('[1]14- All_India_Index_Upto_April2'!Z76,'[1]14- All_India_Index_Upto_April2'!AD76)</f>
        <v>226.2</v>
      </c>
      <c r="J76" s="9">
        <f>SUM('[1]14- All_India_Index_Upto_April2'!AA76)</f>
        <v>109.4</v>
      </c>
      <c r="K76" s="9">
        <f>'[1]14- All_India_Index_Upto_April2'!AC76</f>
        <v>119.7</v>
      </c>
      <c r="L76" s="9">
        <f>SUM('[1]14- All_India_Index_Upto_April2'!AB76,'[1]14- All_India_Index_Upto_April2'!AE76)</f>
        <v>228.3</v>
      </c>
      <c r="M76" s="9">
        <f>'[1]14- All_India_Index_Upto_April2'!AF76</f>
        <v>119.5</v>
      </c>
    </row>
    <row r="77" spans="1:13" hidden="1">
      <c r="A77" s="9" t="str">
        <f>'[1]14- All_India_Index_Upto_April2'!A77</f>
        <v>Rural</v>
      </c>
      <c r="B77" s="9">
        <f>'[1]14- All_India_Index_Upto_April2'!B77</f>
        <v>2015</v>
      </c>
      <c r="C77" s="9" t="str">
        <f>'[1]14- All_India_Index_Upto_April2'!C77</f>
        <v>February</v>
      </c>
      <c r="D77" s="9" t="str">
        <f t="shared" si="2"/>
        <v>February-2015</v>
      </c>
      <c r="E77" s="46">
        <f t="shared" si="3"/>
        <v>42036</v>
      </c>
      <c r="F77" s="9">
        <f>SUM('[1]14- All_India_Index_Upto_April2'!F77:S77)</f>
        <v>1694.7999999999997</v>
      </c>
      <c r="G77" s="9">
        <f>SUM('[1]14- All_India_Index_Upto_April2'!T77:V77)</f>
        <v>373.1</v>
      </c>
      <c r="H77" s="9" t="e">
        <f>SUM([1]!_14__All_India_Index_Upto_April2[[#This Row],[Housing new]],[1]!_14__All_India_Index_Upto_April2[[#This Row],[Household goods and services]])</f>
        <v>#REF!</v>
      </c>
      <c r="I77" s="9">
        <f>SUM('[1]14- All_India_Index_Upto_April2'!Z77,'[1]14- All_India_Index_Upto_April2'!AD77)</f>
        <v>228.5</v>
      </c>
      <c r="J77" s="9">
        <f>SUM('[1]14- All_India_Index_Upto_April2'!AA77)</f>
        <v>110.9</v>
      </c>
      <c r="K77" s="9">
        <f>'[1]14- All_India_Index_Upto_April2'!AC77</f>
        <v>118.7</v>
      </c>
      <c r="L77" s="9">
        <f>SUM('[1]14- All_India_Index_Upto_April2'!AB77,'[1]14- All_India_Index_Upto_April2'!AE77)</f>
        <v>229.8</v>
      </c>
      <c r="M77" s="9">
        <f>'[1]14- All_India_Index_Upto_April2'!AF77</f>
        <v>120.6</v>
      </c>
    </row>
    <row r="78" spans="1:13" hidden="1">
      <c r="A78" s="9" t="str">
        <f>'[1]14- All_India_Index_Upto_April2'!A78</f>
        <v>Urban</v>
      </c>
      <c r="B78" s="9">
        <f>'[1]14- All_India_Index_Upto_April2'!B78</f>
        <v>2015</v>
      </c>
      <c r="C78" s="9" t="str">
        <f>'[1]14- All_India_Index_Upto_April2'!C78</f>
        <v>February</v>
      </c>
      <c r="D78" s="9" t="str">
        <f t="shared" si="2"/>
        <v>February-2015</v>
      </c>
      <c r="E78" s="46">
        <f t="shared" si="3"/>
        <v>42036</v>
      </c>
      <c r="F78" s="9">
        <f>SUM('[1]14- All_India_Index_Upto_April2'!F78:S78)</f>
        <v>1699.2</v>
      </c>
      <c r="G78" s="9">
        <f>SUM('[1]14- All_India_Index_Upto_April2'!T78:V78)</f>
        <v>358.4</v>
      </c>
      <c r="H78" s="9" t="e">
        <f>SUM([1]!_14__All_India_Index_Upto_April2[[#This Row],[Housing new]],[1]!_14__All_India_Index_Upto_April2[[#This Row],[Household goods and services]])</f>
        <v>#REF!</v>
      </c>
      <c r="I78" s="9">
        <f>SUM('[1]14- All_India_Index_Upto_April2'!Z78,'[1]14- All_India_Index_Upto_April2'!AD78)</f>
        <v>225.8</v>
      </c>
      <c r="J78" s="9">
        <f>SUM('[1]14- All_India_Index_Upto_April2'!AA78)</f>
        <v>106.8</v>
      </c>
      <c r="K78" s="9">
        <f>'[1]14- All_India_Index_Upto_April2'!AC78</f>
        <v>120.4</v>
      </c>
      <c r="L78" s="9">
        <f>SUM('[1]14- All_India_Index_Upto_April2'!AB78,'[1]14- All_India_Index_Upto_April2'!AE78)</f>
        <v>228.10000000000002</v>
      </c>
      <c r="M78" s="9">
        <f>'[1]14- All_India_Index_Upto_April2'!AF78</f>
        <v>118.7</v>
      </c>
    </row>
    <row r="79" spans="1:13" hidden="1">
      <c r="A79" s="9" t="str">
        <f>'[1]14- All_India_Index_Upto_April2'!A79</f>
        <v>Rural+Urban</v>
      </c>
      <c r="B79" s="9">
        <f>'[1]14- All_India_Index_Upto_April2'!B79</f>
        <v>2015</v>
      </c>
      <c r="C79" s="9" t="str">
        <f>'[1]14- All_India_Index_Upto_April2'!C79</f>
        <v>February</v>
      </c>
      <c r="D79" s="9" t="str">
        <f t="shared" si="2"/>
        <v>February-2015</v>
      </c>
      <c r="E79" s="46">
        <f t="shared" si="3"/>
        <v>42036</v>
      </c>
      <c r="F79" s="9">
        <f>SUM('[1]14- All_India_Index_Upto_April2'!F79:S79)</f>
        <v>1694.5999999999997</v>
      </c>
      <c r="G79" s="9">
        <f>SUM('[1]14- All_India_Index_Upto_April2'!T79:V79)</f>
        <v>367.2</v>
      </c>
      <c r="H79" s="9" t="e">
        <f>SUM([1]!_14__All_India_Index_Upto_April2[[#This Row],[Housing new]],[1]!_14__All_India_Index_Upto_April2[[#This Row],[Household goods and services]])</f>
        <v>#REF!</v>
      </c>
      <c r="I79" s="9">
        <f>SUM('[1]14- All_India_Index_Upto_April2'!Z79,'[1]14- All_India_Index_Upto_April2'!AD79)</f>
        <v>227.5</v>
      </c>
      <c r="J79" s="9">
        <f>SUM('[1]14- All_India_Index_Upto_April2'!AA79)</f>
        <v>108.7</v>
      </c>
      <c r="K79" s="9">
        <f>'[1]14- All_India_Index_Upto_April2'!AC79</f>
        <v>119.7</v>
      </c>
      <c r="L79" s="9">
        <f>SUM('[1]14- All_India_Index_Upto_April2'!AB79,'[1]14- All_India_Index_Upto_April2'!AE79)</f>
        <v>229</v>
      </c>
      <c r="M79" s="9">
        <f>'[1]14- All_India_Index_Upto_April2'!AF79</f>
        <v>119.7</v>
      </c>
    </row>
    <row r="80" spans="1:13" hidden="1">
      <c r="A80" s="9" t="str">
        <f>'[1]14- All_India_Index_Upto_April2'!A80</f>
        <v>Rural</v>
      </c>
      <c r="B80" s="9">
        <f>'[1]14- All_India_Index_Upto_April2'!B80</f>
        <v>2015</v>
      </c>
      <c r="C80" s="9" t="str">
        <f>'[1]14- All_India_Index_Upto_April2'!C80</f>
        <v>March</v>
      </c>
      <c r="D80" s="9" t="str">
        <f t="shared" si="2"/>
        <v>March-2015</v>
      </c>
      <c r="E80" s="46">
        <f t="shared" si="3"/>
        <v>42064</v>
      </c>
      <c r="F80" s="9">
        <f>SUM('[1]14- All_India_Index_Upto_April2'!F80:S80)</f>
        <v>1696.2</v>
      </c>
      <c r="G80" s="9">
        <f>SUM('[1]14- All_India_Index_Upto_April2'!T80:V80)</f>
        <v>374.4</v>
      </c>
      <c r="H80" s="9" t="e">
        <f>SUM([1]!_14__All_India_Index_Upto_April2[[#This Row],[Housing new]],[1]!_14__All_India_Index_Upto_April2[[#This Row],[Household goods and services]])</f>
        <v>#REF!</v>
      </c>
      <c r="I80" s="9">
        <f>SUM('[1]14- All_India_Index_Upto_April2'!Z80,'[1]14- All_India_Index_Upto_April2'!AD80)</f>
        <v>229</v>
      </c>
      <c r="J80" s="9">
        <f>SUM('[1]14- All_India_Index_Upto_April2'!AA80)</f>
        <v>111.6</v>
      </c>
      <c r="K80" s="9">
        <f>'[1]14- All_India_Index_Upto_April2'!AC80</f>
        <v>119.4</v>
      </c>
      <c r="L80" s="9">
        <f>SUM('[1]14- All_India_Index_Upto_April2'!AB80,'[1]14- All_India_Index_Upto_April2'!AE80)</f>
        <v>231</v>
      </c>
      <c r="M80" s="9">
        <f>'[1]14- All_India_Index_Upto_April2'!AF80</f>
        <v>121.1</v>
      </c>
    </row>
    <row r="81" spans="1:13" hidden="1">
      <c r="A81" s="9" t="str">
        <f>'[1]14- All_India_Index_Upto_April2'!A81</f>
        <v>Urban</v>
      </c>
      <c r="B81" s="9">
        <f>'[1]14- All_India_Index_Upto_April2'!B81</f>
        <v>2015</v>
      </c>
      <c r="C81" s="9" t="str">
        <f>'[1]14- All_India_Index_Upto_April2'!C81</f>
        <v>March</v>
      </c>
      <c r="D81" s="9" t="str">
        <f t="shared" si="2"/>
        <v>March-2015</v>
      </c>
      <c r="E81" s="46">
        <f t="shared" si="3"/>
        <v>42064</v>
      </c>
      <c r="F81" s="9">
        <f>SUM('[1]14- All_India_Index_Upto_April2'!F81:S81)</f>
        <v>1696.8000000000002</v>
      </c>
      <c r="G81" s="9">
        <f>SUM('[1]14- All_India_Index_Upto_April2'!T81:V81)</f>
        <v>359.5</v>
      </c>
      <c r="H81" s="9" t="e">
        <f>SUM([1]!_14__All_India_Index_Upto_April2[[#This Row],[Housing new]],[1]!_14__All_India_Index_Upto_April2[[#This Row],[Household goods and services]])</f>
        <v>#REF!</v>
      </c>
      <c r="I81" s="9">
        <f>SUM('[1]14- All_India_Index_Upto_April2'!Z81,'[1]14- All_India_Index_Upto_April2'!AD81)</f>
        <v>225.6</v>
      </c>
      <c r="J81" s="9">
        <f>SUM('[1]14- All_India_Index_Upto_April2'!AA81)</f>
        <v>108.4</v>
      </c>
      <c r="K81" s="9">
        <f>'[1]14- All_India_Index_Upto_April2'!AC81</f>
        <v>120.6</v>
      </c>
      <c r="L81" s="9">
        <f>SUM('[1]14- All_India_Index_Upto_April2'!AB81,'[1]14- All_India_Index_Upto_April2'!AE81)</f>
        <v>229.2</v>
      </c>
      <c r="M81" s="9">
        <f>'[1]14- All_India_Index_Upto_April2'!AF81</f>
        <v>119.1</v>
      </c>
    </row>
    <row r="82" spans="1:13" hidden="1">
      <c r="A82" s="9" t="str">
        <f>'[1]14- All_India_Index_Upto_April2'!A82</f>
        <v>Rural+Urban</v>
      </c>
      <c r="B82" s="9">
        <f>'[1]14- All_India_Index_Upto_April2'!B82</f>
        <v>2015</v>
      </c>
      <c r="C82" s="9" t="str">
        <f>'[1]14- All_India_Index_Upto_April2'!C82</f>
        <v>March</v>
      </c>
      <c r="D82" s="9" t="str">
        <f t="shared" si="2"/>
        <v>March-2015</v>
      </c>
      <c r="E82" s="46">
        <f t="shared" si="3"/>
        <v>42064</v>
      </c>
      <c r="F82" s="9">
        <f>SUM('[1]14- All_India_Index_Upto_April2'!F82:S82)</f>
        <v>1694.8999999999999</v>
      </c>
      <c r="G82" s="9">
        <f>SUM('[1]14- All_India_Index_Upto_April2'!T82:V82)</f>
        <v>368.4</v>
      </c>
      <c r="H82" s="9" t="e">
        <f>SUM([1]!_14__All_India_Index_Upto_April2[[#This Row],[Housing new]],[1]!_14__All_India_Index_Upto_April2[[#This Row],[Household goods and services]])</f>
        <v>#REF!</v>
      </c>
      <c r="I82" s="9">
        <f>SUM('[1]14- All_India_Index_Upto_April2'!Z82,'[1]14- All_India_Index_Upto_April2'!AD82)</f>
        <v>227.7</v>
      </c>
      <c r="J82" s="9">
        <f>SUM('[1]14- All_India_Index_Upto_April2'!AA82)</f>
        <v>109.9</v>
      </c>
      <c r="K82" s="9">
        <f>'[1]14- All_India_Index_Upto_April2'!AC82</f>
        <v>120.1</v>
      </c>
      <c r="L82" s="9">
        <f>SUM('[1]14- All_India_Index_Upto_April2'!AB82,'[1]14- All_India_Index_Upto_April2'!AE82)</f>
        <v>230.10000000000002</v>
      </c>
      <c r="M82" s="9">
        <f>'[1]14- All_India_Index_Upto_April2'!AF82</f>
        <v>120.2</v>
      </c>
    </row>
    <row r="83" spans="1:13" hidden="1">
      <c r="A83" s="9" t="str">
        <f>'[1]14- All_India_Index_Upto_April2'!A83</f>
        <v>Rural</v>
      </c>
      <c r="B83" s="9">
        <f>'[1]14- All_India_Index_Upto_April2'!B83</f>
        <v>2015</v>
      </c>
      <c r="C83" s="9" t="str">
        <f>'[1]14- All_India_Index_Upto_April2'!C83</f>
        <v>April</v>
      </c>
      <c r="D83" s="9" t="str">
        <f t="shared" si="2"/>
        <v>April-2015</v>
      </c>
      <c r="E83" s="46">
        <f t="shared" si="3"/>
        <v>42095</v>
      </c>
      <c r="F83" s="9">
        <f>SUM('[1]14- All_India_Index_Upto_April2'!F83:S83)</f>
        <v>1702.9</v>
      </c>
      <c r="G83" s="9">
        <f>SUM('[1]14- All_India_Index_Upto_April2'!T83:V83)</f>
        <v>375.7</v>
      </c>
      <c r="H83" s="9" t="e">
        <f>SUM([1]!_14__All_India_Index_Upto_April2[[#This Row],[Housing new]],[1]!_14__All_India_Index_Upto_April2[[#This Row],[Household goods and services]])</f>
        <v>#REF!</v>
      </c>
      <c r="I83" s="9">
        <f>SUM('[1]14- All_India_Index_Upto_April2'!Z83,'[1]14- All_India_Index_Upto_April2'!AD83)</f>
        <v>230.2</v>
      </c>
      <c r="J83" s="9">
        <f>SUM('[1]14- All_India_Index_Upto_April2'!AA83)</f>
        <v>111.9</v>
      </c>
      <c r="K83" s="9">
        <f>'[1]14- All_India_Index_Upto_April2'!AC83</f>
        <v>119.9</v>
      </c>
      <c r="L83" s="9">
        <f>SUM('[1]14- All_India_Index_Upto_April2'!AB83,'[1]14- All_India_Index_Upto_April2'!AE83)</f>
        <v>232.2</v>
      </c>
      <c r="M83" s="9">
        <f>'[1]14- All_India_Index_Upto_April2'!AF83</f>
        <v>121.5</v>
      </c>
    </row>
    <row r="84" spans="1:13" hidden="1">
      <c r="A84" s="9" t="str">
        <f>'[1]14- All_India_Index_Upto_April2'!A84</f>
        <v>Urban</v>
      </c>
      <c r="B84" s="9">
        <f>'[1]14- All_India_Index_Upto_April2'!B84</f>
        <v>2015</v>
      </c>
      <c r="C84" s="9" t="str">
        <f>'[1]14- All_India_Index_Upto_April2'!C84</f>
        <v>April</v>
      </c>
      <c r="D84" s="9" t="str">
        <f t="shared" si="2"/>
        <v>April-2015</v>
      </c>
      <c r="E84" s="46">
        <f t="shared" si="3"/>
        <v>42095</v>
      </c>
      <c r="F84" s="9">
        <f>SUM('[1]14- All_India_Index_Upto_April2'!F84:S84)</f>
        <v>1706.1999999999998</v>
      </c>
      <c r="G84" s="9">
        <f>SUM('[1]14- All_India_Index_Upto_April2'!T84:V84)</f>
        <v>360.6</v>
      </c>
      <c r="H84" s="9" t="e">
        <f>SUM([1]!_14__All_India_Index_Upto_April2[[#This Row],[Housing new]],[1]!_14__All_India_Index_Upto_April2[[#This Row],[Household goods and services]])</f>
        <v>#REF!</v>
      </c>
      <c r="I84" s="9">
        <f>SUM('[1]14- All_India_Index_Upto_April2'!Z84,'[1]14- All_India_Index_Upto_April2'!AD84)</f>
        <v>226.39999999999998</v>
      </c>
      <c r="J84" s="9">
        <f>SUM('[1]14- All_India_Index_Upto_April2'!AA84)</f>
        <v>108.4</v>
      </c>
      <c r="K84" s="9">
        <f>'[1]14- All_India_Index_Upto_April2'!AC84</f>
        <v>121.7</v>
      </c>
      <c r="L84" s="9">
        <f>SUM('[1]14- All_India_Index_Upto_April2'!AB84,'[1]14- All_India_Index_Upto_April2'!AE84)</f>
        <v>229.8</v>
      </c>
      <c r="M84" s="9">
        <f>'[1]14- All_India_Index_Upto_April2'!AF84</f>
        <v>119.7</v>
      </c>
    </row>
    <row r="85" spans="1:13" hidden="1">
      <c r="A85" s="9" t="str">
        <f>'[1]14- All_India_Index_Upto_April2'!A85</f>
        <v>Rural+Urban</v>
      </c>
      <c r="B85" s="9">
        <f>'[1]14- All_India_Index_Upto_April2'!B85</f>
        <v>2015</v>
      </c>
      <c r="C85" s="9" t="str">
        <f>'[1]14- All_India_Index_Upto_April2'!C85</f>
        <v>April</v>
      </c>
      <c r="D85" s="9" t="str">
        <f t="shared" si="2"/>
        <v>April-2015</v>
      </c>
      <c r="E85" s="46">
        <f t="shared" si="3"/>
        <v>42095</v>
      </c>
      <c r="F85" s="9">
        <f>SUM('[1]14- All_India_Index_Upto_April2'!F85:S85)</f>
        <v>1702.6000000000001</v>
      </c>
      <c r="G85" s="9">
        <f>SUM('[1]14- All_India_Index_Upto_April2'!T85:V85)</f>
        <v>369.6</v>
      </c>
      <c r="H85" s="9" t="e">
        <f>SUM([1]!_14__All_India_Index_Upto_April2[[#This Row],[Housing new]],[1]!_14__All_India_Index_Upto_April2[[#This Row],[Household goods and services]])</f>
        <v>#REF!</v>
      </c>
      <c r="I85" s="9">
        <f>SUM('[1]14- All_India_Index_Upto_April2'!Z85,'[1]14- All_India_Index_Upto_April2'!AD85)</f>
        <v>228.8</v>
      </c>
      <c r="J85" s="9">
        <f>SUM('[1]14- All_India_Index_Upto_April2'!AA85)</f>
        <v>110.1</v>
      </c>
      <c r="K85" s="9">
        <f>'[1]14- All_India_Index_Upto_April2'!AC85</f>
        <v>121</v>
      </c>
      <c r="L85" s="9">
        <f>SUM('[1]14- All_India_Index_Upto_April2'!AB85,'[1]14- All_India_Index_Upto_April2'!AE85)</f>
        <v>231</v>
      </c>
      <c r="M85" s="9">
        <f>'[1]14- All_India_Index_Upto_April2'!AF85</f>
        <v>120.7</v>
      </c>
    </row>
    <row r="86" spans="1:13" hidden="1">
      <c r="A86" s="9" t="str">
        <f>'[1]14- All_India_Index_Upto_April2'!A86</f>
        <v>Rural</v>
      </c>
      <c r="B86" s="9">
        <f>'[1]14- All_India_Index_Upto_April2'!B86</f>
        <v>2015</v>
      </c>
      <c r="C86" s="9" t="str">
        <f>'[1]14- All_India_Index_Upto_April2'!C86</f>
        <v>May</v>
      </c>
      <c r="D86" s="9" t="str">
        <f t="shared" si="2"/>
        <v>May-2015</v>
      </c>
      <c r="E86" s="46">
        <f t="shared" si="3"/>
        <v>42125</v>
      </c>
      <c r="F86" s="9">
        <f>SUM('[1]14- All_India_Index_Upto_April2'!F86:S86)</f>
        <v>1714.4</v>
      </c>
      <c r="G86" s="9">
        <f>SUM('[1]14- All_India_Index_Upto_April2'!T86:V86)</f>
        <v>378.2</v>
      </c>
      <c r="H86" s="9" t="e">
        <f>SUM([1]!_14__All_India_Index_Upto_April2[[#This Row],[Housing new]],[1]!_14__All_India_Index_Upto_April2[[#This Row],[Household goods and services]])</f>
        <v>#REF!</v>
      </c>
      <c r="I86" s="9">
        <f>SUM('[1]14- All_India_Index_Upto_April2'!Z86,'[1]14- All_India_Index_Upto_April2'!AD86)</f>
        <v>231.7</v>
      </c>
      <c r="J86" s="9">
        <f>SUM('[1]14- All_India_Index_Upto_April2'!AA86)</f>
        <v>113.3</v>
      </c>
      <c r="K86" s="9">
        <f>'[1]14- All_India_Index_Upto_April2'!AC86</f>
        <v>120.5</v>
      </c>
      <c r="L86" s="9">
        <f>SUM('[1]14- All_India_Index_Upto_April2'!AB86,'[1]14- All_India_Index_Upto_April2'!AE86)</f>
        <v>233.60000000000002</v>
      </c>
      <c r="M86" s="9">
        <f>'[1]14- All_India_Index_Upto_April2'!AF86</f>
        <v>122.4</v>
      </c>
    </row>
    <row r="87" spans="1:13" hidden="1">
      <c r="A87" s="9" t="str">
        <f>'[1]14- All_India_Index_Upto_April2'!A87</f>
        <v>Urban</v>
      </c>
      <c r="B87" s="9">
        <f>'[1]14- All_India_Index_Upto_April2'!B87</f>
        <v>2015</v>
      </c>
      <c r="C87" s="9" t="str">
        <f>'[1]14- All_India_Index_Upto_April2'!C87</f>
        <v>May</v>
      </c>
      <c r="D87" s="9" t="str">
        <f t="shared" si="2"/>
        <v>May-2015</v>
      </c>
      <c r="E87" s="46">
        <f t="shared" si="3"/>
        <v>42125</v>
      </c>
      <c r="F87" s="9">
        <f>SUM('[1]14- All_India_Index_Upto_April2'!F87:S87)</f>
        <v>1730.2</v>
      </c>
      <c r="G87" s="9">
        <f>SUM('[1]14- All_India_Index_Upto_April2'!T87:V87)</f>
        <v>361.4</v>
      </c>
      <c r="H87" s="9" t="e">
        <f>SUM([1]!_14__All_India_Index_Upto_April2[[#This Row],[Housing new]],[1]!_14__All_India_Index_Upto_April2[[#This Row],[Household goods and services]])</f>
        <v>#REF!</v>
      </c>
      <c r="I87" s="9">
        <f>SUM('[1]14- All_India_Index_Upto_April2'!Z87,'[1]14- All_India_Index_Upto_April2'!AD87)</f>
        <v>227.3</v>
      </c>
      <c r="J87" s="9">
        <f>SUM('[1]14- All_India_Index_Upto_April2'!AA87)</f>
        <v>110.8</v>
      </c>
      <c r="K87" s="9">
        <f>'[1]14- All_India_Index_Upto_April2'!AC87</f>
        <v>122</v>
      </c>
      <c r="L87" s="9">
        <f>SUM('[1]14- All_India_Index_Upto_April2'!AB87,'[1]14- All_India_Index_Upto_April2'!AE87)</f>
        <v>231.2</v>
      </c>
      <c r="M87" s="9">
        <f>'[1]14- All_India_Index_Upto_April2'!AF87</f>
        <v>120.7</v>
      </c>
    </row>
    <row r="88" spans="1:13" hidden="1">
      <c r="A88" s="9" t="str">
        <f>'[1]14- All_India_Index_Upto_April2'!A88</f>
        <v>Rural+Urban</v>
      </c>
      <c r="B88" s="9">
        <f>'[1]14- All_India_Index_Upto_April2'!B88</f>
        <v>2015</v>
      </c>
      <c r="C88" s="9" t="str">
        <f>'[1]14- All_India_Index_Upto_April2'!C88</f>
        <v>May</v>
      </c>
      <c r="D88" s="9" t="str">
        <f t="shared" si="2"/>
        <v>May-2015</v>
      </c>
      <c r="E88" s="46">
        <f t="shared" si="3"/>
        <v>42125</v>
      </c>
      <c r="F88" s="9">
        <f>SUM('[1]14- All_India_Index_Upto_April2'!F88:S88)</f>
        <v>1718.3000000000002</v>
      </c>
      <c r="G88" s="9">
        <f>SUM('[1]14- All_India_Index_Upto_April2'!T88:V88)</f>
        <v>371.4</v>
      </c>
      <c r="H88" s="9" t="e">
        <f>SUM([1]!_14__All_India_Index_Upto_April2[[#This Row],[Housing new]],[1]!_14__All_India_Index_Upto_April2[[#This Row],[Household goods and services]])</f>
        <v>#REF!</v>
      </c>
      <c r="I88" s="9">
        <f>SUM('[1]14- All_India_Index_Upto_April2'!Z88,'[1]14- All_India_Index_Upto_April2'!AD88)</f>
        <v>230</v>
      </c>
      <c r="J88" s="9">
        <f>SUM('[1]14- All_India_Index_Upto_April2'!AA88)</f>
        <v>112</v>
      </c>
      <c r="K88" s="9">
        <f>'[1]14- All_India_Index_Upto_April2'!AC88</f>
        <v>121.4</v>
      </c>
      <c r="L88" s="9">
        <f>SUM('[1]14- All_India_Index_Upto_April2'!AB88,'[1]14- All_India_Index_Upto_April2'!AE88)</f>
        <v>232.39999999999998</v>
      </c>
      <c r="M88" s="9">
        <f>'[1]14- All_India_Index_Upto_April2'!AF88</f>
        <v>121.6</v>
      </c>
    </row>
    <row r="89" spans="1:13" hidden="1">
      <c r="A89" s="9" t="str">
        <f>'[1]14- All_India_Index_Upto_April2'!A89</f>
        <v>Rural</v>
      </c>
      <c r="B89" s="9">
        <f>'[1]14- All_India_Index_Upto_April2'!B89</f>
        <v>2015</v>
      </c>
      <c r="C89" s="9" t="str">
        <f>'[1]14- All_India_Index_Upto_April2'!C89</f>
        <v>June</v>
      </c>
      <c r="D89" s="9" t="str">
        <f t="shared" si="2"/>
        <v>June-2015</v>
      </c>
      <c r="E89" s="46">
        <f t="shared" si="3"/>
        <v>42156</v>
      </c>
      <c r="F89" s="9">
        <f>SUM('[1]14- All_India_Index_Upto_April2'!F89:S89)</f>
        <v>1746.1</v>
      </c>
      <c r="G89" s="9">
        <f>SUM('[1]14- All_India_Index_Upto_April2'!T89:V89)</f>
        <v>381.5</v>
      </c>
      <c r="H89" s="9" t="e">
        <f>SUM([1]!_14__All_India_Index_Upto_April2[[#This Row],[Housing new]],[1]!_14__All_India_Index_Upto_April2[[#This Row],[Household goods and services]])</f>
        <v>#REF!</v>
      </c>
      <c r="I89" s="9">
        <f>SUM('[1]14- All_India_Index_Upto_April2'!Z89,'[1]14- All_India_Index_Upto_April2'!AD89)</f>
        <v>233.4</v>
      </c>
      <c r="J89" s="9">
        <f>SUM('[1]14- All_India_Index_Upto_April2'!AA89)</f>
        <v>114.2</v>
      </c>
      <c r="K89" s="9">
        <f>'[1]14- All_India_Index_Upto_April2'!AC89</f>
        <v>122</v>
      </c>
      <c r="L89" s="9">
        <f>SUM('[1]14- All_India_Index_Upto_April2'!AB89,'[1]14- All_India_Index_Upto_April2'!AE89)</f>
        <v>235.8</v>
      </c>
      <c r="M89" s="9">
        <f>'[1]14- All_India_Index_Upto_April2'!AF89</f>
        <v>124.1</v>
      </c>
    </row>
    <row r="90" spans="1:13" hidden="1">
      <c r="A90" s="9" t="str">
        <f>'[1]14- All_India_Index_Upto_April2'!A90</f>
        <v>Urban</v>
      </c>
      <c r="B90" s="9">
        <f>'[1]14- All_India_Index_Upto_April2'!B90</f>
        <v>2015</v>
      </c>
      <c r="C90" s="9" t="str">
        <f>'[1]14- All_India_Index_Upto_April2'!C90</f>
        <v>June</v>
      </c>
      <c r="D90" s="9" t="str">
        <f t="shared" si="2"/>
        <v>June-2015</v>
      </c>
      <c r="E90" s="46">
        <f t="shared" si="3"/>
        <v>42156</v>
      </c>
      <c r="F90" s="9">
        <f>SUM('[1]14- All_India_Index_Upto_April2'!F90:S90)</f>
        <v>1768.6999999999998</v>
      </c>
      <c r="G90" s="9">
        <f>SUM('[1]14- All_India_Index_Upto_April2'!T90:V90)</f>
        <v>363.1</v>
      </c>
      <c r="H90" s="9" t="e">
        <f>SUM([1]!_14__All_India_Index_Upto_April2[[#This Row],[Housing new]],[1]!_14__All_India_Index_Upto_April2[[#This Row],[Household goods and services]])</f>
        <v>#REF!</v>
      </c>
      <c r="I90" s="9">
        <f>SUM('[1]14- All_India_Index_Upto_April2'!Z90,'[1]14- All_India_Index_Upto_April2'!AD90)</f>
        <v>227.9</v>
      </c>
      <c r="J90" s="9">
        <f>SUM('[1]14- All_India_Index_Upto_April2'!AA90)</f>
        <v>111.7</v>
      </c>
      <c r="K90" s="9">
        <f>'[1]14- All_India_Index_Upto_April2'!AC90</f>
        <v>123.8</v>
      </c>
      <c r="L90" s="9">
        <f>SUM('[1]14- All_India_Index_Upto_April2'!AB90,'[1]14- All_India_Index_Upto_April2'!AE90)</f>
        <v>232.2</v>
      </c>
      <c r="M90" s="9">
        <f>'[1]14- All_India_Index_Upto_April2'!AF90</f>
        <v>121.7</v>
      </c>
    </row>
    <row r="91" spans="1:13" hidden="1">
      <c r="A91" s="9" t="str">
        <f>'[1]14- All_India_Index_Upto_April2'!A91</f>
        <v>Rural+Urban</v>
      </c>
      <c r="B91" s="9">
        <f>'[1]14- All_India_Index_Upto_April2'!B91</f>
        <v>2015</v>
      </c>
      <c r="C91" s="9" t="str">
        <f>'[1]14- All_India_Index_Upto_April2'!C91</f>
        <v>June</v>
      </c>
      <c r="D91" s="9" t="str">
        <f t="shared" si="2"/>
        <v>June-2015</v>
      </c>
      <c r="E91" s="46">
        <f t="shared" si="3"/>
        <v>42156</v>
      </c>
      <c r="F91" s="9">
        <f>SUM('[1]14- All_India_Index_Upto_April2'!F91:S91)</f>
        <v>1752.7</v>
      </c>
      <c r="G91" s="9">
        <f>SUM('[1]14- All_India_Index_Upto_April2'!T91:V91)</f>
        <v>374.1</v>
      </c>
      <c r="H91" s="9" t="e">
        <f>SUM([1]!_14__All_India_Index_Upto_April2[[#This Row],[Housing new]],[1]!_14__All_India_Index_Upto_April2[[#This Row],[Household goods and services]])</f>
        <v>#REF!</v>
      </c>
      <c r="I91" s="9">
        <f>SUM('[1]14- All_India_Index_Upto_April2'!Z91,'[1]14- All_India_Index_Upto_April2'!AD91)</f>
        <v>231.3</v>
      </c>
      <c r="J91" s="9">
        <f>SUM('[1]14- All_India_Index_Upto_April2'!AA91)</f>
        <v>112.9</v>
      </c>
      <c r="K91" s="9">
        <f>'[1]14- All_India_Index_Upto_April2'!AC91</f>
        <v>123.1</v>
      </c>
      <c r="L91" s="9">
        <f>SUM('[1]14- All_India_Index_Upto_April2'!AB91,'[1]14- All_India_Index_Upto_April2'!AE91)</f>
        <v>233.9</v>
      </c>
      <c r="M91" s="9">
        <f>'[1]14- All_India_Index_Upto_April2'!AF91</f>
        <v>123</v>
      </c>
    </row>
    <row r="92" spans="1:13" hidden="1">
      <c r="A92" s="9" t="str">
        <f>'[1]14- All_India_Index_Upto_April2'!A92</f>
        <v>Rural</v>
      </c>
      <c r="B92" s="9">
        <f>'[1]14- All_India_Index_Upto_April2'!B92</f>
        <v>2015</v>
      </c>
      <c r="C92" s="9" t="str">
        <f>'[1]14- All_India_Index_Upto_April2'!C92</f>
        <v>July</v>
      </c>
      <c r="D92" s="9" t="str">
        <f t="shared" si="2"/>
        <v>July-2015</v>
      </c>
      <c r="E92" s="46">
        <f t="shared" si="3"/>
        <v>42186</v>
      </c>
      <c r="F92" s="9">
        <f>SUM('[1]14- All_India_Index_Upto_April2'!F92:S92)</f>
        <v>1754.7</v>
      </c>
      <c r="G92" s="9">
        <f>SUM('[1]14- All_India_Index_Upto_April2'!T92:V92)</f>
        <v>382.6</v>
      </c>
      <c r="H92" s="9" t="e">
        <f>SUM([1]!_14__All_India_Index_Upto_April2[[#This Row],[Housing new]],[1]!_14__All_India_Index_Upto_April2[[#This Row],[Household goods and services]])</f>
        <v>#REF!</v>
      </c>
      <c r="I92" s="9">
        <f>SUM('[1]14- All_India_Index_Upto_April2'!Z92,'[1]14- All_India_Index_Upto_April2'!AD92)</f>
        <v>233.5</v>
      </c>
      <c r="J92" s="9">
        <f>SUM('[1]14- All_India_Index_Upto_April2'!AA92)</f>
        <v>114.1</v>
      </c>
      <c r="K92" s="9">
        <f>'[1]14- All_India_Index_Upto_April2'!AC92</f>
        <v>122.9</v>
      </c>
      <c r="L92" s="9">
        <f>SUM('[1]14- All_India_Index_Upto_April2'!AB92,'[1]14- All_India_Index_Upto_April2'!AE92)</f>
        <v>236.1</v>
      </c>
      <c r="M92" s="9">
        <f>'[1]14- All_India_Index_Upto_April2'!AF92</f>
        <v>124.7</v>
      </c>
    </row>
    <row r="93" spans="1:13" hidden="1">
      <c r="A93" s="9" t="str">
        <f>'[1]14- All_India_Index_Upto_April2'!A93</f>
        <v>Urban</v>
      </c>
      <c r="B93" s="9">
        <f>'[1]14- All_India_Index_Upto_April2'!B93</f>
        <v>2015</v>
      </c>
      <c r="C93" s="9" t="str">
        <f>'[1]14- All_India_Index_Upto_April2'!C93</f>
        <v>July</v>
      </c>
      <c r="D93" s="9" t="str">
        <f t="shared" si="2"/>
        <v>July-2015</v>
      </c>
      <c r="E93" s="46">
        <f t="shared" si="3"/>
        <v>42186</v>
      </c>
      <c r="F93" s="9">
        <f>SUM('[1]14- All_India_Index_Upto_April2'!F93:S93)</f>
        <v>1775.9999999999998</v>
      </c>
      <c r="G93" s="9">
        <f>SUM('[1]14- All_India_Index_Upto_April2'!T93:V93)</f>
        <v>364.1</v>
      </c>
      <c r="H93" s="9" t="e">
        <f>SUM([1]!_14__All_India_Index_Upto_April2[[#This Row],[Housing new]],[1]!_14__All_India_Index_Upto_April2[[#This Row],[Household goods and services]])</f>
        <v>#REF!</v>
      </c>
      <c r="I93" s="9">
        <f>SUM('[1]14- All_India_Index_Upto_April2'!Z93,'[1]14- All_India_Index_Upto_April2'!AD93)</f>
        <v>227.7</v>
      </c>
      <c r="J93" s="9">
        <f>SUM('[1]14- All_India_Index_Upto_April2'!AA93)</f>
        <v>111.5</v>
      </c>
      <c r="K93" s="9">
        <f>'[1]14- All_India_Index_Upto_April2'!AC93</f>
        <v>125.4</v>
      </c>
      <c r="L93" s="9">
        <f>SUM('[1]14- All_India_Index_Upto_April2'!AB93,'[1]14- All_India_Index_Upto_April2'!AE93)</f>
        <v>232.89999999999998</v>
      </c>
      <c r="M93" s="9">
        <f>'[1]14- All_India_Index_Upto_April2'!AF93</f>
        <v>122.4</v>
      </c>
    </row>
    <row r="94" spans="1:13" hidden="1">
      <c r="A94" s="9" t="str">
        <f>'[1]14- All_India_Index_Upto_April2'!A94</f>
        <v>Rural+Urban</v>
      </c>
      <c r="B94" s="9">
        <f>'[1]14- All_India_Index_Upto_April2'!B94</f>
        <v>2015</v>
      </c>
      <c r="C94" s="9" t="str">
        <f>'[1]14- All_India_Index_Upto_April2'!C94</f>
        <v>July</v>
      </c>
      <c r="D94" s="9" t="str">
        <f t="shared" si="2"/>
        <v>July-2015</v>
      </c>
      <c r="E94" s="46">
        <f t="shared" si="3"/>
        <v>42186</v>
      </c>
      <c r="F94" s="9">
        <f>SUM('[1]14- All_India_Index_Upto_April2'!F94:S94)</f>
        <v>1761.0000000000002</v>
      </c>
      <c r="G94" s="9">
        <f>SUM('[1]14- All_India_Index_Upto_April2'!T94:V94)</f>
        <v>375.1</v>
      </c>
      <c r="H94" s="9" t="e">
        <f>SUM([1]!_14__All_India_Index_Upto_April2[[#This Row],[Housing new]],[1]!_14__All_India_Index_Upto_April2[[#This Row],[Household goods and services]])</f>
        <v>#REF!</v>
      </c>
      <c r="I94" s="9">
        <f>SUM('[1]14- All_India_Index_Upto_April2'!Z94,'[1]14- All_India_Index_Upto_April2'!AD94)</f>
        <v>231.3</v>
      </c>
      <c r="J94" s="9">
        <f>SUM('[1]14- All_India_Index_Upto_April2'!AA94)</f>
        <v>112.7</v>
      </c>
      <c r="K94" s="9">
        <f>'[1]14- All_India_Index_Upto_April2'!AC94</f>
        <v>124.4</v>
      </c>
      <c r="L94" s="9">
        <f>SUM('[1]14- All_India_Index_Upto_April2'!AB94,'[1]14- All_India_Index_Upto_April2'!AE94)</f>
        <v>234.4</v>
      </c>
      <c r="M94" s="9">
        <f>'[1]14- All_India_Index_Upto_April2'!AF94</f>
        <v>123.6</v>
      </c>
    </row>
    <row r="95" spans="1:13" hidden="1">
      <c r="A95" s="9" t="str">
        <f>'[1]14- All_India_Index_Upto_April2'!A95</f>
        <v>Rural</v>
      </c>
      <c r="B95" s="9">
        <f>'[1]14- All_India_Index_Upto_April2'!B95</f>
        <v>2015</v>
      </c>
      <c r="C95" s="9" t="str">
        <f>'[1]14- All_India_Index_Upto_April2'!C95</f>
        <v>August</v>
      </c>
      <c r="D95" s="9" t="str">
        <f t="shared" si="2"/>
        <v>August-2015</v>
      </c>
      <c r="E95" s="46">
        <f t="shared" si="3"/>
        <v>42217</v>
      </c>
      <c r="F95" s="9">
        <f>SUM('[1]14- All_India_Index_Upto_April2'!F95:S95)</f>
        <v>1776.6999999999998</v>
      </c>
      <c r="G95" s="9">
        <f>SUM('[1]14- All_India_Index_Upto_April2'!T95:V95)</f>
        <v>384.8</v>
      </c>
      <c r="H95" s="9" t="e">
        <f>SUM([1]!_14__All_India_Index_Upto_April2[[#This Row],[Housing new]],[1]!_14__All_India_Index_Upto_April2[[#This Row],[Household goods and services]])</f>
        <v>#REF!</v>
      </c>
      <c r="I95" s="9">
        <f>SUM('[1]14- All_India_Index_Upto_April2'!Z95,'[1]14- All_India_Index_Upto_April2'!AD95)</f>
        <v>233.6</v>
      </c>
      <c r="J95" s="9">
        <f>SUM('[1]14- All_India_Index_Upto_April2'!AA95)</f>
        <v>113.6</v>
      </c>
      <c r="K95" s="9">
        <f>'[1]14- All_India_Index_Upto_April2'!AC95</f>
        <v>123.6</v>
      </c>
      <c r="L95" s="9">
        <f>SUM('[1]14- All_India_Index_Upto_April2'!AB95,'[1]14- All_India_Index_Upto_April2'!AE95)</f>
        <v>236.7</v>
      </c>
      <c r="M95" s="9">
        <f>'[1]14- All_India_Index_Upto_April2'!AF95</f>
        <v>126.1</v>
      </c>
    </row>
    <row r="96" spans="1:13" hidden="1">
      <c r="A96" s="9" t="str">
        <f>'[1]14- All_India_Index_Upto_April2'!A96</f>
        <v>Urban</v>
      </c>
      <c r="B96" s="9">
        <f>'[1]14- All_India_Index_Upto_April2'!B96</f>
        <v>2015</v>
      </c>
      <c r="C96" s="9" t="str">
        <f>'[1]14- All_India_Index_Upto_April2'!C96</f>
        <v>August</v>
      </c>
      <c r="D96" s="9" t="str">
        <f t="shared" si="2"/>
        <v>August-2015</v>
      </c>
      <c r="E96" s="46">
        <f t="shared" si="3"/>
        <v>42217</v>
      </c>
      <c r="F96" s="9">
        <f>SUM('[1]14- All_India_Index_Upto_April2'!F96:S96)</f>
        <v>1793.1</v>
      </c>
      <c r="G96" s="9">
        <f>SUM('[1]14- All_India_Index_Upto_April2'!T96:V96)</f>
        <v>364.8</v>
      </c>
      <c r="H96" s="9" t="e">
        <f>SUM([1]!_14__All_India_Index_Upto_April2[[#This Row],[Housing new]],[1]!_14__All_India_Index_Upto_April2[[#This Row],[Household goods and services]])</f>
        <v>#REF!</v>
      </c>
      <c r="I96" s="9">
        <f>SUM('[1]14- All_India_Index_Upto_April2'!Z96,'[1]14- All_India_Index_Upto_April2'!AD96)</f>
        <v>228.6</v>
      </c>
      <c r="J96" s="9">
        <f>SUM('[1]14- All_India_Index_Upto_April2'!AA96)</f>
        <v>109.9</v>
      </c>
      <c r="K96" s="9">
        <f>'[1]14- All_India_Index_Upto_April2'!AC96</f>
        <v>126.2</v>
      </c>
      <c r="L96" s="9">
        <f>SUM('[1]14- All_India_Index_Upto_April2'!AB96,'[1]14- All_India_Index_Upto_April2'!AE96)</f>
        <v>233.4</v>
      </c>
      <c r="M96" s="9">
        <f>'[1]14- All_India_Index_Upto_April2'!AF96</f>
        <v>123.2</v>
      </c>
    </row>
    <row r="97" spans="1:13" hidden="1">
      <c r="A97" s="9" t="str">
        <f>'[1]14- All_India_Index_Upto_April2'!A97</f>
        <v>Rural+Urban</v>
      </c>
      <c r="B97" s="9">
        <f>'[1]14- All_India_Index_Upto_April2'!B97</f>
        <v>2015</v>
      </c>
      <c r="C97" s="9" t="str">
        <f>'[1]14- All_India_Index_Upto_April2'!C97</f>
        <v>August</v>
      </c>
      <c r="D97" s="9" t="str">
        <f t="shared" si="2"/>
        <v>August-2015</v>
      </c>
      <c r="E97" s="46">
        <f t="shared" si="3"/>
        <v>42217</v>
      </c>
      <c r="F97" s="9">
        <f>SUM('[1]14- All_India_Index_Upto_April2'!F97:S97)</f>
        <v>1780.8</v>
      </c>
      <c r="G97" s="9">
        <f>SUM('[1]14- All_India_Index_Upto_April2'!T97:V97)</f>
        <v>376.70000000000005</v>
      </c>
      <c r="H97" s="9" t="e">
        <f>SUM([1]!_14__All_India_Index_Upto_April2[[#This Row],[Housing new]],[1]!_14__All_India_Index_Upto_April2[[#This Row],[Household goods and services]])</f>
        <v>#REF!</v>
      </c>
      <c r="I97" s="9">
        <f>SUM('[1]14- All_India_Index_Upto_April2'!Z97,'[1]14- All_India_Index_Upto_April2'!AD97)</f>
        <v>231.7</v>
      </c>
      <c r="J97" s="9">
        <f>SUM('[1]14- All_India_Index_Upto_April2'!AA97)</f>
        <v>111.7</v>
      </c>
      <c r="K97" s="9">
        <f>'[1]14- All_India_Index_Upto_April2'!AC97</f>
        <v>125.1</v>
      </c>
      <c r="L97" s="9">
        <f>SUM('[1]14- All_India_Index_Upto_April2'!AB97,'[1]14- All_India_Index_Upto_April2'!AE97)</f>
        <v>235</v>
      </c>
      <c r="M97" s="9">
        <f>'[1]14- All_India_Index_Upto_April2'!AF97</f>
        <v>124.8</v>
      </c>
    </row>
    <row r="98" spans="1:13" hidden="1">
      <c r="A98" s="9" t="str">
        <f>'[1]14- All_India_Index_Upto_April2'!A98</f>
        <v>Rural</v>
      </c>
      <c r="B98" s="9">
        <f>'[1]14- All_India_Index_Upto_April2'!B98</f>
        <v>2015</v>
      </c>
      <c r="C98" s="9" t="str">
        <f>'[1]14- All_India_Index_Upto_April2'!C98</f>
        <v>September</v>
      </c>
      <c r="D98" s="9" t="str">
        <f t="shared" si="2"/>
        <v>September-2015</v>
      </c>
      <c r="E98" s="46">
        <f t="shared" si="3"/>
        <v>42248</v>
      </c>
      <c r="F98" s="9">
        <f>SUM('[1]14- All_India_Index_Upto_April2'!F98:S98)</f>
        <v>1788.6000000000001</v>
      </c>
      <c r="G98" s="9">
        <f>SUM('[1]14- All_India_Index_Upto_April2'!T98:V98)</f>
        <v>387.1</v>
      </c>
      <c r="H98" s="9" t="e">
        <f>SUM([1]!_14__All_India_Index_Upto_April2[[#This Row],[Housing new]],[1]!_14__All_India_Index_Upto_April2[[#This Row],[Household goods and services]])</f>
        <v>#REF!</v>
      </c>
      <c r="I98" s="9">
        <f>SUM('[1]14- All_India_Index_Upto_April2'!Z98,'[1]14- All_India_Index_Upto_April2'!AD98)</f>
        <v>235.10000000000002</v>
      </c>
      <c r="J98" s="9">
        <f>SUM('[1]14- All_India_Index_Upto_April2'!AA98)</f>
        <v>113.8</v>
      </c>
      <c r="K98" s="9">
        <f>'[1]14- All_India_Index_Upto_April2'!AC98</f>
        <v>124.5</v>
      </c>
      <c r="L98" s="9">
        <f>SUM('[1]14- All_India_Index_Upto_April2'!AB98,'[1]14- All_India_Index_Upto_April2'!AE98)</f>
        <v>238.39999999999998</v>
      </c>
      <c r="M98" s="9">
        <f>'[1]14- All_India_Index_Upto_April2'!AF98</f>
        <v>127</v>
      </c>
    </row>
    <row r="99" spans="1:13" hidden="1">
      <c r="A99" s="9" t="str">
        <f>'[1]14- All_India_Index_Upto_April2'!A99</f>
        <v>Urban</v>
      </c>
      <c r="B99" s="9">
        <f>'[1]14- All_India_Index_Upto_April2'!B99</f>
        <v>2015</v>
      </c>
      <c r="C99" s="9" t="str">
        <f>'[1]14- All_India_Index_Upto_April2'!C99</f>
        <v>September</v>
      </c>
      <c r="D99" s="9" t="str">
        <f t="shared" si="2"/>
        <v>September-2015</v>
      </c>
      <c r="E99" s="46">
        <f t="shared" si="3"/>
        <v>42248</v>
      </c>
      <c r="F99" s="9">
        <f>SUM('[1]14- All_India_Index_Upto_April2'!F99:S99)</f>
        <v>1799.5</v>
      </c>
      <c r="G99" s="9">
        <f>SUM('[1]14- All_India_Index_Upto_April2'!T99:V99)</f>
        <v>365.8</v>
      </c>
      <c r="H99" s="9" t="e">
        <f>SUM([1]!_14__All_India_Index_Upto_April2[[#This Row],[Housing new]],[1]!_14__All_India_Index_Upto_April2[[#This Row],[Household goods and services]])</f>
        <v>#REF!</v>
      </c>
      <c r="I99" s="9">
        <f>SUM('[1]14- All_India_Index_Upto_April2'!Z99,'[1]14- All_India_Index_Upto_April2'!AD99)</f>
        <v>230</v>
      </c>
      <c r="J99" s="9">
        <f>SUM('[1]14- All_India_Index_Upto_April2'!AA99)</f>
        <v>109.1</v>
      </c>
      <c r="K99" s="9">
        <f>'[1]14- All_India_Index_Upto_April2'!AC99</f>
        <v>126.5</v>
      </c>
      <c r="L99" s="9">
        <f>SUM('[1]14- All_India_Index_Upto_April2'!AB99,'[1]14- All_India_Index_Upto_April2'!AE99)</f>
        <v>233.5</v>
      </c>
      <c r="M99" s="9">
        <f>'[1]14- All_India_Index_Upto_April2'!AF99</f>
        <v>123.5</v>
      </c>
    </row>
    <row r="100" spans="1:13" hidden="1">
      <c r="A100" s="9" t="str">
        <f>'[1]14- All_India_Index_Upto_April2'!A100</f>
        <v>Rural+Urban</v>
      </c>
      <c r="B100" s="9">
        <f>'[1]14- All_India_Index_Upto_April2'!B100</f>
        <v>2015</v>
      </c>
      <c r="C100" s="9" t="str">
        <f>'[1]14- All_India_Index_Upto_April2'!C100</f>
        <v>September</v>
      </c>
      <c r="D100" s="9" t="str">
        <f t="shared" si="2"/>
        <v>September-2015</v>
      </c>
      <c r="E100" s="46">
        <f t="shared" si="3"/>
        <v>42248</v>
      </c>
      <c r="F100" s="9">
        <f>SUM('[1]14- All_India_Index_Upto_April2'!F100:S100)</f>
        <v>1790.3000000000002</v>
      </c>
      <c r="G100" s="9">
        <f>SUM('[1]14- All_India_Index_Upto_April2'!T100:V100)</f>
        <v>378.5</v>
      </c>
      <c r="H100" s="9" t="e">
        <f>SUM([1]!_14__All_India_Index_Upto_April2[[#This Row],[Housing new]],[1]!_14__All_India_Index_Upto_April2[[#This Row],[Household goods and services]])</f>
        <v>#REF!</v>
      </c>
      <c r="I100" s="9">
        <f>SUM('[1]14- All_India_Index_Upto_April2'!Z100,'[1]14- All_India_Index_Upto_April2'!AD100)</f>
        <v>233.2</v>
      </c>
      <c r="J100" s="9">
        <f>SUM('[1]14- All_India_Index_Upto_April2'!AA100)</f>
        <v>111.3</v>
      </c>
      <c r="K100" s="9">
        <f>'[1]14- All_India_Index_Upto_April2'!AC100</f>
        <v>125.7</v>
      </c>
      <c r="L100" s="9">
        <f>SUM('[1]14- All_India_Index_Upto_April2'!AB100,'[1]14- All_India_Index_Upto_April2'!AE100)</f>
        <v>235.8</v>
      </c>
      <c r="M100" s="9">
        <f>'[1]14- All_India_Index_Upto_April2'!AF100</f>
        <v>125.4</v>
      </c>
    </row>
    <row r="101" spans="1:13" hidden="1">
      <c r="A101" s="9" t="str">
        <f>'[1]14- All_India_Index_Upto_April2'!A101</f>
        <v>Rural</v>
      </c>
      <c r="B101" s="9">
        <f>'[1]14- All_India_Index_Upto_April2'!B101</f>
        <v>2015</v>
      </c>
      <c r="C101" s="9" t="str">
        <f>'[1]14- All_India_Index_Upto_April2'!C101</f>
        <v>October</v>
      </c>
      <c r="D101" s="9" t="str">
        <f t="shared" si="2"/>
        <v>October-2015</v>
      </c>
      <c r="E101" s="46">
        <f t="shared" si="3"/>
        <v>42278</v>
      </c>
      <c r="F101" s="9">
        <f>SUM('[1]14- All_India_Index_Upto_April2'!F101:S101)</f>
        <v>1806.1</v>
      </c>
      <c r="G101" s="9">
        <f>SUM('[1]14- All_India_Index_Upto_April2'!T101:V101)</f>
        <v>389</v>
      </c>
      <c r="H101" s="9" t="e">
        <f>SUM([1]!_14__All_India_Index_Upto_April2[[#This Row],[Housing new]],[1]!_14__All_India_Index_Upto_April2[[#This Row],[Household goods and services]])</f>
        <v>#REF!</v>
      </c>
      <c r="I101" s="9">
        <f>SUM('[1]14- All_India_Index_Upto_April2'!Z101,'[1]14- All_India_Index_Upto_April2'!AD101)</f>
        <v>236.2</v>
      </c>
      <c r="J101" s="9">
        <f>SUM('[1]14- All_India_Index_Upto_April2'!AA101)</f>
        <v>113.8</v>
      </c>
      <c r="K101" s="9">
        <f>'[1]14- All_India_Index_Upto_April2'!AC101</f>
        <v>125.1</v>
      </c>
      <c r="L101" s="9">
        <f>SUM('[1]14- All_India_Index_Upto_April2'!AB101,'[1]14- All_India_Index_Upto_April2'!AE101)</f>
        <v>239.3</v>
      </c>
      <c r="M101" s="9">
        <f>'[1]14- All_India_Index_Upto_April2'!AF101</f>
        <v>127.7</v>
      </c>
    </row>
    <row r="102" spans="1:13" hidden="1">
      <c r="A102" s="9" t="str">
        <f>'[1]14- All_India_Index_Upto_April2'!A102</f>
        <v>Urban</v>
      </c>
      <c r="B102" s="9">
        <f>'[1]14- All_India_Index_Upto_April2'!B102</f>
        <v>2015</v>
      </c>
      <c r="C102" s="9" t="str">
        <f>'[1]14- All_India_Index_Upto_April2'!C102</f>
        <v>October</v>
      </c>
      <c r="D102" s="9" t="str">
        <f t="shared" si="2"/>
        <v>October-2015</v>
      </c>
      <c r="E102" s="46">
        <f t="shared" si="3"/>
        <v>42278</v>
      </c>
      <c r="F102" s="9">
        <f>SUM('[1]14- All_India_Index_Upto_April2'!F102:S102)</f>
        <v>1828.1000000000001</v>
      </c>
      <c r="G102" s="9">
        <f>SUM('[1]14- All_India_Index_Upto_April2'!T102:V102)</f>
        <v>366.79999999999995</v>
      </c>
      <c r="H102" s="9" t="e">
        <f>SUM([1]!_14__All_India_Index_Upto_April2[[#This Row],[Housing new]],[1]!_14__All_India_Index_Upto_April2[[#This Row],[Household goods and services]])</f>
        <v>#REF!</v>
      </c>
      <c r="I102" s="9">
        <f>SUM('[1]14- All_India_Index_Upto_April2'!Z102,'[1]14- All_India_Index_Upto_April2'!AD102)</f>
        <v>231.2</v>
      </c>
      <c r="J102" s="9">
        <f>SUM('[1]14- All_India_Index_Upto_April2'!AA102)</f>
        <v>109.3</v>
      </c>
      <c r="K102" s="9">
        <f>'[1]14- All_India_Index_Upto_April2'!AC102</f>
        <v>126.5</v>
      </c>
      <c r="L102" s="9">
        <f>SUM('[1]14- All_India_Index_Upto_April2'!AB102,'[1]14- All_India_Index_Upto_April2'!AE102)</f>
        <v>234.2</v>
      </c>
      <c r="M102" s="9">
        <f>'[1]14- All_India_Index_Upto_April2'!AF102</f>
        <v>124.2</v>
      </c>
    </row>
    <row r="103" spans="1:13" hidden="1">
      <c r="A103" s="9" t="str">
        <f>'[1]14- All_India_Index_Upto_April2'!A103</f>
        <v>Rural+Urban</v>
      </c>
      <c r="B103" s="9">
        <f>'[1]14- All_India_Index_Upto_April2'!B103</f>
        <v>2015</v>
      </c>
      <c r="C103" s="9" t="str">
        <f>'[1]14- All_India_Index_Upto_April2'!C103</f>
        <v>October</v>
      </c>
      <c r="D103" s="9" t="str">
        <f t="shared" si="2"/>
        <v>October-2015</v>
      </c>
      <c r="E103" s="46">
        <f t="shared" si="3"/>
        <v>42278</v>
      </c>
      <c r="F103" s="9">
        <f>SUM('[1]14- All_India_Index_Upto_April2'!F103:S103)</f>
        <v>1811.4999999999998</v>
      </c>
      <c r="G103" s="9">
        <f>SUM('[1]14- All_India_Index_Upto_April2'!T103:V103)</f>
        <v>380.1</v>
      </c>
      <c r="H103" s="9" t="e">
        <f>SUM([1]!_14__All_India_Index_Upto_April2[[#This Row],[Housing new]],[1]!_14__All_India_Index_Upto_April2[[#This Row],[Household goods and services]])</f>
        <v>#REF!</v>
      </c>
      <c r="I103" s="9">
        <f>SUM('[1]14- All_India_Index_Upto_April2'!Z103,'[1]14- All_India_Index_Upto_April2'!AD103)</f>
        <v>234.3</v>
      </c>
      <c r="J103" s="9">
        <f>SUM('[1]14- All_India_Index_Upto_April2'!AA103)</f>
        <v>111.4</v>
      </c>
      <c r="K103" s="9">
        <f>'[1]14- All_India_Index_Upto_April2'!AC103</f>
        <v>125.9</v>
      </c>
      <c r="L103" s="9">
        <f>SUM('[1]14- All_India_Index_Upto_April2'!AB103,'[1]14- All_India_Index_Upto_April2'!AE103)</f>
        <v>236.60000000000002</v>
      </c>
      <c r="M103" s="9">
        <f>'[1]14- All_India_Index_Upto_April2'!AF103</f>
        <v>126.1</v>
      </c>
    </row>
    <row r="104" spans="1:13" hidden="1">
      <c r="A104" s="9" t="str">
        <f>'[1]14- All_India_Index_Upto_April2'!A104</f>
        <v>Rural</v>
      </c>
      <c r="B104" s="9">
        <f>'[1]14- All_India_Index_Upto_April2'!B104</f>
        <v>2015</v>
      </c>
      <c r="C104" s="9" t="str">
        <f>'[1]14- All_India_Index_Upto_April2'!C104</f>
        <v>November</v>
      </c>
      <c r="D104" s="9" t="str">
        <f t="shared" si="2"/>
        <v>November-2015</v>
      </c>
      <c r="E104" s="46">
        <f t="shared" si="3"/>
        <v>42309</v>
      </c>
      <c r="F104" s="9">
        <f>SUM('[1]14- All_India_Index_Upto_April2'!F104:S104)</f>
        <v>1818.5</v>
      </c>
      <c r="G104" s="9">
        <f>SUM('[1]14- All_India_Index_Upto_April2'!T104:V104)</f>
        <v>391.79999999999995</v>
      </c>
      <c r="H104" s="9" t="e">
        <f>SUM([1]!_14__All_India_Index_Upto_April2[[#This Row],[Housing new]],[1]!_14__All_India_Index_Upto_April2[[#This Row],[Household goods and services]])</f>
        <v>#REF!</v>
      </c>
      <c r="I104" s="9">
        <f>SUM('[1]14- All_India_Index_Upto_April2'!Z104,'[1]14- All_India_Index_Upto_April2'!AD104)</f>
        <v>236.8</v>
      </c>
      <c r="J104" s="9">
        <f>SUM('[1]14- All_India_Index_Upto_April2'!AA104)</f>
        <v>114</v>
      </c>
      <c r="K104" s="9">
        <f>'[1]14- All_India_Index_Upto_April2'!AC104</f>
        <v>125.8</v>
      </c>
      <c r="L104" s="9">
        <f>SUM('[1]14- All_India_Index_Upto_April2'!AB104,'[1]14- All_India_Index_Upto_April2'!AE104)</f>
        <v>240.5</v>
      </c>
      <c r="M104" s="9">
        <f>'[1]14- All_India_Index_Upto_April2'!AF104</f>
        <v>128.30000000000001</v>
      </c>
    </row>
    <row r="105" spans="1:13" hidden="1">
      <c r="A105" s="9" t="str">
        <f>'[1]14- All_India_Index_Upto_April2'!A105</f>
        <v>Urban</v>
      </c>
      <c r="B105" s="9">
        <f>'[1]14- All_India_Index_Upto_April2'!B105</f>
        <v>2015</v>
      </c>
      <c r="C105" s="9" t="str">
        <f>'[1]14- All_India_Index_Upto_April2'!C105</f>
        <v>November</v>
      </c>
      <c r="D105" s="9" t="str">
        <f t="shared" si="2"/>
        <v>November-2015</v>
      </c>
      <c r="E105" s="46">
        <f t="shared" si="3"/>
        <v>42309</v>
      </c>
      <c r="F105" s="9">
        <f>SUM('[1]14- All_India_Index_Upto_April2'!F105:S105)</f>
        <v>1846.0999999999997</v>
      </c>
      <c r="G105" s="9">
        <f>SUM('[1]14- All_India_Index_Upto_April2'!T105:V105)</f>
        <v>368.5</v>
      </c>
      <c r="H105" s="9" t="e">
        <f>SUM([1]!_14__All_India_Index_Upto_April2[[#This Row],[Housing new]],[1]!_14__All_India_Index_Upto_April2[[#This Row],[Household goods and services]])</f>
        <v>#REF!</v>
      </c>
      <c r="I105" s="9">
        <f>SUM('[1]14- All_India_Index_Upto_April2'!Z105,'[1]14- All_India_Index_Upto_April2'!AD105)</f>
        <v>231.39999999999998</v>
      </c>
      <c r="J105" s="9">
        <f>SUM('[1]14- All_India_Index_Upto_April2'!AA105)</f>
        <v>109.3</v>
      </c>
      <c r="K105" s="9">
        <f>'[1]14- All_India_Index_Upto_April2'!AC105</f>
        <v>126.6</v>
      </c>
      <c r="L105" s="9">
        <f>SUM('[1]14- All_India_Index_Upto_April2'!AB105,'[1]14- All_India_Index_Upto_April2'!AE105)</f>
        <v>234.5</v>
      </c>
      <c r="M105" s="9">
        <f>'[1]14- All_India_Index_Upto_April2'!AF105</f>
        <v>124.6</v>
      </c>
    </row>
    <row r="106" spans="1:13" hidden="1">
      <c r="A106" s="9" t="str">
        <f>'[1]14- All_India_Index_Upto_April2'!A106</f>
        <v>Rural+Urban</v>
      </c>
      <c r="B106" s="9">
        <f>'[1]14- All_India_Index_Upto_April2'!B106</f>
        <v>2015</v>
      </c>
      <c r="C106" s="9" t="str">
        <f>'[1]14- All_India_Index_Upto_April2'!C106</f>
        <v>November</v>
      </c>
      <c r="D106" s="9" t="str">
        <f t="shared" si="2"/>
        <v>November-2015</v>
      </c>
      <c r="E106" s="46">
        <f t="shared" si="3"/>
        <v>42309</v>
      </c>
      <c r="F106" s="9">
        <f>SUM('[1]14- All_India_Index_Upto_April2'!F106:S106)</f>
        <v>1825.6999999999998</v>
      </c>
      <c r="G106" s="9">
        <f>SUM('[1]14- All_India_Index_Upto_April2'!T106:V106)</f>
        <v>382.4</v>
      </c>
      <c r="H106" s="9" t="e">
        <f>SUM([1]!_14__All_India_Index_Upto_April2[[#This Row],[Housing new]],[1]!_14__All_India_Index_Upto_April2[[#This Row],[Household goods and services]])</f>
        <v>#REF!</v>
      </c>
      <c r="I106" s="9">
        <f>SUM('[1]14- All_India_Index_Upto_April2'!Z106,'[1]14- All_India_Index_Upto_April2'!AD106)</f>
        <v>234.7</v>
      </c>
      <c r="J106" s="9">
        <f>SUM('[1]14- All_India_Index_Upto_April2'!AA106)</f>
        <v>111.5</v>
      </c>
      <c r="K106" s="9">
        <f>'[1]14- All_India_Index_Upto_April2'!AC106</f>
        <v>126.3</v>
      </c>
      <c r="L106" s="9">
        <f>SUM('[1]14- All_India_Index_Upto_April2'!AB106,'[1]14- All_India_Index_Upto_April2'!AE106)</f>
        <v>237.3</v>
      </c>
      <c r="M106" s="9">
        <f>'[1]14- All_India_Index_Upto_April2'!AF106</f>
        <v>126.6</v>
      </c>
    </row>
    <row r="107" spans="1:13" hidden="1">
      <c r="A107" s="9" t="str">
        <f>'[1]14- All_India_Index_Upto_April2'!A107</f>
        <v>Rural</v>
      </c>
      <c r="B107" s="9">
        <f>'[1]14- All_India_Index_Upto_April2'!B107</f>
        <v>2015</v>
      </c>
      <c r="C107" s="9" t="str">
        <f>'[1]14- All_India_Index_Upto_April2'!C107</f>
        <v>December</v>
      </c>
      <c r="D107" s="9" t="str">
        <f t="shared" si="2"/>
        <v>December-2015</v>
      </c>
      <c r="E107" s="46">
        <f t="shared" si="3"/>
        <v>42339</v>
      </c>
      <c r="F107" s="9">
        <f>SUM('[1]14- All_India_Index_Upto_April2'!F107:S107)</f>
        <v>1815.4</v>
      </c>
      <c r="G107" s="9">
        <f>SUM('[1]14- All_India_Index_Upto_April2'!T107:V107)</f>
        <v>392.9</v>
      </c>
      <c r="H107" s="9" t="e">
        <f>SUM([1]!_14__All_India_Index_Upto_April2[[#This Row],[Housing new]],[1]!_14__All_India_Index_Upto_April2[[#This Row],[Household goods and services]])</f>
        <v>#REF!</v>
      </c>
      <c r="I107" s="9">
        <f>SUM('[1]14- All_India_Index_Upto_April2'!Z107,'[1]14- All_India_Index_Upto_April2'!AD107)</f>
        <v>237.2</v>
      </c>
      <c r="J107" s="9">
        <f>SUM('[1]14- All_India_Index_Upto_April2'!AA107)</f>
        <v>114</v>
      </c>
      <c r="K107" s="9">
        <f>'[1]14- All_India_Index_Upto_April2'!AC107</f>
        <v>125.6</v>
      </c>
      <c r="L107" s="9">
        <f>SUM('[1]14- All_India_Index_Upto_April2'!AB107,'[1]14- All_India_Index_Upto_April2'!AE107)</f>
        <v>241.39999999999998</v>
      </c>
      <c r="M107" s="9">
        <f>'[1]14- All_India_Index_Upto_April2'!AF107</f>
        <v>127.9</v>
      </c>
    </row>
    <row r="108" spans="1:13" hidden="1">
      <c r="A108" s="9" t="str">
        <f>'[1]14- All_India_Index_Upto_April2'!A108</f>
        <v>Urban</v>
      </c>
      <c r="B108" s="9">
        <f>'[1]14- All_India_Index_Upto_April2'!B108</f>
        <v>2015</v>
      </c>
      <c r="C108" s="9" t="str">
        <f>'[1]14- All_India_Index_Upto_April2'!C108</f>
        <v>December</v>
      </c>
      <c r="D108" s="9" t="str">
        <f t="shared" si="2"/>
        <v>December-2015</v>
      </c>
      <c r="E108" s="46">
        <f t="shared" si="3"/>
        <v>42339</v>
      </c>
      <c r="F108" s="9">
        <f>SUM('[1]14- All_India_Index_Upto_April2'!F108:S108)</f>
        <v>1837</v>
      </c>
      <c r="G108" s="9">
        <f>SUM('[1]14- All_India_Index_Upto_April2'!T108:V108)</f>
        <v>369.4</v>
      </c>
      <c r="H108" s="9" t="e">
        <f>SUM([1]!_14__All_India_Index_Upto_April2[[#This Row],[Housing new]],[1]!_14__All_India_Index_Upto_April2[[#This Row],[Household goods and services]])</f>
        <v>#REF!</v>
      </c>
      <c r="I108" s="9">
        <f>SUM('[1]14- All_India_Index_Upto_April2'!Z108,'[1]14- All_India_Index_Upto_April2'!AD108)</f>
        <v>231.8</v>
      </c>
      <c r="J108" s="9">
        <f>SUM('[1]14- All_India_Index_Upto_April2'!AA108)</f>
        <v>109.3</v>
      </c>
      <c r="K108" s="9">
        <f>'[1]14- All_India_Index_Upto_April2'!AC108</f>
        <v>126.6</v>
      </c>
      <c r="L108" s="9">
        <f>SUM('[1]14- All_India_Index_Upto_April2'!AB108,'[1]14- All_India_Index_Upto_April2'!AE108)</f>
        <v>234.8</v>
      </c>
      <c r="M108" s="9">
        <f>'[1]14- All_India_Index_Upto_April2'!AF108</f>
        <v>124</v>
      </c>
    </row>
    <row r="109" spans="1:13" hidden="1">
      <c r="A109" s="9" t="str">
        <f>'[1]14- All_India_Index_Upto_April2'!A109</f>
        <v>Rural+Urban</v>
      </c>
      <c r="B109" s="9">
        <f>'[1]14- All_India_Index_Upto_April2'!B109</f>
        <v>2015</v>
      </c>
      <c r="C109" s="9" t="str">
        <f>'[1]14- All_India_Index_Upto_April2'!C109</f>
        <v>December</v>
      </c>
      <c r="D109" s="9" t="str">
        <f t="shared" si="2"/>
        <v>December-2015</v>
      </c>
      <c r="E109" s="46">
        <f t="shared" si="3"/>
        <v>42339</v>
      </c>
      <c r="F109" s="9">
        <f>SUM('[1]14- All_India_Index_Upto_April2'!F109:S109)</f>
        <v>1820.6000000000001</v>
      </c>
      <c r="G109" s="9">
        <f>SUM('[1]14- All_India_Index_Upto_April2'!T109:V109)</f>
        <v>383.5</v>
      </c>
      <c r="H109" s="9" t="e">
        <f>SUM([1]!_14__All_India_Index_Upto_April2[[#This Row],[Housing new]],[1]!_14__All_India_Index_Upto_April2[[#This Row],[Household goods and services]])</f>
        <v>#REF!</v>
      </c>
      <c r="I109" s="9">
        <f>SUM('[1]14- All_India_Index_Upto_April2'!Z109,'[1]14- All_India_Index_Upto_April2'!AD109)</f>
        <v>235.10000000000002</v>
      </c>
      <c r="J109" s="9">
        <f>SUM('[1]14- All_India_Index_Upto_April2'!AA109)</f>
        <v>111.5</v>
      </c>
      <c r="K109" s="9">
        <f>'[1]14- All_India_Index_Upto_April2'!AC109</f>
        <v>126.2</v>
      </c>
      <c r="L109" s="9">
        <f>SUM('[1]14- All_India_Index_Upto_April2'!AB109,'[1]14- All_India_Index_Upto_April2'!AE109)</f>
        <v>237.89999999999998</v>
      </c>
      <c r="M109" s="9">
        <f>'[1]14- All_India_Index_Upto_April2'!AF109</f>
        <v>126.1</v>
      </c>
    </row>
    <row r="110" spans="1:13" hidden="1">
      <c r="A110" s="9" t="str">
        <f>'[1]14- All_India_Index_Upto_April2'!A110</f>
        <v>Rural</v>
      </c>
      <c r="B110" s="9">
        <f>'[1]14- All_India_Index_Upto_April2'!B110</f>
        <v>2016</v>
      </c>
      <c r="C110" s="9" t="str">
        <f>'[1]14- All_India_Index_Upto_April2'!C110</f>
        <v>January</v>
      </c>
      <c r="D110" s="9" t="str">
        <f t="shared" si="2"/>
        <v>January-2016</v>
      </c>
      <c r="E110" s="46">
        <f t="shared" si="3"/>
        <v>42370</v>
      </c>
      <c r="F110" s="9">
        <f>SUM('[1]14- All_India_Index_Upto_April2'!F110:S110)</f>
        <v>1823.7</v>
      </c>
      <c r="G110" s="9">
        <f>SUM('[1]14- All_India_Index_Upto_April2'!T110:V110)</f>
        <v>394.70000000000005</v>
      </c>
      <c r="H110" s="9" t="e">
        <f>SUM([1]!_14__All_India_Index_Upto_April2[[#This Row],[Housing new]],[1]!_14__All_India_Index_Upto_April2[[#This Row],[Household goods and services]])</f>
        <v>#REF!</v>
      </c>
      <c r="I110" s="9">
        <f>SUM('[1]14- All_India_Index_Upto_April2'!Z110,'[1]14- All_India_Index_Upto_April2'!AD110)</f>
        <v>238.60000000000002</v>
      </c>
      <c r="J110" s="9">
        <f>SUM('[1]14- All_India_Index_Upto_April2'!AA110)</f>
        <v>113.6</v>
      </c>
      <c r="K110" s="9">
        <f>'[1]14- All_India_Index_Upto_April2'!AC110</f>
        <v>126.2</v>
      </c>
      <c r="L110" s="9">
        <f>SUM('[1]14- All_India_Index_Upto_April2'!AB110,'[1]14- All_India_Index_Upto_April2'!AE110)</f>
        <v>241.5</v>
      </c>
      <c r="M110" s="9">
        <f>'[1]14- All_India_Index_Upto_April2'!AF110</f>
        <v>128.1</v>
      </c>
    </row>
    <row r="111" spans="1:13" hidden="1">
      <c r="A111" s="9" t="str">
        <f>'[1]14- All_India_Index_Upto_April2'!A111</f>
        <v>Urban</v>
      </c>
      <c r="B111" s="9">
        <f>'[1]14- All_India_Index_Upto_April2'!B111</f>
        <v>2016</v>
      </c>
      <c r="C111" s="9" t="str">
        <f>'[1]14- All_India_Index_Upto_April2'!C111</f>
        <v>January</v>
      </c>
      <c r="D111" s="9" t="str">
        <f t="shared" si="2"/>
        <v>January-2016</v>
      </c>
      <c r="E111" s="46">
        <f t="shared" si="3"/>
        <v>42370</v>
      </c>
      <c r="F111" s="9">
        <f>SUM('[1]14- All_India_Index_Upto_April2'!F111:S111)</f>
        <v>1840.9</v>
      </c>
      <c r="G111" s="9">
        <f>SUM('[1]14- All_India_Index_Upto_April2'!T111:V111)</f>
        <v>370.5</v>
      </c>
      <c r="H111" s="9" t="e">
        <f>SUM([1]!_14__All_India_Index_Upto_April2[[#This Row],[Housing new]],[1]!_14__All_India_Index_Upto_April2[[#This Row],[Household goods and services]])</f>
        <v>#REF!</v>
      </c>
      <c r="I111" s="9">
        <f>SUM('[1]14- All_India_Index_Upto_April2'!Z111,'[1]14- All_India_Index_Upto_April2'!AD111)</f>
        <v>233.1</v>
      </c>
      <c r="J111" s="9">
        <f>SUM('[1]14- All_India_Index_Upto_April2'!AA111)</f>
        <v>108.9</v>
      </c>
      <c r="K111" s="9">
        <f>'[1]14- All_India_Index_Upto_April2'!AC111</f>
        <v>126.4</v>
      </c>
      <c r="L111" s="9">
        <f>SUM('[1]14- All_India_Index_Upto_April2'!AB111,'[1]14- All_India_Index_Upto_April2'!AE111)</f>
        <v>235.3</v>
      </c>
      <c r="M111" s="9">
        <f>'[1]14- All_India_Index_Upto_April2'!AF111</f>
        <v>124.2</v>
      </c>
    </row>
    <row r="112" spans="1:13" hidden="1">
      <c r="A112" s="9" t="str">
        <f>'[1]14- All_India_Index_Upto_April2'!A112</f>
        <v>Rural+Urban</v>
      </c>
      <c r="B112" s="9">
        <f>'[1]14- All_India_Index_Upto_April2'!B112</f>
        <v>2016</v>
      </c>
      <c r="C112" s="9" t="str">
        <f>'[1]14- All_India_Index_Upto_April2'!C112</f>
        <v>January</v>
      </c>
      <c r="D112" s="9" t="str">
        <f t="shared" si="2"/>
        <v>January-2016</v>
      </c>
      <c r="E112" s="46">
        <f t="shared" si="3"/>
        <v>42370</v>
      </c>
      <c r="F112" s="9">
        <f>SUM('[1]14- All_India_Index_Upto_April2'!F112:S112)</f>
        <v>1826.9</v>
      </c>
      <c r="G112" s="9">
        <f>SUM('[1]14- All_India_Index_Upto_April2'!T112:V112)</f>
        <v>384.9</v>
      </c>
      <c r="H112" s="9" t="e">
        <f>SUM([1]!_14__All_India_Index_Upto_April2[[#This Row],[Housing new]],[1]!_14__All_India_Index_Upto_April2[[#This Row],[Household goods and services]])</f>
        <v>#REF!</v>
      </c>
      <c r="I112" s="9">
        <f>SUM('[1]14- All_India_Index_Upto_April2'!Z112,'[1]14- All_India_Index_Upto_April2'!AD112)</f>
        <v>236.5</v>
      </c>
      <c r="J112" s="9">
        <f>SUM('[1]14- All_India_Index_Upto_April2'!AA112)</f>
        <v>111.1</v>
      </c>
      <c r="K112" s="9">
        <f>'[1]14- All_India_Index_Upto_April2'!AC112</f>
        <v>126.3</v>
      </c>
      <c r="L112" s="9">
        <f>SUM('[1]14- All_India_Index_Upto_April2'!AB112,'[1]14- All_India_Index_Upto_April2'!AE112)</f>
        <v>238.3</v>
      </c>
      <c r="M112" s="9">
        <f>'[1]14- All_India_Index_Upto_April2'!AF112</f>
        <v>126.3</v>
      </c>
    </row>
    <row r="113" spans="1:13" hidden="1">
      <c r="A113" s="9" t="str">
        <f>'[1]14- All_India_Index_Upto_April2'!A113</f>
        <v>Rural</v>
      </c>
      <c r="B113" s="9">
        <f>'[1]14- All_India_Index_Upto_April2'!B113</f>
        <v>2016</v>
      </c>
      <c r="C113" s="9" t="str">
        <f>'[1]14- All_India_Index_Upto_April2'!C113</f>
        <v>February</v>
      </c>
      <c r="D113" s="9" t="str">
        <f t="shared" si="2"/>
        <v>February-2016</v>
      </c>
      <c r="E113" s="46">
        <f t="shared" si="3"/>
        <v>42401</v>
      </c>
      <c r="F113" s="9">
        <f>SUM('[1]14- All_India_Index_Upto_April2'!F113:S113)</f>
        <v>1817</v>
      </c>
      <c r="G113" s="9">
        <f>SUM('[1]14- All_India_Index_Upto_April2'!T113:V113)</f>
        <v>397.1</v>
      </c>
      <c r="H113" s="9" t="e">
        <f>SUM([1]!_14__All_India_Index_Upto_April2[[#This Row],[Housing new]],[1]!_14__All_India_Index_Upto_April2[[#This Row],[Household goods and services]])</f>
        <v>#REF!</v>
      </c>
      <c r="I113" s="9">
        <f>SUM('[1]14- All_India_Index_Upto_April2'!Z113,'[1]14- All_India_Index_Upto_April2'!AD113)</f>
        <v>241.1</v>
      </c>
      <c r="J113" s="9">
        <f>SUM('[1]14- All_India_Index_Upto_April2'!AA113)</f>
        <v>113.9</v>
      </c>
      <c r="K113" s="9">
        <f>'[1]14- All_India_Index_Upto_April2'!AC113</f>
        <v>127.1</v>
      </c>
      <c r="L113" s="9">
        <f>SUM('[1]14- All_India_Index_Upto_April2'!AB113,'[1]14- All_India_Index_Upto_April2'!AE113)</f>
        <v>243.2</v>
      </c>
      <c r="M113" s="9">
        <f>'[1]14- All_India_Index_Upto_April2'!AF113</f>
        <v>127.9</v>
      </c>
    </row>
    <row r="114" spans="1:13" hidden="1">
      <c r="A114" s="9" t="str">
        <f>'[1]14- All_India_Index_Upto_April2'!A114</f>
        <v>Urban</v>
      </c>
      <c r="B114" s="9">
        <f>'[1]14- All_India_Index_Upto_April2'!B114</f>
        <v>2016</v>
      </c>
      <c r="C114" s="9" t="str">
        <f>'[1]14- All_India_Index_Upto_April2'!C114</f>
        <v>February</v>
      </c>
      <c r="D114" s="9" t="str">
        <f t="shared" si="2"/>
        <v>February-2016</v>
      </c>
      <c r="E114" s="46">
        <f t="shared" si="3"/>
        <v>42401</v>
      </c>
      <c r="F114" s="9">
        <f>SUM('[1]14- All_India_Index_Upto_April2'!F114:S114)</f>
        <v>1816.1</v>
      </c>
      <c r="G114" s="9">
        <f>SUM('[1]14- All_India_Index_Upto_April2'!T114:V114)</f>
        <v>371.6</v>
      </c>
      <c r="H114" s="9" t="e">
        <f>SUM([1]!_14__All_India_Index_Upto_April2[[#This Row],[Housing new]],[1]!_14__All_India_Index_Upto_April2[[#This Row],[Household goods and services]])</f>
        <v>#REF!</v>
      </c>
      <c r="I114" s="9">
        <f>SUM('[1]14- All_India_Index_Upto_April2'!Z114,'[1]14- All_India_Index_Upto_April2'!AD114)</f>
        <v>235.7</v>
      </c>
      <c r="J114" s="9">
        <f>SUM('[1]14- All_India_Index_Upto_April2'!AA114)</f>
        <v>109.1</v>
      </c>
      <c r="K114" s="9">
        <f>'[1]14- All_India_Index_Upto_April2'!AC114</f>
        <v>126.3</v>
      </c>
      <c r="L114" s="9">
        <f>SUM('[1]14- All_India_Index_Upto_April2'!AB114,'[1]14- All_India_Index_Upto_April2'!AE114)</f>
        <v>236</v>
      </c>
      <c r="M114" s="9">
        <f>'[1]14- All_India_Index_Upto_April2'!AF114</f>
        <v>123.8</v>
      </c>
    </row>
    <row r="115" spans="1:13" hidden="1">
      <c r="A115" s="9" t="str">
        <f>'[1]14- All_India_Index_Upto_April2'!A115</f>
        <v>Rural+Urban</v>
      </c>
      <c r="B115" s="9">
        <f>'[1]14- All_India_Index_Upto_April2'!B115</f>
        <v>2016</v>
      </c>
      <c r="C115" s="9" t="str">
        <f>'[1]14- All_India_Index_Upto_April2'!C115</f>
        <v>February</v>
      </c>
      <c r="D115" s="9" t="str">
        <f t="shared" si="2"/>
        <v>February-2016</v>
      </c>
      <c r="E115" s="46">
        <f t="shared" si="3"/>
        <v>42401</v>
      </c>
      <c r="F115" s="9">
        <f>SUM('[1]14- All_India_Index_Upto_April2'!F115:S115)</f>
        <v>1814</v>
      </c>
      <c r="G115" s="9">
        <f>SUM('[1]14- All_India_Index_Upto_April2'!T115:V115)</f>
        <v>386.9</v>
      </c>
      <c r="H115" s="9" t="e">
        <f>SUM([1]!_14__All_India_Index_Upto_April2[[#This Row],[Housing new]],[1]!_14__All_India_Index_Upto_April2[[#This Row],[Household goods and services]])</f>
        <v>#REF!</v>
      </c>
      <c r="I115" s="9">
        <f>SUM('[1]14- All_India_Index_Upto_April2'!Z115,'[1]14- All_India_Index_Upto_April2'!AD115)</f>
        <v>239.1</v>
      </c>
      <c r="J115" s="9">
        <f>SUM('[1]14- All_India_Index_Upto_April2'!AA115)</f>
        <v>111.4</v>
      </c>
      <c r="K115" s="9">
        <f>'[1]14- All_India_Index_Upto_April2'!AC115</f>
        <v>126.6</v>
      </c>
      <c r="L115" s="9">
        <f>SUM('[1]14- All_India_Index_Upto_April2'!AB115,'[1]14- All_India_Index_Upto_April2'!AE115)</f>
        <v>239.39999999999998</v>
      </c>
      <c r="M115" s="9">
        <f>'[1]14- All_India_Index_Upto_April2'!AF115</f>
        <v>126</v>
      </c>
    </row>
    <row r="116" spans="1:13" hidden="1">
      <c r="A116" s="9" t="str">
        <f>'[1]14- All_India_Index_Upto_April2'!A116</f>
        <v>Rural</v>
      </c>
      <c r="B116" s="9">
        <f>'[1]14- All_India_Index_Upto_April2'!B116</f>
        <v>2016</v>
      </c>
      <c r="C116" s="9" t="str">
        <f>'[1]14- All_India_Index_Upto_April2'!C116</f>
        <v>March</v>
      </c>
      <c r="D116" s="9" t="str">
        <f t="shared" si="2"/>
        <v>March-2016</v>
      </c>
      <c r="E116" s="46">
        <f t="shared" si="3"/>
        <v>42430</v>
      </c>
      <c r="F116" s="9">
        <f>SUM('[1]14- All_India_Index_Upto_April2'!F116:S116)</f>
        <v>1817.7000000000003</v>
      </c>
      <c r="G116" s="9">
        <f>SUM('[1]14- All_India_Index_Upto_April2'!T116:V116)</f>
        <v>398.40000000000003</v>
      </c>
      <c r="H116" s="9" t="e">
        <f>SUM([1]!_14__All_India_Index_Upto_April2[[#This Row],[Housing new]],[1]!_14__All_India_Index_Upto_April2[[#This Row],[Household goods and services]])</f>
        <v>#REF!</v>
      </c>
      <c r="I116" s="9">
        <f>SUM('[1]14- All_India_Index_Upto_April2'!Z116,'[1]14- All_India_Index_Upto_April2'!AD116)</f>
        <v>242.2</v>
      </c>
      <c r="J116" s="9">
        <f>SUM('[1]14- All_India_Index_Upto_April2'!AA116)</f>
        <v>113.6</v>
      </c>
      <c r="K116" s="9">
        <f>'[1]14- All_India_Index_Upto_April2'!AC116</f>
        <v>127.5</v>
      </c>
      <c r="L116" s="9">
        <f>SUM('[1]14- All_India_Index_Upto_April2'!AB116,'[1]14- All_India_Index_Upto_April2'!AE116)</f>
        <v>243.6</v>
      </c>
      <c r="M116" s="9">
        <f>'[1]14- All_India_Index_Upto_April2'!AF116</f>
        <v>128</v>
      </c>
    </row>
    <row r="117" spans="1:13" hidden="1">
      <c r="A117" s="9" t="str">
        <f>'[1]14- All_India_Index_Upto_April2'!A117</f>
        <v>Urban</v>
      </c>
      <c r="B117" s="9">
        <f>'[1]14- All_India_Index_Upto_April2'!B117</f>
        <v>2016</v>
      </c>
      <c r="C117" s="9" t="str">
        <f>'[1]14- All_India_Index_Upto_April2'!C117</f>
        <v>March</v>
      </c>
      <c r="D117" s="9" t="str">
        <f t="shared" si="2"/>
        <v>March-2016</v>
      </c>
      <c r="E117" s="46">
        <f t="shared" si="3"/>
        <v>42430</v>
      </c>
      <c r="F117" s="9">
        <f>SUM('[1]14- All_India_Index_Upto_April2'!F117:S117)</f>
        <v>1808.2</v>
      </c>
      <c r="G117" s="9">
        <f>SUM('[1]14- All_India_Index_Upto_April2'!T117:V117)</f>
        <v>372.2</v>
      </c>
      <c r="H117" s="9" t="e">
        <f>SUM([1]!_14__All_India_Index_Upto_April2[[#This Row],[Housing new]],[1]!_14__All_India_Index_Upto_April2[[#This Row],[Household goods and services]])</f>
        <v>#REF!</v>
      </c>
      <c r="I117" s="9">
        <f>SUM('[1]14- All_India_Index_Upto_April2'!Z117,'[1]14- All_India_Index_Upto_April2'!AD117)</f>
        <v>236.8</v>
      </c>
      <c r="J117" s="9">
        <f>SUM('[1]14- All_India_Index_Upto_April2'!AA117)</f>
        <v>108.5</v>
      </c>
      <c r="K117" s="9">
        <f>'[1]14- All_India_Index_Upto_April2'!AC117</f>
        <v>126.4</v>
      </c>
      <c r="L117" s="9">
        <f>SUM('[1]14- All_India_Index_Upto_April2'!AB117,'[1]14- All_India_Index_Upto_April2'!AE117)</f>
        <v>236.39999999999998</v>
      </c>
      <c r="M117" s="9">
        <f>'[1]14- All_India_Index_Upto_April2'!AF117</f>
        <v>123.8</v>
      </c>
    </row>
    <row r="118" spans="1:13" hidden="1">
      <c r="A118" s="9" t="str">
        <f>'[1]14- All_India_Index_Upto_April2'!A118</f>
        <v>Rural+Urban</v>
      </c>
      <c r="B118" s="9">
        <f>'[1]14- All_India_Index_Upto_April2'!B118</f>
        <v>2016</v>
      </c>
      <c r="C118" s="9" t="str">
        <f>'[1]14- All_India_Index_Upto_April2'!C118</f>
        <v>March</v>
      </c>
      <c r="D118" s="9" t="str">
        <f t="shared" si="2"/>
        <v>March-2016</v>
      </c>
      <c r="E118" s="46">
        <f t="shared" si="3"/>
        <v>42430</v>
      </c>
      <c r="F118" s="9">
        <f>SUM('[1]14- All_India_Index_Upto_April2'!F118:S118)</f>
        <v>1811.7</v>
      </c>
      <c r="G118" s="9">
        <f>SUM('[1]14- All_India_Index_Upto_April2'!T118:V118)</f>
        <v>387.9</v>
      </c>
      <c r="H118" s="9" t="e">
        <f>SUM([1]!_14__All_India_Index_Upto_April2[[#This Row],[Housing new]],[1]!_14__All_India_Index_Upto_April2[[#This Row],[Household goods and services]])</f>
        <v>#REF!</v>
      </c>
      <c r="I118" s="9">
        <f>SUM('[1]14- All_India_Index_Upto_April2'!Z118,'[1]14- All_India_Index_Upto_April2'!AD118)</f>
        <v>240.2</v>
      </c>
      <c r="J118" s="9">
        <f>SUM('[1]14- All_India_Index_Upto_April2'!AA118)</f>
        <v>110.9</v>
      </c>
      <c r="K118" s="9">
        <f>'[1]14- All_India_Index_Upto_April2'!AC118</f>
        <v>126.9</v>
      </c>
      <c r="L118" s="9">
        <f>SUM('[1]14- All_India_Index_Upto_April2'!AB118,'[1]14- All_India_Index_Upto_April2'!AE118)</f>
        <v>239.89999999999998</v>
      </c>
      <c r="M118" s="9">
        <f>'[1]14- All_India_Index_Upto_April2'!AF118</f>
        <v>126</v>
      </c>
    </row>
    <row r="119" spans="1:13" hidden="1">
      <c r="A119" s="9" t="str">
        <f>'[1]14- All_India_Index_Upto_April2'!A119</f>
        <v>Rural</v>
      </c>
      <c r="B119" s="9">
        <f>'[1]14- All_India_Index_Upto_April2'!B119</f>
        <v>2016</v>
      </c>
      <c r="C119" s="9" t="str">
        <f>'[1]14- All_India_Index_Upto_April2'!C119</f>
        <v>April</v>
      </c>
      <c r="D119" s="9" t="str">
        <f t="shared" si="2"/>
        <v>April-2016</v>
      </c>
      <c r="E119" s="46">
        <f t="shared" si="3"/>
        <v>42461</v>
      </c>
      <c r="F119" s="9">
        <f>SUM('[1]14- All_India_Index_Upto_April2'!F119:S119)</f>
        <v>1837.1000000000004</v>
      </c>
      <c r="G119" s="9">
        <f>SUM('[1]14- All_India_Index_Upto_April2'!T119:V119)</f>
        <v>400</v>
      </c>
      <c r="H119" s="9" t="e">
        <f>SUM([1]!_14__All_India_Index_Upto_April2[[#This Row],[Housing new]],[1]!_14__All_India_Index_Upto_April2[[#This Row],[Household goods and services]])</f>
        <v>#REF!</v>
      </c>
      <c r="I119" s="9">
        <f>SUM('[1]14- All_India_Index_Upto_April2'!Z119,'[1]14- All_India_Index_Upto_April2'!AD119)</f>
        <v>243.60000000000002</v>
      </c>
      <c r="J119" s="9">
        <f>SUM('[1]14- All_India_Index_Upto_April2'!AA119)</f>
        <v>114.4</v>
      </c>
      <c r="K119" s="9">
        <f>'[1]14- All_India_Index_Upto_April2'!AC119</f>
        <v>127.9</v>
      </c>
      <c r="L119" s="9">
        <f>SUM('[1]14- All_India_Index_Upto_April2'!AB119,'[1]14- All_India_Index_Upto_April2'!AE119)</f>
        <v>244.9</v>
      </c>
      <c r="M119" s="9">
        <f>'[1]14- All_India_Index_Upto_April2'!AF119</f>
        <v>129</v>
      </c>
    </row>
    <row r="120" spans="1:13" hidden="1">
      <c r="A120" s="9" t="str">
        <f>'[1]14- All_India_Index_Upto_April2'!A120</f>
        <v>Urban</v>
      </c>
      <c r="B120" s="9">
        <f>'[1]14- All_India_Index_Upto_April2'!B120</f>
        <v>2016</v>
      </c>
      <c r="C120" s="9" t="str">
        <f>'[1]14- All_India_Index_Upto_April2'!C120</f>
        <v>April</v>
      </c>
      <c r="D120" s="9" t="str">
        <f t="shared" si="2"/>
        <v>April-2016</v>
      </c>
      <c r="E120" s="46">
        <f t="shared" si="3"/>
        <v>42461</v>
      </c>
      <c r="F120" s="9">
        <f>SUM('[1]14- All_India_Index_Upto_April2'!F120:S120)</f>
        <v>1847.8</v>
      </c>
      <c r="G120" s="9">
        <f>SUM('[1]14- All_India_Index_Upto_April2'!T120:V120)</f>
        <v>373.1</v>
      </c>
      <c r="H120" s="9" t="e">
        <f>SUM([1]!_14__All_India_Index_Upto_April2[[#This Row],[Housing new]],[1]!_14__All_India_Index_Upto_April2[[#This Row],[Household goods and services]])</f>
        <v>#REF!</v>
      </c>
      <c r="I120" s="9">
        <f>SUM('[1]14- All_India_Index_Upto_April2'!Z120,'[1]14- All_India_Index_Upto_April2'!AD120)</f>
        <v>237.6</v>
      </c>
      <c r="J120" s="9">
        <f>SUM('[1]14- All_India_Index_Upto_April2'!AA120)</f>
        <v>110</v>
      </c>
      <c r="K120" s="9">
        <f>'[1]14- All_India_Index_Upto_April2'!AC120</f>
        <v>127.6</v>
      </c>
      <c r="L120" s="9">
        <f>SUM('[1]14- All_India_Index_Upto_April2'!AB120,'[1]14- All_India_Index_Upto_April2'!AE120)</f>
        <v>237.7</v>
      </c>
      <c r="M120" s="9">
        <f>'[1]14- All_India_Index_Upto_April2'!AF120</f>
        <v>125.3</v>
      </c>
    </row>
    <row r="121" spans="1:13" hidden="1">
      <c r="A121" s="9" t="str">
        <f>'[1]14- All_India_Index_Upto_April2'!A121</f>
        <v>Rural+Urban</v>
      </c>
      <c r="B121" s="9">
        <f>'[1]14- All_India_Index_Upto_April2'!B121</f>
        <v>2016</v>
      </c>
      <c r="C121" s="9" t="str">
        <f>'[1]14- All_India_Index_Upto_April2'!C121</f>
        <v>April</v>
      </c>
      <c r="D121" s="9" t="str">
        <f t="shared" si="2"/>
        <v>April-2016</v>
      </c>
      <c r="E121" s="46">
        <f t="shared" si="3"/>
        <v>42461</v>
      </c>
      <c r="F121" s="9">
        <f>SUM('[1]14- All_India_Index_Upto_April2'!F121:S121)</f>
        <v>1838.3999999999999</v>
      </c>
      <c r="G121" s="9">
        <f>SUM('[1]14- All_India_Index_Upto_April2'!T121:V121)</f>
        <v>389.20000000000005</v>
      </c>
      <c r="H121" s="9" t="e">
        <f>SUM([1]!_14__All_India_Index_Upto_April2[[#This Row],[Housing new]],[1]!_14__All_India_Index_Upto_April2[[#This Row],[Household goods and services]])</f>
        <v>#REF!</v>
      </c>
      <c r="I121" s="9">
        <f>SUM('[1]14- All_India_Index_Upto_April2'!Z121,'[1]14- All_India_Index_Upto_April2'!AD121)</f>
        <v>241.3</v>
      </c>
      <c r="J121" s="9">
        <f>SUM('[1]14- All_India_Index_Upto_April2'!AA121)</f>
        <v>112.1</v>
      </c>
      <c r="K121" s="9">
        <f>'[1]14- All_India_Index_Upto_April2'!AC121</f>
        <v>127.7</v>
      </c>
      <c r="L121" s="9">
        <f>SUM('[1]14- All_India_Index_Upto_April2'!AB121,'[1]14- All_India_Index_Upto_April2'!AE121)</f>
        <v>241.1</v>
      </c>
      <c r="M121" s="9">
        <f>'[1]14- All_India_Index_Upto_April2'!AF121</f>
        <v>127.3</v>
      </c>
    </row>
    <row r="122" spans="1:13" hidden="1">
      <c r="A122" s="9" t="str">
        <f>'[1]14- All_India_Index_Upto_April2'!A122</f>
        <v>Rural</v>
      </c>
      <c r="B122" s="9">
        <f>'[1]14- All_India_Index_Upto_April2'!B122</f>
        <v>2016</v>
      </c>
      <c r="C122" s="9" t="str">
        <f>'[1]14- All_India_Index_Upto_April2'!C122</f>
        <v>May</v>
      </c>
      <c r="D122" s="9" t="str">
        <f t="shared" si="2"/>
        <v>May-2016</v>
      </c>
      <c r="E122" s="46">
        <f t="shared" si="3"/>
        <v>42491</v>
      </c>
      <c r="F122" s="9">
        <f>SUM('[1]14- All_India_Index_Upto_April2'!F122:S122)</f>
        <v>1859.6999999999998</v>
      </c>
      <c r="G122" s="9">
        <f>SUM('[1]14- All_India_Index_Upto_April2'!T122:V122)</f>
        <v>401.3</v>
      </c>
      <c r="H122" s="9" t="e">
        <f>SUM([1]!_14__All_India_Index_Upto_April2[[#This Row],[Housing new]],[1]!_14__All_India_Index_Upto_April2[[#This Row],[Household goods and services]])</f>
        <v>#REF!</v>
      </c>
      <c r="I122" s="9">
        <f>SUM('[1]14- All_India_Index_Upto_April2'!Z122,'[1]14- All_India_Index_Upto_April2'!AD122)</f>
        <v>245.5</v>
      </c>
      <c r="J122" s="9">
        <f>SUM('[1]14- All_India_Index_Upto_April2'!AA122)</f>
        <v>115.1</v>
      </c>
      <c r="K122" s="9">
        <f>'[1]14- All_India_Index_Upto_April2'!AC122</f>
        <v>129.1</v>
      </c>
      <c r="L122" s="9">
        <f>SUM('[1]14- All_India_Index_Upto_April2'!AB122,'[1]14- All_India_Index_Upto_April2'!AE122)</f>
        <v>246.1</v>
      </c>
      <c r="M122" s="9">
        <f>'[1]14- All_India_Index_Upto_April2'!AF122</f>
        <v>130.30000000000001</v>
      </c>
    </row>
    <row r="123" spans="1:13" hidden="1">
      <c r="A123" s="9" t="str">
        <f>'[1]14- All_India_Index_Upto_April2'!A123</f>
        <v>Urban</v>
      </c>
      <c r="B123" s="9">
        <f>'[1]14- All_India_Index_Upto_April2'!B123</f>
        <v>2016</v>
      </c>
      <c r="C123" s="9" t="str">
        <f>'[1]14- All_India_Index_Upto_April2'!C123</f>
        <v>May</v>
      </c>
      <c r="D123" s="9" t="str">
        <f t="shared" si="2"/>
        <v>May-2016</v>
      </c>
      <c r="E123" s="46">
        <f t="shared" si="3"/>
        <v>42491</v>
      </c>
      <c r="F123" s="9">
        <f>SUM('[1]14- All_India_Index_Upto_April2'!F123:S123)</f>
        <v>1888.9999999999998</v>
      </c>
      <c r="G123" s="9">
        <f>SUM('[1]14- All_India_Index_Upto_April2'!T123:V123)</f>
        <v>374.1</v>
      </c>
      <c r="H123" s="9" t="e">
        <f>SUM([1]!_14__All_India_Index_Upto_April2[[#This Row],[Housing new]],[1]!_14__All_India_Index_Upto_April2[[#This Row],[Household goods and services]])</f>
        <v>#REF!</v>
      </c>
      <c r="I123" s="9">
        <f>SUM('[1]14- All_India_Index_Upto_April2'!Z123,'[1]14- All_India_Index_Upto_April2'!AD123)</f>
        <v>238.8</v>
      </c>
      <c r="J123" s="9">
        <f>SUM('[1]14- All_India_Index_Upto_April2'!AA123)</f>
        <v>110.7</v>
      </c>
      <c r="K123" s="9">
        <f>'[1]14- All_India_Index_Upto_April2'!AC123</f>
        <v>128</v>
      </c>
      <c r="L123" s="9">
        <f>SUM('[1]14- All_India_Index_Upto_April2'!AB123,'[1]14- All_India_Index_Upto_April2'!AE123)</f>
        <v>238.5</v>
      </c>
      <c r="M123" s="9">
        <f>'[1]14- All_India_Index_Upto_April2'!AF123</f>
        <v>126.6</v>
      </c>
    </row>
    <row r="124" spans="1:13" hidden="1">
      <c r="A124" s="9" t="str">
        <f>'[1]14- All_India_Index_Upto_April2'!A124</f>
        <v>Rural+Urban</v>
      </c>
      <c r="B124" s="9">
        <f>'[1]14- All_India_Index_Upto_April2'!B124</f>
        <v>2016</v>
      </c>
      <c r="C124" s="9" t="str">
        <f>'[1]14- All_India_Index_Upto_April2'!C124</f>
        <v>May</v>
      </c>
      <c r="D124" s="9" t="str">
        <f t="shared" si="2"/>
        <v>May-2016</v>
      </c>
      <c r="E124" s="46">
        <f t="shared" si="3"/>
        <v>42491</v>
      </c>
      <c r="F124" s="9">
        <f>SUM('[1]14- All_India_Index_Upto_April2'!F124:S124)</f>
        <v>1868.1000000000001</v>
      </c>
      <c r="G124" s="9">
        <f>SUM('[1]14- All_India_Index_Upto_April2'!T124:V124)</f>
        <v>390.4</v>
      </c>
      <c r="H124" s="9" t="e">
        <f>SUM([1]!_14__All_India_Index_Upto_April2[[#This Row],[Housing new]],[1]!_14__All_India_Index_Upto_April2[[#This Row],[Household goods and services]])</f>
        <v>#REF!</v>
      </c>
      <c r="I124" s="9">
        <f>SUM('[1]14- All_India_Index_Upto_April2'!Z124,'[1]14- All_India_Index_Upto_April2'!AD124)</f>
        <v>242.9</v>
      </c>
      <c r="J124" s="9">
        <f>SUM('[1]14- All_India_Index_Upto_April2'!AA124)</f>
        <v>112.8</v>
      </c>
      <c r="K124" s="9">
        <f>'[1]14- All_India_Index_Upto_April2'!AC124</f>
        <v>128.5</v>
      </c>
      <c r="L124" s="9">
        <f>SUM('[1]14- All_India_Index_Upto_April2'!AB124,'[1]14- All_India_Index_Upto_April2'!AE124)</f>
        <v>242.2</v>
      </c>
      <c r="M124" s="9">
        <f>'[1]14- All_India_Index_Upto_April2'!AF124</f>
        <v>128.6</v>
      </c>
    </row>
    <row r="125" spans="1:13" hidden="1">
      <c r="A125" s="9" t="str">
        <f>'[1]14- All_India_Index_Upto_April2'!A125</f>
        <v>Rural</v>
      </c>
      <c r="B125" s="9">
        <f>'[1]14- All_India_Index_Upto_April2'!B125</f>
        <v>2016</v>
      </c>
      <c r="C125" s="9" t="str">
        <f>'[1]14- All_India_Index_Upto_April2'!C125</f>
        <v>June</v>
      </c>
      <c r="D125" s="9" t="str">
        <f t="shared" si="2"/>
        <v>June-2016</v>
      </c>
      <c r="E125" s="46">
        <f t="shared" si="3"/>
        <v>42522</v>
      </c>
      <c r="F125" s="9">
        <f>SUM('[1]14- All_India_Index_Upto_April2'!F125:S125)</f>
        <v>1885.8</v>
      </c>
      <c r="G125" s="9">
        <f>SUM('[1]14- All_India_Index_Upto_April2'!T125:V125)</f>
        <v>403.5</v>
      </c>
      <c r="H125" s="9" t="e">
        <f>SUM([1]!_14__All_India_Index_Upto_April2[[#This Row],[Housing new]],[1]!_14__All_India_Index_Upto_April2[[#This Row],[Household goods and services]])</f>
        <v>#REF!</v>
      </c>
      <c r="I125" s="9">
        <f>SUM('[1]14- All_India_Index_Upto_April2'!Z125,'[1]14- All_India_Index_Upto_April2'!AD125)</f>
        <v>246.10000000000002</v>
      </c>
      <c r="J125" s="9">
        <f>SUM('[1]14- All_India_Index_Upto_April2'!AA125)</f>
        <v>116.3</v>
      </c>
      <c r="K125" s="9">
        <f>'[1]14- All_India_Index_Upto_April2'!AC125</f>
        <v>130.19999999999999</v>
      </c>
      <c r="L125" s="9">
        <f>SUM('[1]14- All_India_Index_Upto_April2'!AB125,'[1]14- All_India_Index_Upto_April2'!AE125)</f>
        <v>247.39999999999998</v>
      </c>
      <c r="M125" s="9">
        <f>'[1]14- All_India_Index_Upto_April2'!AF125</f>
        <v>131.9</v>
      </c>
    </row>
    <row r="126" spans="1:13" hidden="1">
      <c r="A126" s="9" t="str">
        <f>'[1]14- All_India_Index_Upto_April2'!A126</f>
        <v>Urban</v>
      </c>
      <c r="B126" s="9">
        <f>'[1]14- All_India_Index_Upto_April2'!B126</f>
        <v>2016</v>
      </c>
      <c r="C126" s="9" t="str">
        <f>'[1]14- All_India_Index_Upto_April2'!C126</f>
        <v>June</v>
      </c>
      <c r="D126" s="9" t="str">
        <f t="shared" si="2"/>
        <v>June-2016</v>
      </c>
      <c r="E126" s="46">
        <f t="shared" si="3"/>
        <v>42522</v>
      </c>
      <c r="F126" s="9">
        <f>SUM('[1]14- All_India_Index_Upto_April2'!F126:S126)</f>
        <v>1929.7000000000003</v>
      </c>
      <c r="G126" s="9">
        <f>SUM('[1]14- All_India_Index_Upto_April2'!T126:V126)</f>
        <v>375.29999999999995</v>
      </c>
      <c r="H126" s="9" t="e">
        <f>SUM([1]!_14__All_India_Index_Upto_April2[[#This Row],[Housing new]],[1]!_14__All_India_Index_Upto_April2[[#This Row],[Household goods and services]])</f>
        <v>#REF!</v>
      </c>
      <c r="I126" s="9">
        <f>SUM('[1]14- All_India_Index_Upto_April2'!Z126,'[1]14- All_India_Index_Upto_April2'!AD126)</f>
        <v>239.39999999999998</v>
      </c>
      <c r="J126" s="9">
        <f>SUM('[1]14- All_India_Index_Upto_April2'!AA126)</f>
        <v>112.3</v>
      </c>
      <c r="K126" s="9">
        <f>'[1]14- All_India_Index_Upto_April2'!AC126</f>
        <v>129.30000000000001</v>
      </c>
      <c r="L126" s="9">
        <f>SUM('[1]14- All_India_Index_Upto_April2'!AB126,'[1]14- All_India_Index_Upto_April2'!AE126)</f>
        <v>239.5</v>
      </c>
      <c r="M126" s="9">
        <f>'[1]14- All_India_Index_Upto_April2'!AF126</f>
        <v>128.1</v>
      </c>
    </row>
    <row r="127" spans="1:13" hidden="1">
      <c r="A127" s="9" t="str">
        <f>'[1]14- All_India_Index_Upto_April2'!A127</f>
        <v>Rural+Urban</v>
      </c>
      <c r="B127" s="9">
        <f>'[1]14- All_India_Index_Upto_April2'!B127</f>
        <v>2016</v>
      </c>
      <c r="C127" s="9" t="str">
        <f>'[1]14- All_India_Index_Upto_April2'!C127</f>
        <v>June</v>
      </c>
      <c r="D127" s="9" t="str">
        <f t="shared" si="2"/>
        <v>June-2016</v>
      </c>
      <c r="E127" s="46">
        <f t="shared" si="3"/>
        <v>42522</v>
      </c>
      <c r="F127" s="9">
        <f>SUM('[1]14- All_India_Index_Upto_April2'!F127:S127)</f>
        <v>1899.3</v>
      </c>
      <c r="G127" s="9">
        <f>SUM('[1]14- All_India_Index_Upto_April2'!T127:V127)</f>
        <v>392.1</v>
      </c>
      <c r="H127" s="9" t="e">
        <f>SUM([1]!_14__All_India_Index_Upto_April2[[#This Row],[Housing new]],[1]!_14__All_India_Index_Upto_April2[[#This Row],[Household goods and services]])</f>
        <v>#REF!</v>
      </c>
      <c r="I127" s="9">
        <f>SUM('[1]14- All_India_Index_Upto_April2'!Z127,'[1]14- All_India_Index_Upto_April2'!AD127)</f>
        <v>243.5</v>
      </c>
      <c r="J127" s="9">
        <f>SUM('[1]14- All_India_Index_Upto_April2'!AA127)</f>
        <v>114.2</v>
      </c>
      <c r="K127" s="9">
        <f>'[1]14- All_India_Index_Upto_April2'!AC127</f>
        <v>129.69999999999999</v>
      </c>
      <c r="L127" s="9">
        <f>SUM('[1]14- All_India_Index_Upto_April2'!AB127,'[1]14- All_India_Index_Upto_April2'!AE127)</f>
        <v>243.2</v>
      </c>
      <c r="M127" s="9">
        <f>'[1]14- All_India_Index_Upto_April2'!AF127</f>
        <v>130.1</v>
      </c>
    </row>
    <row r="128" spans="1:13" hidden="1">
      <c r="A128" s="9" t="str">
        <f>'[1]14- All_India_Index_Upto_April2'!A128</f>
        <v>Rural</v>
      </c>
      <c r="B128" s="9">
        <f>'[1]14- All_India_Index_Upto_April2'!B128</f>
        <v>2016</v>
      </c>
      <c r="C128" s="9" t="str">
        <f>'[1]14- All_India_Index_Upto_April2'!C128</f>
        <v>July</v>
      </c>
      <c r="D128" s="9" t="str">
        <f t="shared" si="2"/>
        <v>July-2016</v>
      </c>
      <c r="E128" s="46">
        <f t="shared" si="3"/>
        <v>42552</v>
      </c>
      <c r="F128" s="9">
        <f>SUM('[1]14- All_India_Index_Upto_April2'!F128:S128)</f>
        <v>1908.2999999999997</v>
      </c>
      <c r="G128" s="9">
        <f>SUM('[1]14- All_India_Index_Upto_April2'!T128:V128)</f>
        <v>405.9</v>
      </c>
      <c r="H128" s="9" t="e">
        <f>SUM([1]!_14__All_India_Index_Upto_April2[[#This Row],[Housing new]],[1]!_14__All_India_Index_Upto_April2[[#This Row],[Household goods and services]])</f>
        <v>#REF!</v>
      </c>
      <c r="I128" s="9">
        <f>SUM('[1]14- All_India_Index_Upto_April2'!Z128,'[1]14- All_India_Index_Upto_April2'!AD128)</f>
        <v>247.60000000000002</v>
      </c>
      <c r="J128" s="9">
        <f>SUM('[1]14- All_India_Index_Upto_April2'!AA128)</f>
        <v>116.4</v>
      </c>
      <c r="K128" s="9">
        <f>'[1]14- All_India_Index_Upto_April2'!AC128</f>
        <v>130.80000000000001</v>
      </c>
      <c r="L128" s="9">
        <f>SUM('[1]14- All_India_Index_Upto_April2'!AB128,'[1]14- All_India_Index_Upto_April2'!AE128)</f>
        <v>249</v>
      </c>
      <c r="M128" s="9">
        <f>'[1]14- All_India_Index_Upto_April2'!AF128</f>
        <v>133</v>
      </c>
    </row>
    <row r="129" spans="1:13" hidden="1">
      <c r="A129" s="9" t="str">
        <f>'[1]14- All_India_Index_Upto_April2'!A129</f>
        <v>Urban</v>
      </c>
      <c r="B129" s="9">
        <f>'[1]14- All_India_Index_Upto_April2'!B129</f>
        <v>2016</v>
      </c>
      <c r="C129" s="9" t="str">
        <f>'[1]14- All_India_Index_Upto_April2'!C129</f>
        <v>July</v>
      </c>
      <c r="D129" s="9" t="str">
        <f t="shared" si="2"/>
        <v>July-2016</v>
      </c>
      <c r="E129" s="46">
        <f t="shared" si="3"/>
        <v>42552</v>
      </c>
      <c r="F129" s="9">
        <f>SUM('[1]14- All_India_Index_Upto_April2'!F129:S129)</f>
        <v>1954.4000000000003</v>
      </c>
      <c r="G129" s="9">
        <f>SUM('[1]14- All_India_Index_Upto_April2'!T129:V129)</f>
        <v>375.9</v>
      </c>
      <c r="H129" s="9" t="e">
        <f>SUM([1]!_14__All_India_Index_Upto_April2[[#This Row],[Housing new]],[1]!_14__All_India_Index_Upto_April2[[#This Row],[Household goods and services]])</f>
        <v>#REF!</v>
      </c>
      <c r="I129" s="9">
        <f>SUM('[1]14- All_India_Index_Upto_April2'!Z129,'[1]14- All_India_Index_Upto_April2'!AD129)</f>
        <v>240.9</v>
      </c>
      <c r="J129" s="9">
        <f>SUM('[1]14- All_India_Index_Upto_April2'!AA129)</f>
        <v>111.7</v>
      </c>
      <c r="K129" s="9">
        <f>'[1]14- All_India_Index_Upto_April2'!AC129</f>
        <v>130.80000000000001</v>
      </c>
      <c r="L129" s="9">
        <f>SUM('[1]14- All_India_Index_Upto_April2'!AB129,'[1]14- All_India_Index_Upto_April2'!AE129)</f>
        <v>240.2</v>
      </c>
      <c r="M129" s="9">
        <f>'[1]14- All_India_Index_Upto_April2'!AF129</f>
        <v>129</v>
      </c>
    </row>
    <row r="130" spans="1:13" hidden="1">
      <c r="A130" s="9" t="str">
        <f>'[1]14- All_India_Index_Upto_April2'!A130</f>
        <v>Rural+Urban</v>
      </c>
      <c r="B130" s="9">
        <f>'[1]14- All_India_Index_Upto_April2'!B130</f>
        <v>2016</v>
      </c>
      <c r="C130" s="9" t="str">
        <f>'[1]14- All_India_Index_Upto_April2'!C130</f>
        <v>July</v>
      </c>
      <c r="D130" s="9" t="str">
        <f t="shared" ref="D130:D193" si="4">_xlfn.TEXTJOIN("-",0,C130,B130)</f>
        <v>July-2016</v>
      </c>
      <c r="E130" s="46">
        <f t="shared" ref="E130:E193" si="5">DATEVALUE("1-" &amp;D130)</f>
        <v>42552</v>
      </c>
      <c r="F130" s="9">
        <f>SUM('[1]14- All_India_Index_Upto_April2'!F130:S130)</f>
        <v>1922.8</v>
      </c>
      <c r="G130" s="9">
        <f>SUM('[1]14- All_India_Index_Upto_April2'!T130:V130)</f>
        <v>393.8</v>
      </c>
      <c r="H130" s="9" t="e">
        <f>SUM([1]!_14__All_India_Index_Upto_April2[[#This Row],[Housing new]],[1]!_14__All_India_Index_Upto_April2[[#This Row],[Household goods and services]])</f>
        <v>#REF!</v>
      </c>
      <c r="I130" s="9">
        <f>SUM('[1]14- All_India_Index_Upto_April2'!Z130,'[1]14- All_India_Index_Upto_April2'!AD130)</f>
        <v>245</v>
      </c>
      <c r="J130" s="9">
        <f>SUM('[1]14- All_India_Index_Upto_April2'!AA130)</f>
        <v>113.9</v>
      </c>
      <c r="K130" s="9">
        <f>'[1]14- All_India_Index_Upto_April2'!AC130</f>
        <v>130.80000000000001</v>
      </c>
      <c r="L130" s="9">
        <f>SUM('[1]14- All_India_Index_Upto_April2'!AB130,'[1]14- All_India_Index_Upto_April2'!AE130)</f>
        <v>244.3</v>
      </c>
      <c r="M130" s="9">
        <f>'[1]14- All_India_Index_Upto_April2'!AF130</f>
        <v>131.1</v>
      </c>
    </row>
    <row r="131" spans="1:13" hidden="1">
      <c r="A131" s="9" t="str">
        <f>'[1]14- All_India_Index_Upto_April2'!A131</f>
        <v>Rural</v>
      </c>
      <c r="B131" s="9">
        <f>'[1]14- All_India_Index_Upto_April2'!B131</f>
        <v>2016</v>
      </c>
      <c r="C131" s="9" t="str">
        <f>'[1]14- All_India_Index_Upto_April2'!C131</f>
        <v>August</v>
      </c>
      <c r="D131" s="9" t="str">
        <f t="shared" si="4"/>
        <v>August-2016</v>
      </c>
      <c r="E131" s="46">
        <f t="shared" si="5"/>
        <v>42583</v>
      </c>
      <c r="F131" s="9">
        <f>SUM('[1]14- All_India_Index_Upto_April2'!F131:S131)</f>
        <v>1916.3999999999999</v>
      </c>
      <c r="G131" s="9">
        <f>SUM('[1]14- All_India_Index_Upto_April2'!T131:V131)</f>
        <v>407.9</v>
      </c>
      <c r="H131" s="9" t="e">
        <f>SUM([1]!_14__All_India_Index_Upto_April2[[#This Row],[Housing new]],[1]!_14__All_India_Index_Upto_April2[[#This Row],[Household goods and services]])</f>
        <v>#REF!</v>
      </c>
      <c r="I131" s="9">
        <f>SUM('[1]14- All_India_Index_Upto_April2'!Z131,'[1]14- All_India_Index_Upto_April2'!AD131)</f>
        <v>249</v>
      </c>
      <c r="J131" s="9">
        <f>SUM('[1]14- All_India_Index_Upto_April2'!AA131)</f>
        <v>116</v>
      </c>
      <c r="K131" s="9">
        <f>'[1]14- All_India_Index_Upto_April2'!AC131</f>
        <v>131.9</v>
      </c>
      <c r="L131" s="9">
        <f>SUM('[1]14- All_India_Index_Upto_April2'!AB131,'[1]14- All_India_Index_Upto_April2'!AE131)</f>
        <v>249.7</v>
      </c>
      <c r="M131" s="9">
        <f>'[1]14- All_India_Index_Upto_April2'!AF131</f>
        <v>133.5</v>
      </c>
    </row>
    <row r="132" spans="1:13" hidden="1">
      <c r="A132" s="9" t="str">
        <f>'[1]14- All_India_Index_Upto_April2'!A132</f>
        <v>Urban</v>
      </c>
      <c r="B132" s="9">
        <f>'[1]14- All_India_Index_Upto_April2'!B132</f>
        <v>2016</v>
      </c>
      <c r="C132" s="9" t="str">
        <f>'[1]14- All_India_Index_Upto_April2'!C132</f>
        <v>August</v>
      </c>
      <c r="D132" s="9" t="str">
        <f t="shared" si="4"/>
        <v>August-2016</v>
      </c>
      <c r="E132" s="46">
        <f t="shared" si="5"/>
        <v>42583</v>
      </c>
      <c r="F132" s="9">
        <f>SUM('[1]14- All_India_Index_Upto_April2'!F132:S132)</f>
        <v>1927.5999999999995</v>
      </c>
      <c r="G132" s="9">
        <f>SUM('[1]14- All_India_Index_Upto_April2'!T132:V132)</f>
        <v>377</v>
      </c>
      <c r="H132" s="9" t="e">
        <f>SUM([1]!_14__All_India_Index_Upto_April2[[#This Row],[Housing new]],[1]!_14__All_India_Index_Upto_April2[[#This Row],[Household goods and services]])</f>
        <v>#REF!</v>
      </c>
      <c r="I132" s="9">
        <f>SUM('[1]14- All_India_Index_Upto_April2'!Z132,'[1]14- All_India_Index_Upto_April2'!AD132)</f>
        <v>242.10000000000002</v>
      </c>
      <c r="J132" s="9">
        <f>SUM('[1]14- All_India_Index_Upto_April2'!AA132)</f>
        <v>110.4</v>
      </c>
      <c r="K132" s="9">
        <f>'[1]14- All_India_Index_Upto_April2'!AC132</f>
        <v>131.5</v>
      </c>
      <c r="L132" s="9">
        <f>SUM('[1]14- All_India_Index_Upto_April2'!AB132,'[1]14- All_India_Index_Upto_April2'!AE132)</f>
        <v>240.5</v>
      </c>
      <c r="M132" s="9">
        <f>'[1]14- All_India_Index_Upto_April2'!AF132</f>
        <v>128.4</v>
      </c>
    </row>
    <row r="133" spans="1:13" hidden="1">
      <c r="A133" s="9" t="str">
        <f>'[1]14- All_India_Index_Upto_April2'!A133</f>
        <v>Rural+Urban</v>
      </c>
      <c r="B133" s="9">
        <f>'[1]14- All_India_Index_Upto_April2'!B133</f>
        <v>2016</v>
      </c>
      <c r="C133" s="9" t="str">
        <f>'[1]14- All_India_Index_Upto_April2'!C133</f>
        <v>August</v>
      </c>
      <c r="D133" s="9" t="str">
        <f t="shared" si="4"/>
        <v>August-2016</v>
      </c>
      <c r="E133" s="46">
        <f t="shared" si="5"/>
        <v>42583</v>
      </c>
      <c r="F133" s="9">
        <f>SUM('[1]14- All_India_Index_Upto_April2'!F133:S133)</f>
        <v>1918.1000000000001</v>
      </c>
      <c r="G133" s="9">
        <f>SUM('[1]14- All_India_Index_Upto_April2'!T133:V133)</f>
        <v>395.49999999999994</v>
      </c>
      <c r="H133" s="9" t="e">
        <f>SUM([1]!_14__All_India_Index_Upto_April2[[#This Row],[Housing new]],[1]!_14__All_India_Index_Upto_April2[[#This Row],[Household goods and services]])</f>
        <v>#REF!</v>
      </c>
      <c r="I133" s="9">
        <f>SUM('[1]14- All_India_Index_Upto_April2'!Z133,'[1]14- All_India_Index_Upto_April2'!AD133)</f>
        <v>246.3</v>
      </c>
      <c r="J133" s="9">
        <f>SUM('[1]14- All_India_Index_Upto_April2'!AA133)</f>
        <v>113.1</v>
      </c>
      <c r="K133" s="9">
        <f>'[1]14- All_India_Index_Upto_April2'!AC133</f>
        <v>131.69999999999999</v>
      </c>
      <c r="L133" s="9">
        <f>SUM('[1]14- All_India_Index_Upto_April2'!AB133,'[1]14- All_India_Index_Upto_April2'!AE133)</f>
        <v>244.8</v>
      </c>
      <c r="M133" s="9">
        <f>'[1]14- All_India_Index_Upto_April2'!AF133</f>
        <v>131.1</v>
      </c>
    </row>
    <row r="134" spans="1:13" hidden="1">
      <c r="A134" s="9" t="str">
        <f>'[1]14- All_India_Index_Upto_April2'!A134</f>
        <v>Rural</v>
      </c>
      <c r="B134" s="9">
        <f>'[1]14- All_India_Index_Upto_April2'!B134</f>
        <v>2016</v>
      </c>
      <c r="C134" s="9" t="str">
        <f>'[1]14- All_India_Index_Upto_April2'!C134</f>
        <v>September</v>
      </c>
      <c r="D134" s="9" t="str">
        <f t="shared" si="4"/>
        <v>September-2016</v>
      </c>
      <c r="E134" s="46">
        <f t="shared" si="5"/>
        <v>42614</v>
      </c>
      <c r="F134" s="9">
        <f>SUM('[1]14- All_India_Index_Upto_April2'!F134:S134)</f>
        <v>1910.6000000000001</v>
      </c>
      <c r="G134" s="9">
        <f>SUM('[1]14- All_India_Index_Upto_April2'!T134:V134)</f>
        <v>409.8</v>
      </c>
      <c r="H134" s="9" t="e">
        <f>SUM([1]!_14__All_India_Index_Upto_April2[[#This Row],[Housing new]],[1]!_14__All_India_Index_Upto_April2[[#This Row],[Household goods and services]])</f>
        <v>#REF!</v>
      </c>
      <c r="I134" s="9">
        <f>SUM('[1]14- All_India_Index_Upto_April2'!Z134,'[1]14- All_India_Index_Upto_April2'!AD134)</f>
        <v>250.6</v>
      </c>
      <c r="J134" s="9">
        <f>SUM('[1]14- All_India_Index_Upto_April2'!AA134)</f>
        <v>117</v>
      </c>
      <c r="K134" s="9">
        <f>'[1]14- All_India_Index_Upto_April2'!AC134</f>
        <v>132.19999999999999</v>
      </c>
      <c r="L134" s="9">
        <f>SUM('[1]14- All_India_Index_Upto_April2'!AB134,'[1]14- All_India_Index_Upto_April2'!AE134)</f>
        <v>250.60000000000002</v>
      </c>
      <c r="M134" s="9">
        <f>'[1]14- All_India_Index_Upto_April2'!AF134</f>
        <v>133.4</v>
      </c>
    </row>
    <row r="135" spans="1:13" hidden="1">
      <c r="A135" s="9" t="str">
        <f>'[1]14- All_India_Index_Upto_April2'!A135</f>
        <v>Urban</v>
      </c>
      <c r="B135" s="9">
        <f>'[1]14- All_India_Index_Upto_April2'!B135</f>
        <v>2016</v>
      </c>
      <c r="C135" s="9" t="str">
        <f>'[1]14- All_India_Index_Upto_April2'!C135</f>
        <v>September</v>
      </c>
      <c r="D135" s="9" t="str">
        <f t="shared" si="4"/>
        <v>September-2016</v>
      </c>
      <c r="E135" s="46">
        <f t="shared" si="5"/>
        <v>42614</v>
      </c>
      <c r="F135" s="9">
        <f>SUM('[1]14- All_India_Index_Upto_April2'!F135:S135)</f>
        <v>1900.2999999999997</v>
      </c>
      <c r="G135" s="9">
        <f>SUM('[1]14- All_India_Index_Upto_April2'!T135:V135)</f>
        <v>378</v>
      </c>
      <c r="H135" s="9" t="e">
        <f>SUM([1]!_14__All_India_Index_Upto_April2[[#This Row],[Housing new]],[1]!_14__All_India_Index_Upto_April2[[#This Row],[Household goods and services]])</f>
        <v>#REF!</v>
      </c>
      <c r="I135" s="9">
        <f>SUM('[1]14- All_India_Index_Upto_April2'!Z135,'[1]14- All_India_Index_Upto_April2'!AD135)</f>
        <v>242.60000000000002</v>
      </c>
      <c r="J135" s="9">
        <f>SUM('[1]14- All_India_Index_Upto_April2'!AA135)</f>
        <v>111.8</v>
      </c>
      <c r="K135" s="9">
        <f>'[1]14- All_India_Index_Upto_April2'!AC135</f>
        <v>131.6</v>
      </c>
      <c r="L135" s="9">
        <f>SUM('[1]14- All_India_Index_Upto_April2'!AB135,'[1]14- All_India_Index_Upto_April2'!AE135)</f>
        <v>241.3</v>
      </c>
      <c r="M135" s="9">
        <f>'[1]14- All_India_Index_Upto_April2'!AF135</f>
        <v>128</v>
      </c>
    </row>
    <row r="136" spans="1:13" hidden="1">
      <c r="A136" s="9" t="str">
        <f>'[1]14- All_India_Index_Upto_April2'!A136</f>
        <v>Rural+Urban</v>
      </c>
      <c r="B136" s="9">
        <f>'[1]14- All_India_Index_Upto_April2'!B136</f>
        <v>2016</v>
      </c>
      <c r="C136" s="9" t="str">
        <f>'[1]14- All_India_Index_Upto_April2'!C136</f>
        <v>September</v>
      </c>
      <c r="D136" s="9" t="str">
        <f t="shared" si="4"/>
        <v>September-2016</v>
      </c>
      <c r="E136" s="46">
        <f t="shared" si="5"/>
        <v>42614</v>
      </c>
      <c r="F136" s="9">
        <f>SUM('[1]14- All_India_Index_Upto_April2'!F136:S136)</f>
        <v>1904.6999999999998</v>
      </c>
      <c r="G136" s="9">
        <f>SUM('[1]14- All_India_Index_Upto_April2'!T136:V136)</f>
        <v>397</v>
      </c>
      <c r="H136" s="9" t="e">
        <f>SUM([1]!_14__All_India_Index_Upto_April2[[#This Row],[Housing new]],[1]!_14__All_India_Index_Upto_April2[[#This Row],[Household goods and services]])</f>
        <v>#REF!</v>
      </c>
      <c r="I136" s="9">
        <f>SUM('[1]14- All_India_Index_Upto_April2'!Z136,'[1]14- All_India_Index_Upto_April2'!AD136)</f>
        <v>247.5</v>
      </c>
      <c r="J136" s="9">
        <f>SUM('[1]14- All_India_Index_Upto_April2'!AA136)</f>
        <v>114.3</v>
      </c>
      <c r="K136" s="9">
        <f>'[1]14- All_India_Index_Upto_April2'!AC136</f>
        <v>131.80000000000001</v>
      </c>
      <c r="L136" s="9">
        <f>SUM('[1]14- All_India_Index_Upto_April2'!AB136,'[1]14- All_India_Index_Upto_April2'!AE136)</f>
        <v>245.7</v>
      </c>
      <c r="M136" s="9">
        <f>'[1]14- All_India_Index_Upto_April2'!AF136</f>
        <v>130.9</v>
      </c>
    </row>
    <row r="137" spans="1:13" hidden="1">
      <c r="A137" s="9" t="str">
        <f>'[1]14- All_India_Index_Upto_April2'!A137</f>
        <v>Rural</v>
      </c>
      <c r="B137" s="9">
        <f>'[1]14- All_India_Index_Upto_April2'!B137</f>
        <v>2016</v>
      </c>
      <c r="C137" s="9" t="str">
        <f>'[1]14- All_India_Index_Upto_April2'!C137</f>
        <v>October</v>
      </c>
      <c r="D137" s="9" t="str">
        <f t="shared" si="4"/>
        <v>October-2016</v>
      </c>
      <c r="E137" s="46">
        <f t="shared" si="5"/>
        <v>42644</v>
      </c>
      <c r="F137" s="9">
        <f>SUM('[1]14- All_India_Index_Upto_April2'!F137:S137)</f>
        <v>1912.7000000000003</v>
      </c>
      <c r="G137" s="9">
        <f>SUM('[1]14- All_India_Index_Upto_April2'!T137:V137)</f>
        <v>412.7</v>
      </c>
      <c r="H137" s="9" t="e">
        <f>SUM([1]!_14__All_India_Index_Upto_April2[[#This Row],[Housing new]],[1]!_14__All_India_Index_Upto_April2[[#This Row],[Household goods and services]])</f>
        <v>#REF!</v>
      </c>
      <c r="I137" s="9">
        <f>SUM('[1]14- All_India_Index_Upto_April2'!Z137,'[1]14- All_India_Index_Upto_April2'!AD137)</f>
        <v>251.7</v>
      </c>
      <c r="J137" s="9">
        <f>SUM('[1]14- All_India_Index_Upto_April2'!AA137)</f>
        <v>117.8</v>
      </c>
      <c r="K137" s="9">
        <f>'[1]14- All_India_Index_Upto_April2'!AC137</f>
        <v>133</v>
      </c>
      <c r="L137" s="9">
        <f>SUM('[1]14- All_India_Index_Upto_April2'!AB137,'[1]14- All_India_Index_Upto_April2'!AE137)</f>
        <v>252.2</v>
      </c>
      <c r="M137" s="9">
        <f>'[1]14- All_India_Index_Upto_April2'!AF137</f>
        <v>133.80000000000001</v>
      </c>
    </row>
    <row r="138" spans="1:13" hidden="1">
      <c r="A138" s="9" t="str">
        <f>'[1]14- All_India_Index_Upto_April2'!A138</f>
        <v>Urban</v>
      </c>
      <c r="B138" s="9">
        <f>'[1]14- All_India_Index_Upto_April2'!B138</f>
        <v>2016</v>
      </c>
      <c r="C138" s="9" t="str">
        <f>'[1]14- All_India_Index_Upto_April2'!C138</f>
        <v>October</v>
      </c>
      <c r="D138" s="9" t="str">
        <f t="shared" si="4"/>
        <v>October-2016</v>
      </c>
      <c r="E138" s="46">
        <f t="shared" si="5"/>
        <v>42644</v>
      </c>
      <c r="F138" s="9">
        <f>SUM('[1]14- All_India_Index_Upto_April2'!F138:S138)</f>
        <v>1907.1999999999998</v>
      </c>
      <c r="G138" s="9">
        <f>SUM('[1]14- All_India_Index_Upto_April2'!T138:V138)</f>
        <v>379</v>
      </c>
      <c r="H138" s="9" t="e">
        <f>SUM([1]!_14__All_India_Index_Upto_April2[[#This Row],[Housing new]],[1]!_14__All_India_Index_Upto_April2[[#This Row],[Household goods and services]])</f>
        <v>#REF!</v>
      </c>
      <c r="I138" s="9">
        <f>SUM('[1]14- All_India_Index_Upto_April2'!Z138,'[1]14- All_India_Index_Upto_April2'!AD138)</f>
        <v>242.6</v>
      </c>
      <c r="J138" s="9">
        <f>SUM('[1]14- All_India_Index_Upto_April2'!AA138)</f>
        <v>112.8</v>
      </c>
      <c r="K138" s="9">
        <f>'[1]14- All_India_Index_Upto_April2'!AC138</f>
        <v>131.9</v>
      </c>
      <c r="L138" s="9">
        <f>SUM('[1]14- All_India_Index_Upto_April2'!AB138,'[1]14- All_India_Index_Upto_April2'!AE138)</f>
        <v>242.10000000000002</v>
      </c>
      <c r="M138" s="9">
        <f>'[1]14- All_India_Index_Upto_April2'!AF138</f>
        <v>128.6</v>
      </c>
    </row>
    <row r="139" spans="1:13" hidden="1">
      <c r="A139" s="9" t="str">
        <f>'[1]14- All_India_Index_Upto_April2'!A139</f>
        <v>Rural+Urban</v>
      </c>
      <c r="B139" s="9">
        <f>'[1]14- All_India_Index_Upto_April2'!B139</f>
        <v>2016</v>
      </c>
      <c r="C139" s="9" t="str">
        <f>'[1]14- All_India_Index_Upto_April2'!C139</f>
        <v>October</v>
      </c>
      <c r="D139" s="9" t="str">
        <f t="shared" si="4"/>
        <v>October-2016</v>
      </c>
      <c r="E139" s="46">
        <f t="shared" si="5"/>
        <v>42644</v>
      </c>
      <c r="F139" s="9">
        <f>SUM('[1]14- All_India_Index_Upto_April2'!F139:S139)</f>
        <v>1908.5999999999995</v>
      </c>
      <c r="G139" s="9">
        <f>SUM('[1]14- All_India_Index_Upto_April2'!T139:V139)</f>
        <v>399.1</v>
      </c>
      <c r="H139" s="9" t="e">
        <f>SUM([1]!_14__All_India_Index_Upto_April2[[#This Row],[Housing new]],[1]!_14__All_India_Index_Upto_April2[[#This Row],[Household goods and services]])</f>
        <v>#REF!</v>
      </c>
      <c r="I139" s="9">
        <f>SUM('[1]14- All_India_Index_Upto_April2'!Z139,'[1]14- All_India_Index_Upto_April2'!AD139)</f>
        <v>248.2</v>
      </c>
      <c r="J139" s="9">
        <f>SUM('[1]14- All_India_Index_Upto_April2'!AA139)</f>
        <v>115.2</v>
      </c>
      <c r="K139" s="9">
        <f>'[1]14- All_India_Index_Upto_April2'!AC139</f>
        <v>132.4</v>
      </c>
      <c r="L139" s="9">
        <f>SUM('[1]14- All_India_Index_Upto_April2'!AB139,'[1]14- All_India_Index_Upto_April2'!AE139)</f>
        <v>246.9</v>
      </c>
      <c r="M139" s="9">
        <f>'[1]14- All_India_Index_Upto_April2'!AF139</f>
        <v>131.4</v>
      </c>
    </row>
    <row r="140" spans="1:13" hidden="1">
      <c r="A140" s="9" t="str">
        <f>'[1]14- All_India_Index_Upto_April2'!A140</f>
        <v>Rural</v>
      </c>
      <c r="B140" s="9">
        <f>'[1]14- All_India_Index_Upto_April2'!B140</f>
        <v>2016</v>
      </c>
      <c r="C140" s="9" t="str">
        <f>'[1]14- All_India_Index_Upto_April2'!C140</f>
        <v>November</v>
      </c>
      <c r="D140" s="9" t="str">
        <f t="shared" si="4"/>
        <v>November-2016</v>
      </c>
      <c r="E140" s="46">
        <f t="shared" si="5"/>
        <v>42675</v>
      </c>
      <c r="F140" s="9">
        <f>SUM('[1]14- All_India_Index_Upto_April2'!F140:S140)</f>
        <v>1905.8</v>
      </c>
      <c r="G140" s="9">
        <f>SUM('[1]14- All_India_Index_Upto_April2'!T140:V140)</f>
        <v>413.59999999999997</v>
      </c>
      <c r="H140" s="9" t="e">
        <f>SUM([1]!_14__All_India_Index_Upto_April2[[#This Row],[Housing new]],[1]!_14__All_India_Index_Upto_April2[[#This Row],[Household goods and services]])</f>
        <v>#REF!</v>
      </c>
      <c r="I140" s="9">
        <f>SUM('[1]14- All_India_Index_Upto_April2'!Z140,'[1]14- All_India_Index_Upto_April2'!AD140)</f>
        <v>252.6</v>
      </c>
      <c r="J140" s="9">
        <f>SUM('[1]14- All_India_Index_Upto_April2'!AA140)</f>
        <v>118.2</v>
      </c>
      <c r="K140" s="9">
        <f>'[1]14- All_India_Index_Upto_April2'!AC140</f>
        <v>133.69999999999999</v>
      </c>
      <c r="L140" s="9">
        <f>SUM('[1]14- All_India_Index_Upto_April2'!AB140,'[1]14- All_India_Index_Upto_April2'!AE140)</f>
        <v>253</v>
      </c>
      <c r="M140" s="9">
        <f>'[1]14- All_India_Index_Upto_April2'!AF140</f>
        <v>133.6</v>
      </c>
    </row>
    <row r="141" spans="1:13" hidden="1">
      <c r="A141" s="9" t="str">
        <f>'[1]14- All_India_Index_Upto_April2'!A141</f>
        <v>Urban</v>
      </c>
      <c r="B141" s="9">
        <f>'[1]14- All_India_Index_Upto_April2'!B141</f>
        <v>2016</v>
      </c>
      <c r="C141" s="9" t="str">
        <f>'[1]14- All_India_Index_Upto_April2'!C141</f>
        <v>November</v>
      </c>
      <c r="D141" s="9" t="str">
        <f t="shared" si="4"/>
        <v>November-2016</v>
      </c>
      <c r="E141" s="46">
        <f t="shared" si="5"/>
        <v>42675</v>
      </c>
      <c r="F141" s="9">
        <f>SUM('[1]14- All_India_Index_Upto_April2'!F141:S141)</f>
        <v>1899.5</v>
      </c>
      <c r="G141" s="9">
        <f>SUM('[1]14- All_India_Index_Upto_April2'!T141:V141)</f>
        <v>380.2</v>
      </c>
      <c r="H141" s="9" t="e">
        <f>SUM([1]!_14__All_India_Index_Upto_April2[[#This Row],[Housing new]],[1]!_14__All_India_Index_Upto_April2[[#This Row],[Household goods and services]])</f>
        <v>#REF!</v>
      </c>
      <c r="I141" s="9">
        <f>SUM('[1]14- All_India_Index_Upto_April2'!Z141,'[1]14- All_India_Index_Upto_April2'!AD141)</f>
        <v>243.39999999999998</v>
      </c>
      <c r="J141" s="9">
        <f>SUM('[1]14- All_India_Index_Upto_April2'!AA141)</f>
        <v>113.4</v>
      </c>
      <c r="K141" s="9">
        <f>'[1]14- All_India_Index_Upto_April2'!AC141</f>
        <v>132.1</v>
      </c>
      <c r="L141" s="9">
        <f>SUM('[1]14- All_India_Index_Upto_April2'!AB141,'[1]14- All_India_Index_Upto_April2'!AE141)</f>
        <v>243</v>
      </c>
      <c r="M141" s="9">
        <f>'[1]14- All_India_Index_Upto_April2'!AF141</f>
        <v>128.5</v>
      </c>
    </row>
    <row r="142" spans="1:13" hidden="1">
      <c r="A142" s="9" t="str">
        <f>'[1]14- All_India_Index_Upto_April2'!A142</f>
        <v>Rural+Urban</v>
      </c>
      <c r="B142" s="9">
        <f>'[1]14- All_India_Index_Upto_April2'!B142</f>
        <v>2016</v>
      </c>
      <c r="C142" s="9" t="str">
        <f>'[1]14- All_India_Index_Upto_April2'!C142</f>
        <v>November</v>
      </c>
      <c r="D142" s="9" t="str">
        <f t="shared" si="4"/>
        <v>November-2016</v>
      </c>
      <c r="E142" s="46">
        <f t="shared" si="5"/>
        <v>42675</v>
      </c>
      <c r="F142" s="9">
        <f>SUM('[1]14- All_India_Index_Upto_April2'!F142:S142)</f>
        <v>1901.8</v>
      </c>
      <c r="G142" s="9">
        <f>SUM('[1]14- All_India_Index_Upto_April2'!T142:V142)</f>
        <v>400.1</v>
      </c>
      <c r="H142" s="9" t="e">
        <f>SUM([1]!_14__All_India_Index_Upto_April2[[#This Row],[Housing new]],[1]!_14__All_India_Index_Upto_April2[[#This Row],[Household goods and services]])</f>
        <v>#REF!</v>
      </c>
      <c r="I142" s="9">
        <f>SUM('[1]14- All_India_Index_Upto_April2'!Z142,'[1]14- All_India_Index_Upto_April2'!AD142)</f>
        <v>249</v>
      </c>
      <c r="J142" s="9">
        <f>SUM('[1]14- All_India_Index_Upto_April2'!AA142)</f>
        <v>115.7</v>
      </c>
      <c r="K142" s="9">
        <f>'[1]14- All_India_Index_Upto_April2'!AC142</f>
        <v>132.80000000000001</v>
      </c>
      <c r="L142" s="9">
        <f>SUM('[1]14- All_India_Index_Upto_April2'!AB142,'[1]14- All_India_Index_Upto_April2'!AE142)</f>
        <v>247.8</v>
      </c>
      <c r="M142" s="9">
        <f>'[1]14- All_India_Index_Upto_April2'!AF142</f>
        <v>131.19999999999999</v>
      </c>
    </row>
    <row r="143" spans="1:13" hidden="1">
      <c r="A143" s="9" t="str">
        <f>'[1]14- All_India_Index_Upto_April2'!A143</f>
        <v>Rural</v>
      </c>
      <c r="B143" s="9">
        <f>'[1]14- All_India_Index_Upto_April2'!B143</f>
        <v>2016</v>
      </c>
      <c r="C143" s="9" t="str">
        <f>'[1]14- All_India_Index_Upto_April2'!C143</f>
        <v>December</v>
      </c>
      <c r="D143" s="9" t="str">
        <f t="shared" si="4"/>
        <v>December-2016</v>
      </c>
      <c r="E143" s="46">
        <f t="shared" si="5"/>
        <v>42705</v>
      </c>
      <c r="F143" s="9">
        <f>SUM('[1]14- All_India_Index_Upto_April2'!F143:S143)</f>
        <v>1891.5</v>
      </c>
      <c r="G143" s="9">
        <f>SUM('[1]14- All_India_Index_Upto_April2'!T143:V143)</f>
        <v>415.3</v>
      </c>
      <c r="H143" s="9" t="e">
        <f>SUM([1]!_14__All_India_Index_Upto_April2[[#This Row],[Housing new]],[1]!_14__All_India_Index_Upto_April2[[#This Row],[Household goods and services]])</f>
        <v>#REF!</v>
      </c>
      <c r="I143" s="9">
        <f>SUM('[1]14- All_India_Index_Upto_April2'!Z143,'[1]14- All_India_Index_Upto_April2'!AD143)</f>
        <v>251.6</v>
      </c>
      <c r="J143" s="9">
        <f>SUM('[1]14- All_India_Index_Upto_April2'!AA143)</f>
        <v>118.6</v>
      </c>
      <c r="K143" s="9">
        <f>'[1]14- All_India_Index_Upto_April2'!AC143</f>
        <v>134.19999999999999</v>
      </c>
      <c r="L143" s="9">
        <f>SUM('[1]14- All_India_Index_Upto_April2'!AB143,'[1]14- All_India_Index_Upto_April2'!AE143)</f>
        <v>253.6</v>
      </c>
      <c r="M143" s="9">
        <f>'[1]14- All_India_Index_Upto_April2'!AF143</f>
        <v>132.80000000000001</v>
      </c>
    </row>
    <row r="144" spans="1:13" hidden="1">
      <c r="A144" s="9" t="str">
        <f>'[1]14- All_India_Index_Upto_April2'!A144</f>
        <v>Urban</v>
      </c>
      <c r="B144" s="9">
        <f>'[1]14- All_India_Index_Upto_April2'!B144</f>
        <v>2016</v>
      </c>
      <c r="C144" s="9" t="str">
        <f>'[1]14- All_India_Index_Upto_April2'!C144</f>
        <v>December</v>
      </c>
      <c r="D144" s="9" t="str">
        <f t="shared" si="4"/>
        <v>December-2016</v>
      </c>
      <c r="E144" s="46">
        <f t="shared" si="5"/>
        <v>42705</v>
      </c>
      <c r="F144" s="9">
        <f>SUM('[1]14- All_India_Index_Upto_April2'!F144:S144)</f>
        <v>1874.8</v>
      </c>
      <c r="G144" s="9">
        <f>SUM('[1]14- All_India_Index_Upto_April2'!T144:V144)</f>
        <v>381</v>
      </c>
      <c r="H144" s="9" t="e">
        <f>SUM([1]!_14__All_India_Index_Upto_April2[[#This Row],[Housing new]],[1]!_14__All_India_Index_Upto_April2[[#This Row],[Household goods and services]])</f>
        <v>#REF!</v>
      </c>
      <c r="I144" s="9">
        <f>SUM('[1]14- All_India_Index_Upto_April2'!Z144,'[1]14- All_India_Index_Upto_April2'!AD144)</f>
        <v>242.2</v>
      </c>
      <c r="J144" s="9">
        <f>SUM('[1]14- All_India_Index_Upto_April2'!AA144)</f>
        <v>113.7</v>
      </c>
      <c r="K144" s="9">
        <f>'[1]14- All_India_Index_Upto_April2'!AC144</f>
        <v>132.30000000000001</v>
      </c>
      <c r="L144" s="9">
        <f>SUM('[1]14- All_India_Index_Upto_April2'!AB144,'[1]14- All_India_Index_Upto_April2'!AE144)</f>
        <v>243.2</v>
      </c>
      <c r="M144" s="9">
        <f>'[1]14- All_India_Index_Upto_April2'!AF144</f>
        <v>127.6</v>
      </c>
    </row>
    <row r="145" spans="1:13" hidden="1">
      <c r="A145" s="9" t="str">
        <f>'[1]14- All_India_Index_Upto_April2'!A145</f>
        <v>Rural+Urban</v>
      </c>
      <c r="B145" s="9">
        <f>'[1]14- All_India_Index_Upto_April2'!B145</f>
        <v>2016</v>
      </c>
      <c r="C145" s="9" t="str">
        <f>'[1]14- All_India_Index_Upto_April2'!C145</f>
        <v>December</v>
      </c>
      <c r="D145" s="9" t="str">
        <f t="shared" si="4"/>
        <v>December-2016</v>
      </c>
      <c r="E145" s="46">
        <f t="shared" si="5"/>
        <v>42705</v>
      </c>
      <c r="F145" s="9">
        <f>SUM('[1]14- All_India_Index_Upto_April2'!F145:S145)</f>
        <v>1883.8</v>
      </c>
      <c r="G145" s="9">
        <f>SUM('[1]14- All_India_Index_Upto_April2'!T145:V145)</f>
        <v>401.5</v>
      </c>
      <c r="H145" s="9" t="e">
        <f>SUM([1]!_14__All_India_Index_Upto_April2[[#This Row],[Housing new]],[1]!_14__All_India_Index_Upto_April2[[#This Row],[Household goods and services]])</f>
        <v>#REF!</v>
      </c>
      <c r="I145" s="9">
        <f>SUM('[1]14- All_India_Index_Upto_April2'!Z145,'[1]14- All_India_Index_Upto_April2'!AD145)</f>
        <v>248</v>
      </c>
      <c r="J145" s="9">
        <f>SUM('[1]14- All_India_Index_Upto_April2'!AA145)</f>
        <v>116</v>
      </c>
      <c r="K145" s="9">
        <f>'[1]14- All_India_Index_Upto_April2'!AC145</f>
        <v>133.1</v>
      </c>
      <c r="L145" s="9">
        <f>SUM('[1]14- All_India_Index_Upto_April2'!AB145,'[1]14- All_India_Index_Upto_April2'!AE145)</f>
        <v>248.10000000000002</v>
      </c>
      <c r="M145" s="9">
        <f>'[1]14- All_India_Index_Upto_April2'!AF145</f>
        <v>130.4</v>
      </c>
    </row>
    <row r="146" spans="1:13" hidden="1">
      <c r="A146" s="9" t="str">
        <f>'[1]14- All_India_Index_Upto_April2'!A146</f>
        <v>Rural</v>
      </c>
      <c r="B146" s="9">
        <f>'[1]14- All_India_Index_Upto_April2'!B146</f>
        <v>2017</v>
      </c>
      <c r="C146" s="9" t="str">
        <f>'[1]14- All_India_Index_Upto_April2'!C146</f>
        <v>January</v>
      </c>
      <c r="D146" s="9" t="str">
        <f t="shared" si="4"/>
        <v>January-2017</v>
      </c>
      <c r="E146" s="46">
        <f t="shared" si="5"/>
        <v>42736</v>
      </c>
      <c r="F146" s="9">
        <f>SUM('[1]14- All_India_Index_Upto_April2'!F146:S146)</f>
        <v>1880.4</v>
      </c>
      <c r="G146" s="9">
        <f>SUM('[1]14- All_India_Index_Upto_April2'!T146:V146)</f>
        <v>416.5</v>
      </c>
      <c r="H146" s="9" t="e">
        <f>SUM([1]!_14__All_India_Index_Upto_April2[[#This Row],[Housing new]],[1]!_14__All_India_Index_Upto_April2[[#This Row],[Household goods and services]])</f>
        <v>#REF!</v>
      </c>
      <c r="I146" s="9">
        <f>SUM('[1]14- All_India_Index_Upto_April2'!Z146,'[1]14- All_India_Index_Upto_April2'!AD146)</f>
        <v>252.2</v>
      </c>
      <c r="J146" s="9">
        <f>SUM('[1]14- All_India_Index_Upto_April2'!AA146)</f>
        <v>119.1</v>
      </c>
      <c r="K146" s="9">
        <f>'[1]14- All_India_Index_Upto_April2'!AC146</f>
        <v>134.6</v>
      </c>
      <c r="L146" s="9">
        <f>SUM('[1]14- All_India_Index_Upto_April2'!AB146,'[1]14- All_India_Index_Upto_April2'!AE146)</f>
        <v>253.6</v>
      </c>
      <c r="M146" s="9">
        <f>'[1]14- All_India_Index_Upto_April2'!AF146</f>
        <v>132.4</v>
      </c>
    </row>
    <row r="147" spans="1:13" hidden="1">
      <c r="A147" s="9" t="str">
        <f>'[1]14- All_India_Index_Upto_April2'!A147</f>
        <v>Urban</v>
      </c>
      <c r="B147" s="9">
        <f>'[1]14- All_India_Index_Upto_April2'!B147</f>
        <v>2017</v>
      </c>
      <c r="C147" s="9" t="str">
        <f>'[1]14- All_India_Index_Upto_April2'!C147</f>
        <v>January</v>
      </c>
      <c r="D147" s="9" t="str">
        <f t="shared" si="4"/>
        <v>January-2017</v>
      </c>
      <c r="E147" s="46">
        <f t="shared" si="5"/>
        <v>42736</v>
      </c>
      <c r="F147" s="9">
        <f>SUM('[1]14- All_India_Index_Upto_April2'!F147:S147)</f>
        <v>1858.8</v>
      </c>
      <c r="G147" s="9">
        <f>SUM('[1]14- All_India_Index_Upto_April2'!T147:V147)</f>
        <v>381.5</v>
      </c>
      <c r="H147" s="9" t="e">
        <f>SUM([1]!_14__All_India_Index_Upto_April2[[#This Row],[Housing new]],[1]!_14__All_India_Index_Upto_April2[[#This Row],[Household goods and services]])</f>
        <v>#REF!</v>
      </c>
      <c r="I147" s="9">
        <f>SUM('[1]14- All_India_Index_Upto_April2'!Z147,'[1]14- All_India_Index_Upto_April2'!AD147)</f>
        <v>243.5</v>
      </c>
      <c r="J147" s="9">
        <f>SUM('[1]14- All_India_Index_Upto_April2'!AA147)</f>
        <v>115.2</v>
      </c>
      <c r="K147" s="9">
        <f>'[1]14- All_India_Index_Upto_April2'!AC147</f>
        <v>132.4</v>
      </c>
      <c r="L147" s="9">
        <f>SUM('[1]14- All_India_Index_Upto_April2'!AB147,'[1]14- All_India_Index_Upto_April2'!AE147)</f>
        <v>244.1</v>
      </c>
      <c r="M147" s="9">
        <f>'[1]14- All_India_Index_Upto_April2'!AF147</f>
        <v>127.8</v>
      </c>
    </row>
    <row r="148" spans="1:13" hidden="1">
      <c r="A148" s="9" t="str">
        <f>'[1]14- All_India_Index_Upto_April2'!A148</f>
        <v>Rural+Urban</v>
      </c>
      <c r="B148" s="9">
        <f>'[1]14- All_India_Index_Upto_April2'!B148</f>
        <v>2017</v>
      </c>
      <c r="C148" s="9" t="str">
        <f>'[1]14- All_India_Index_Upto_April2'!C148</f>
        <v>January</v>
      </c>
      <c r="D148" s="9" t="str">
        <f t="shared" si="4"/>
        <v>January-2017</v>
      </c>
      <c r="E148" s="46">
        <f t="shared" si="5"/>
        <v>42736</v>
      </c>
      <c r="F148" s="9">
        <f>SUM('[1]14- All_India_Index_Upto_April2'!F148:S148)</f>
        <v>1871.0999999999995</v>
      </c>
      <c r="G148" s="9">
        <f>SUM('[1]14- All_India_Index_Upto_April2'!T148:V148)</f>
        <v>402.4</v>
      </c>
      <c r="H148" s="9" t="e">
        <f>SUM([1]!_14__All_India_Index_Upto_April2[[#This Row],[Housing new]],[1]!_14__All_India_Index_Upto_April2[[#This Row],[Household goods and services]])</f>
        <v>#REF!</v>
      </c>
      <c r="I148" s="9">
        <f>SUM('[1]14- All_India_Index_Upto_April2'!Z148,'[1]14- All_India_Index_Upto_April2'!AD148)</f>
        <v>248.8</v>
      </c>
      <c r="J148" s="9">
        <f>SUM('[1]14- All_India_Index_Upto_April2'!AA148)</f>
        <v>117</v>
      </c>
      <c r="K148" s="9">
        <f>'[1]14- All_India_Index_Upto_April2'!AC148</f>
        <v>133.30000000000001</v>
      </c>
      <c r="L148" s="9">
        <f>SUM('[1]14- All_India_Index_Upto_April2'!AB148,'[1]14- All_India_Index_Upto_April2'!AE148)</f>
        <v>248.60000000000002</v>
      </c>
      <c r="M148" s="9">
        <f>'[1]14- All_India_Index_Upto_April2'!AF148</f>
        <v>130.30000000000001</v>
      </c>
    </row>
    <row r="149" spans="1:13" hidden="1">
      <c r="A149" s="9" t="str">
        <f>'[1]14- All_India_Index_Upto_April2'!A149</f>
        <v>Rural</v>
      </c>
      <c r="B149" s="9">
        <f>'[1]14- All_India_Index_Upto_April2'!B149</f>
        <v>2017</v>
      </c>
      <c r="C149" s="9" t="str">
        <f>'[1]14- All_India_Index_Upto_April2'!C149</f>
        <v>February</v>
      </c>
      <c r="D149" s="9" t="str">
        <f t="shared" si="4"/>
        <v>February-2017</v>
      </c>
      <c r="E149" s="46">
        <f t="shared" si="5"/>
        <v>42767</v>
      </c>
      <c r="F149" s="9">
        <f>SUM('[1]14- All_India_Index_Upto_April2'!F149:S149)</f>
        <v>1878.2000000000003</v>
      </c>
      <c r="G149" s="9">
        <f>SUM('[1]14- All_India_Index_Upto_April2'!T149:V149)</f>
        <v>416.90000000000003</v>
      </c>
      <c r="H149" s="9" t="e">
        <f>SUM([1]!_14__All_India_Index_Upto_April2[[#This Row],[Housing new]],[1]!_14__All_India_Index_Upto_April2[[#This Row],[Household goods and services]])</f>
        <v>#REF!</v>
      </c>
      <c r="I149" s="9">
        <f>SUM('[1]14- All_India_Index_Upto_April2'!Z149,'[1]14- All_India_Index_Upto_April2'!AD149)</f>
        <v>253.3</v>
      </c>
      <c r="J149" s="9">
        <f>SUM('[1]14- All_India_Index_Upto_April2'!AA149)</f>
        <v>119.5</v>
      </c>
      <c r="K149" s="9">
        <f>'[1]14- All_India_Index_Upto_April2'!AC149</f>
        <v>134.9</v>
      </c>
      <c r="L149" s="9">
        <f>SUM('[1]14- All_India_Index_Upto_April2'!AB149,'[1]14- All_India_Index_Upto_April2'!AE149)</f>
        <v>254.7</v>
      </c>
      <c r="M149" s="9">
        <f>'[1]14- All_India_Index_Upto_April2'!AF149</f>
        <v>132.6</v>
      </c>
    </row>
    <row r="150" spans="1:13" hidden="1">
      <c r="A150" s="9" t="str">
        <f>'[1]14- All_India_Index_Upto_April2'!A150</f>
        <v>Urban</v>
      </c>
      <c r="B150" s="9">
        <f>'[1]14- All_India_Index_Upto_April2'!B150</f>
        <v>2017</v>
      </c>
      <c r="C150" s="9" t="str">
        <f>'[1]14- All_India_Index_Upto_April2'!C150</f>
        <v>February</v>
      </c>
      <c r="D150" s="9" t="str">
        <f t="shared" si="4"/>
        <v>February-2017</v>
      </c>
      <c r="E150" s="46">
        <f t="shared" si="5"/>
        <v>42767</v>
      </c>
      <c r="F150" s="9">
        <f>SUM('[1]14- All_India_Index_Upto_April2'!F150:S150)</f>
        <v>1851.6000000000001</v>
      </c>
      <c r="G150" s="9">
        <f>SUM('[1]14- All_India_Index_Upto_April2'!T150:V150)</f>
        <v>382.3</v>
      </c>
      <c r="H150" s="9" t="e">
        <f>SUM([1]!_14__All_India_Index_Upto_April2[[#This Row],[Housing new]],[1]!_14__All_India_Index_Upto_April2[[#This Row],[Household goods and services]])</f>
        <v>#REF!</v>
      </c>
      <c r="I150" s="9">
        <f>SUM('[1]14- All_India_Index_Upto_April2'!Z150,'[1]14- All_India_Index_Upto_April2'!AD150)</f>
        <v>244.60000000000002</v>
      </c>
      <c r="J150" s="9">
        <f>SUM('[1]14- All_India_Index_Upto_April2'!AA150)</f>
        <v>115.5</v>
      </c>
      <c r="K150" s="9">
        <f>'[1]14- All_India_Index_Upto_April2'!AC150</f>
        <v>132.4</v>
      </c>
      <c r="L150" s="9">
        <f>SUM('[1]14- All_India_Index_Upto_April2'!AB150,'[1]14- All_India_Index_Upto_April2'!AE150)</f>
        <v>244.60000000000002</v>
      </c>
      <c r="M150" s="9">
        <f>'[1]14- All_India_Index_Upto_April2'!AF150</f>
        <v>128.19999999999999</v>
      </c>
    </row>
    <row r="151" spans="1:13" hidden="1">
      <c r="A151" s="9" t="str">
        <f>'[1]14- All_India_Index_Upto_April2'!A151</f>
        <v>Rural+Urban</v>
      </c>
      <c r="B151" s="9">
        <f>'[1]14- All_India_Index_Upto_April2'!B151</f>
        <v>2017</v>
      </c>
      <c r="C151" s="9" t="str">
        <f>'[1]14- All_India_Index_Upto_April2'!C151</f>
        <v>February</v>
      </c>
      <c r="D151" s="9" t="str">
        <f t="shared" si="4"/>
        <v>February-2017</v>
      </c>
      <c r="E151" s="46">
        <f t="shared" si="5"/>
        <v>42767</v>
      </c>
      <c r="F151" s="9">
        <f>SUM('[1]14- All_India_Index_Upto_April2'!F151:S151)</f>
        <v>1866.7000000000003</v>
      </c>
      <c r="G151" s="9">
        <f>SUM('[1]14- All_India_Index_Upto_April2'!T151:V151)</f>
        <v>403</v>
      </c>
      <c r="H151" s="9" t="e">
        <f>SUM([1]!_14__All_India_Index_Upto_April2[[#This Row],[Housing new]],[1]!_14__All_India_Index_Upto_April2[[#This Row],[Household goods and services]])</f>
        <v>#REF!</v>
      </c>
      <c r="I151" s="9">
        <f>SUM('[1]14- All_India_Index_Upto_April2'!Z151,'[1]14- All_India_Index_Upto_April2'!AD151)</f>
        <v>250</v>
      </c>
      <c r="J151" s="9">
        <f>SUM('[1]14- All_India_Index_Upto_April2'!AA151)</f>
        <v>117.4</v>
      </c>
      <c r="K151" s="9">
        <f>'[1]14- All_India_Index_Upto_April2'!AC151</f>
        <v>133.4</v>
      </c>
      <c r="L151" s="9">
        <f>SUM('[1]14- All_India_Index_Upto_April2'!AB151,'[1]14- All_India_Index_Upto_April2'!AE151)</f>
        <v>249.39999999999998</v>
      </c>
      <c r="M151" s="9">
        <f>'[1]14- All_India_Index_Upto_April2'!AF151</f>
        <v>130.6</v>
      </c>
    </row>
    <row r="152" spans="1:13" hidden="1">
      <c r="A152" s="9" t="str">
        <f>'[1]14- All_India_Index_Upto_April2'!A152</f>
        <v>Rural</v>
      </c>
      <c r="B152" s="9">
        <f>'[1]14- All_India_Index_Upto_April2'!B152</f>
        <v>2017</v>
      </c>
      <c r="C152" s="9" t="str">
        <f>'[1]14- All_India_Index_Upto_April2'!C152</f>
        <v>March</v>
      </c>
      <c r="D152" s="9" t="str">
        <f t="shared" si="4"/>
        <v>March-2017</v>
      </c>
      <c r="E152" s="46">
        <f t="shared" si="5"/>
        <v>42795</v>
      </c>
      <c r="F152" s="9">
        <f>SUM('[1]14- All_India_Index_Upto_April2'!F152:S152)</f>
        <v>1872.7000000000003</v>
      </c>
      <c r="G152" s="9">
        <f>SUM('[1]14- All_India_Index_Upto_April2'!T152:V152)</f>
        <v>418.59999999999997</v>
      </c>
      <c r="H152" s="9" t="e">
        <f>SUM([1]!_14__All_India_Index_Upto_April2[[#This Row],[Housing new]],[1]!_14__All_India_Index_Upto_April2[[#This Row],[Household goods and services]])</f>
        <v>#REF!</v>
      </c>
      <c r="I152" s="9">
        <f>SUM('[1]14- All_India_Index_Upto_April2'!Z152,'[1]14- All_India_Index_Upto_April2'!AD152)</f>
        <v>253.89999999999998</v>
      </c>
      <c r="J152" s="9">
        <f>SUM('[1]14- All_India_Index_Upto_April2'!AA152)</f>
        <v>119.8</v>
      </c>
      <c r="K152" s="9">
        <f>'[1]14- All_India_Index_Upto_April2'!AC152</f>
        <v>135.19999999999999</v>
      </c>
      <c r="L152" s="9">
        <f>SUM('[1]14- All_India_Index_Upto_April2'!AB152,'[1]14- All_India_Index_Upto_April2'!AE152)</f>
        <v>255.70000000000002</v>
      </c>
      <c r="M152" s="9">
        <f>'[1]14- All_India_Index_Upto_April2'!AF152</f>
        <v>132.80000000000001</v>
      </c>
    </row>
    <row r="153" spans="1:13" hidden="1">
      <c r="A153" s="9" t="str">
        <f>'[1]14- All_India_Index_Upto_April2'!A153</f>
        <v>Urban</v>
      </c>
      <c r="B153" s="9">
        <f>'[1]14- All_India_Index_Upto_April2'!B153</f>
        <v>2017</v>
      </c>
      <c r="C153" s="9" t="str">
        <f>'[1]14- All_India_Index_Upto_April2'!C153</f>
        <v>March</v>
      </c>
      <c r="D153" s="9" t="str">
        <f t="shared" si="4"/>
        <v>March-2017</v>
      </c>
      <c r="E153" s="46">
        <f t="shared" si="5"/>
        <v>42795</v>
      </c>
      <c r="F153" s="9">
        <f>SUM('[1]14- All_India_Index_Upto_April2'!F153:S153)</f>
        <v>1853.1999999999998</v>
      </c>
      <c r="G153" s="9">
        <f>SUM('[1]14- All_India_Index_Upto_April2'!T153:V153)</f>
        <v>383.20000000000005</v>
      </c>
      <c r="H153" s="9" t="e">
        <f>SUM([1]!_14__All_India_Index_Upto_April2[[#This Row],[Housing new]],[1]!_14__All_India_Index_Upto_April2[[#This Row],[Household goods and services]])</f>
        <v>#REF!</v>
      </c>
      <c r="I153" s="9">
        <f>SUM('[1]14- All_India_Index_Upto_April2'!Z153,'[1]14- All_India_Index_Upto_April2'!AD153)</f>
        <v>244.8</v>
      </c>
      <c r="J153" s="9">
        <f>SUM('[1]14- All_India_Index_Upto_April2'!AA153)</f>
        <v>115.6</v>
      </c>
      <c r="K153" s="9">
        <f>'[1]14- All_India_Index_Upto_April2'!AC153</f>
        <v>132.80000000000001</v>
      </c>
      <c r="L153" s="9">
        <f>SUM('[1]14- All_India_Index_Upto_April2'!AB153,'[1]14- All_India_Index_Upto_April2'!AE153)</f>
        <v>245</v>
      </c>
      <c r="M153" s="9">
        <f>'[1]14- All_India_Index_Upto_April2'!AF153</f>
        <v>128.69999999999999</v>
      </c>
    </row>
    <row r="154" spans="1:13" hidden="1">
      <c r="A154" s="9" t="str">
        <f>'[1]14- All_India_Index_Upto_April2'!A154</f>
        <v>Rural+Urban</v>
      </c>
      <c r="B154" s="9">
        <f>'[1]14- All_India_Index_Upto_April2'!B154</f>
        <v>2017</v>
      </c>
      <c r="C154" s="9" t="str">
        <f>'[1]14- All_India_Index_Upto_April2'!C154</f>
        <v>March</v>
      </c>
      <c r="D154" s="9" t="str">
        <f t="shared" si="4"/>
        <v>March-2017</v>
      </c>
      <c r="E154" s="46">
        <f t="shared" si="5"/>
        <v>42795</v>
      </c>
      <c r="F154" s="9">
        <f>SUM('[1]14- All_India_Index_Upto_April2'!F154:S154)</f>
        <v>1864</v>
      </c>
      <c r="G154" s="9">
        <f>SUM('[1]14- All_India_Index_Upto_April2'!T154:V154)</f>
        <v>404.29999999999995</v>
      </c>
      <c r="H154" s="9" t="e">
        <f>SUM([1]!_14__All_India_Index_Upto_April2[[#This Row],[Housing new]],[1]!_14__All_India_Index_Upto_April2[[#This Row],[Household goods and services]])</f>
        <v>#REF!</v>
      </c>
      <c r="I154" s="9">
        <f>SUM('[1]14- All_India_Index_Upto_April2'!Z154,'[1]14- All_India_Index_Upto_April2'!AD154)</f>
        <v>250.39999999999998</v>
      </c>
      <c r="J154" s="9">
        <f>SUM('[1]14- All_India_Index_Upto_April2'!AA154)</f>
        <v>117.6</v>
      </c>
      <c r="K154" s="9">
        <f>'[1]14- All_India_Index_Upto_April2'!AC154</f>
        <v>133.80000000000001</v>
      </c>
      <c r="L154" s="9">
        <f>SUM('[1]14- All_India_Index_Upto_April2'!AB154,'[1]14- All_India_Index_Upto_April2'!AE154)</f>
        <v>250.1</v>
      </c>
      <c r="M154" s="9">
        <f>'[1]14- All_India_Index_Upto_April2'!AF154</f>
        <v>130.9</v>
      </c>
    </row>
    <row r="155" spans="1:13" hidden="1">
      <c r="A155" s="9" t="str">
        <f>'[1]14- All_India_Index_Upto_April2'!A155</f>
        <v>Rural</v>
      </c>
      <c r="B155" s="9">
        <f>'[1]14- All_India_Index_Upto_April2'!B155</f>
        <v>2017</v>
      </c>
      <c r="C155" s="9" t="str">
        <f>'[1]14- All_India_Index_Upto_April2'!C155</f>
        <v>April</v>
      </c>
      <c r="D155" s="9" t="str">
        <f t="shared" si="4"/>
        <v>April-2017</v>
      </c>
      <c r="E155" s="46">
        <f t="shared" si="5"/>
        <v>42826</v>
      </c>
      <c r="F155" s="9">
        <f>SUM('[1]14- All_India_Index_Upto_April2'!F155:S155)</f>
        <v>1870.7</v>
      </c>
      <c r="G155" s="9">
        <f>SUM('[1]14- All_India_Index_Upto_April2'!T155:V155)</f>
        <v>420.80000000000007</v>
      </c>
      <c r="H155" s="9" t="e">
        <f>SUM([1]!_14__All_India_Index_Upto_April2[[#This Row],[Housing new]],[1]!_14__All_India_Index_Upto_April2[[#This Row],[Household goods and services]])</f>
        <v>#REF!</v>
      </c>
      <c r="I155" s="9">
        <f>SUM('[1]14- All_India_Index_Upto_April2'!Z155,'[1]14- All_India_Index_Upto_April2'!AD155)</f>
        <v>254.7</v>
      </c>
      <c r="J155" s="9">
        <f>SUM('[1]14- All_India_Index_Upto_April2'!AA155)</f>
        <v>119.2</v>
      </c>
      <c r="K155" s="9">
        <f>'[1]14- All_India_Index_Upto_April2'!AC155</f>
        <v>135.69999999999999</v>
      </c>
      <c r="L155" s="9">
        <f>SUM('[1]14- All_India_Index_Upto_April2'!AB155,'[1]14- All_India_Index_Upto_April2'!AE155)</f>
        <v>255.8</v>
      </c>
      <c r="M155" s="9">
        <f>'[1]14- All_India_Index_Upto_April2'!AF155</f>
        <v>132.9</v>
      </c>
    </row>
    <row r="156" spans="1:13" hidden="1">
      <c r="A156" s="9" t="str">
        <f>'[1]14- All_India_Index_Upto_April2'!A156</f>
        <v>Urban</v>
      </c>
      <c r="B156" s="9">
        <f>'[1]14- All_India_Index_Upto_April2'!B156</f>
        <v>2017</v>
      </c>
      <c r="C156" s="9" t="str">
        <f>'[1]14- All_India_Index_Upto_April2'!C156</f>
        <v>April</v>
      </c>
      <c r="D156" s="9" t="str">
        <f t="shared" si="4"/>
        <v>April-2017</v>
      </c>
      <c r="E156" s="46">
        <f t="shared" si="5"/>
        <v>42826</v>
      </c>
      <c r="F156" s="9">
        <f>SUM('[1]14- All_India_Index_Upto_April2'!F156:S156)</f>
        <v>1856.1</v>
      </c>
      <c r="G156" s="9">
        <f>SUM('[1]14- All_India_Index_Upto_April2'!T156:V156)</f>
        <v>384.2</v>
      </c>
      <c r="H156" s="9" t="e">
        <f>SUM([1]!_14__All_India_Index_Upto_April2[[#This Row],[Housing new]],[1]!_14__All_India_Index_Upto_April2[[#This Row],[Household goods and services]])</f>
        <v>#REF!</v>
      </c>
      <c r="I156" s="9">
        <f>SUM('[1]14- All_India_Index_Upto_April2'!Z156,'[1]14- All_India_Index_Upto_April2'!AD156)</f>
        <v>245.60000000000002</v>
      </c>
      <c r="J156" s="9">
        <f>SUM('[1]14- All_India_Index_Upto_April2'!AA156)</f>
        <v>114.3</v>
      </c>
      <c r="K156" s="9">
        <f>'[1]14- All_India_Index_Upto_April2'!AC156</f>
        <v>133.6</v>
      </c>
      <c r="L156" s="9">
        <f>SUM('[1]14- All_India_Index_Upto_April2'!AB156,'[1]14- All_India_Index_Upto_April2'!AE156)</f>
        <v>245.1</v>
      </c>
      <c r="M156" s="9">
        <f>'[1]14- All_India_Index_Upto_April2'!AF156</f>
        <v>129.1</v>
      </c>
    </row>
    <row r="157" spans="1:13" hidden="1">
      <c r="A157" s="9" t="str">
        <f>'[1]14- All_India_Index_Upto_April2'!A157</f>
        <v>Rural+Urban</v>
      </c>
      <c r="B157" s="9">
        <f>'[1]14- All_India_Index_Upto_April2'!B157</f>
        <v>2017</v>
      </c>
      <c r="C157" s="9" t="str">
        <f>'[1]14- All_India_Index_Upto_April2'!C157</f>
        <v>April</v>
      </c>
      <c r="D157" s="9" t="str">
        <f t="shared" si="4"/>
        <v>April-2017</v>
      </c>
      <c r="E157" s="46">
        <f t="shared" si="5"/>
        <v>42826</v>
      </c>
      <c r="F157" s="9">
        <f>SUM('[1]14- All_India_Index_Upto_April2'!F157:S157)</f>
        <v>1863.8000000000002</v>
      </c>
      <c r="G157" s="9">
        <f>SUM('[1]14- All_India_Index_Upto_April2'!T157:V157)</f>
        <v>406.1</v>
      </c>
      <c r="H157" s="9" t="e">
        <f>SUM([1]!_14__All_India_Index_Upto_April2[[#This Row],[Housing new]],[1]!_14__All_India_Index_Upto_April2[[#This Row],[Household goods and services]])</f>
        <v>#REF!</v>
      </c>
      <c r="I157" s="9">
        <f>SUM('[1]14- All_India_Index_Upto_April2'!Z157,'[1]14- All_India_Index_Upto_April2'!AD157)</f>
        <v>251.2</v>
      </c>
      <c r="J157" s="9">
        <f>SUM('[1]14- All_India_Index_Upto_April2'!AA157)</f>
        <v>116.6</v>
      </c>
      <c r="K157" s="9">
        <f>'[1]14- All_India_Index_Upto_April2'!AC157</f>
        <v>134.5</v>
      </c>
      <c r="L157" s="9">
        <f>SUM('[1]14- All_India_Index_Upto_April2'!AB157,'[1]14- All_India_Index_Upto_April2'!AE157)</f>
        <v>250.2</v>
      </c>
      <c r="M157" s="9">
        <f>'[1]14- All_India_Index_Upto_April2'!AF157</f>
        <v>131.1</v>
      </c>
    </row>
    <row r="158" spans="1:13" hidden="1">
      <c r="A158" s="9" t="str">
        <f>'[1]14- All_India_Index_Upto_April2'!A158</f>
        <v>Rural</v>
      </c>
      <c r="B158" s="9">
        <f>'[1]14- All_India_Index_Upto_April2'!B158</f>
        <v>2017</v>
      </c>
      <c r="C158" s="9" t="str">
        <f>'[1]14- All_India_Index_Upto_April2'!C158</f>
        <v>May</v>
      </c>
      <c r="D158" s="9" t="str">
        <f t="shared" si="4"/>
        <v>May-2017</v>
      </c>
      <c r="E158" s="46">
        <f t="shared" si="5"/>
        <v>42856</v>
      </c>
      <c r="F158" s="9">
        <f>SUM('[1]14- All_India_Index_Upto_April2'!F158:S158)</f>
        <v>1872.9999999999995</v>
      </c>
      <c r="G158" s="9">
        <f>SUM('[1]14- All_India_Index_Upto_April2'!T158:V158)</f>
        <v>421.6</v>
      </c>
      <c r="H158" s="9" t="e">
        <f>SUM([1]!_14__All_India_Index_Upto_April2[[#This Row],[Housing new]],[1]!_14__All_India_Index_Upto_April2[[#This Row],[Household goods and services]])</f>
        <v>#REF!</v>
      </c>
      <c r="I158" s="9">
        <f>SUM('[1]14- All_India_Index_Upto_April2'!Z158,'[1]14- All_India_Index_Upto_April2'!AD158)</f>
        <v>255.10000000000002</v>
      </c>
      <c r="J158" s="9">
        <f>SUM('[1]14- All_India_Index_Upto_April2'!AA158)</f>
        <v>119.4</v>
      </c>
      <c r="K158" s="9">
        <f>'[1]14- All_India_Index_Upto_April2'!AC158</f>
        <v>136.30000000000001</v>
      </c>
      <c r="L158" s="9">
        <f>SUM('[1]14- All_India_Index_Upto_April2'!AB158,'[1]14- All_India_Index_Upto_April2'!AE158)</f>
        <v>257.3</v>
      </c>
      <c r="M158" s="9">
        <f>'[1]14- All_India_Index_Upto_April2'!AF158</f>
        <v>133.30000000000001</v>
      </c>
    </row>
    <row r="159" spans="1:13" hidden="1">
      <c r="A159" s="9" t="str">
        <f>'[1]14- All_India_Index_Upto_April2'!A159</f>
        <v>Urban</v>
      </c>
      <c r="B159" s="9">
        <f>'[1]14- All_India_Index_Upto_April2'!B159</f>
        <v>2017</v>
      </c>
      <c r="C159" s="9" t="str">
        <f>'[1]14- All_India_Index_Upto_April2'!C159</f>
        <v>May</v>
      </c>
      <c r="D159" s="9" t="str">
        <f t="shared" si="4"/>
        <v>May-2017</v>
      </c>
      <c r="E159" s="46">
        <f t="shared" si="5"/>
        <v>42856</v>
      </c>
      <c r="F159" s="9">
        <f>SUM('[1]14- All_India_Index_Upto_April2'!F159:S159)</f>
        <v>1857.8999999999999</v>
      </c>
      <c r="G159" s="9">
        <f>SUM('[1]14- All_India_Index_Upto_April2'!T159:V159)</f>
        <v>384.9</v>
      </c>
      <c r="H159" s="9" t="e">
        <f>SUM([1]!_14__All_India_Index_Upto_April2[[#This Row],[Housing new]],[1]!_14__All_India_Index_Upto_April2[[#This Row],[Household goods and services]])</f>
        <v>#REF!</v>
      </c>
      <c r="I159" s="9">
        <f>SUM('[1]14- All_India_Index_Upto_April2'!Z159,'[1]14- All_India_Index_Upto_April2'!AD159)</f>
        <v>245.6</v>
      </c>
      <c r="J159" s="9">
        <f>SUM('[1]14- All_India_Index_Upto_April2'!AA159)</f>
        <v>114.3</v>
      </c>
      <c r="K159" s="9">
        <f>'[1]14- All_India_Index_Upto_April2'!AC159</f>
        <v>133.80000000000001</v>
      </c>
      <c r="L159" s="9">
        <f>SUM('[1]14- All_India_Index_Upto_April2'!AB159,'[1]14- All_India_Index_Upto_April2'!AE159)</f>
        <v>245.39999999999998</v>
      </c>
      <c r="M159" s="9">
        <f>'[1]14- All_India_Index_Upto_April2'!AF159</f>
        <v>129.30000000000001</v>
      </c>
    </row>
    <row r="160" spans="1:13" hidden="1">
      <c r="A160" s="9" t="str">
        <f>'[1]14- All_India_Index_Upto_April2'!A160</f>
        <v>Rural+Urban</v>
      </c>
      <c r="B160" s="9">
        <f>'[1]14- All_India_Index_Upto_April2'!B160</f>
        <v>2017</v>
      </c>
      <c r="C160" s="9" t="str">
        <f>'[1]14- All_India_Index_Upto_April2'!C160</f>
        <v>May</v>
      </c>
      <c r="D160" s="9" t="str">
        <f t="shared" si="4"/>
        <v>May-2017</v>
      </c>
      <c r="E160" s="46">
        <f t="shared" si="5"/>
        <v>42856</v>
      </c>
      <c r="F160" s="9">
        <f>SUM('[1]14- All_India_Index_Upto_April2'!F160:S160)</f>
        <v>1865.8000000000002</v>
      </c>
      <c r="G160" s="9">
        <f>SUM('[1]14- All_India_Index_Upto_April2'!T160:V160)</f>
        <v>406.8</v>
      </c>
      <c r="H160" s="9" t="e">
        <f>SUM([1]!_14__All_India_Index_Upto_April2[[#This Row],[Housing new]],[1]!_14__All_India_Index_Upto_April2[[#This Row],[Household goods and services]])</f>
        <v>#REF!</v>
      </c>
      <c r="I160" s="9">
        <f>SUM('[1]14- All_India_Index_Upto_April2'!Z160,'[1]14- All_India_Index_Upto_April2'!AD160)</f>
        <v>251.4</v>
      </c>
      <c r="J160" s="9">
        <f>SUM('[1]14- All_India_Index_Upto_April2'!AA160)</f>
        <v>116.7</v>
      </c>
      <c r="K160" s="9">
        <f>'[1]14- All_India_Index_Upto_April2'!AC160</f>
        <v>134.80000000000001</v>
      </c>
      <c r="L160" s="9">
        <f>SUM('[1]14- All_India_Index_Upto_April2'!AB160,'[1]14- All_India_Index_Upto_April2'!AE160)</f>
        <v>251</v>
      </c>
      <c r="M160" s="9">
        <f>'[1]14- All_India_Index_Upto_April2'!AF160</f>
        <v>131.4</v>
      </c>
    </row>
    <row r="161" spans="1:13" hidden="1">
      <c r="A161" s="9" t="str">
        <f>'[1]14- All_India_Index_Upto_April2'!A161</f>
        <v>Rural</v>
      </c>
      <c r="B161" s="9">
        <f>'[1]14- All_India_Index_Upto_April2'!B161</f>
        <v>2017</v>
      </c>
      <c r="C161" s="9" t="str">
        <f>'[1]14- All_India_Index_Upto_April2'!C161</f>
        <v>June</v>
      </c>
      <c r="D161" s="9" t="str">
        <f t="shared" si="4"/>
        <v>June-2017</v>
      </c>
      <c r="E161" s="46">
        <f t="shared" si="5"/>
        <v>42887</v>
      </c>
      <c r="F161" s="9">
        <f>SUM('[1]14- All_India_Index_Upto_April2'!F161:S161)</f>
        <v>1884.6000000000001</v>
      </c>
      <c r="G161" s="9">
        <f>SUM('[1]14- All_India_Index_Upto_April2'!T161:V161)</f>
        <v>423.09999999999997</v>
      </c>
      <c r="H161" s="9" t="e">
        <f>SUM([1]!_14__All_India_Index_Upto_April2[[#This Row],[Housing new]],[1]!_14__All_India_Index_Upto_April2[[#This Row],[Household goods and services]])</f>
        <v>#REF!</v>
      </c>
      <c r="I161" s="9">
        <f>SUM('[1]14- All_India_Index_Upto_April2'!Z161,'[1]14- All_India_Index_Upto_April2'!AD161)</f>
        <v>255.4</v>
      </c>
      <c r="J161" s="9">
        <f>SUM('[1]14- All_India_Index_Upto_April2'!AA161)</f>
        <v>119.4</v>
      </c>
      <c r="K161" s="9">
        <f>'[1]14- All_India_Index_Upto_April2'!AC161</f>
        <v>136.9</v>
      </c>
      <c r="L161" s="9">
        <f>SUM('[1]14- All_India_Index_Upto_April2'!AB161,'[1]14- All_India_Index_Upto_April2'!AE161)</f>
        <v>257.89999999999998</v>
      </c>
      <c r="M161" s="9">
        <f>'[1]14- All_India_Index_Upto_April2'!AF161</f>
        <v>133.9</v>
      </c>
    </row>
    <row r="162" spans="1:13" hidden="1">
      <c r="A162" s="9" t="str">
        <f>'[1]14- All_India_Index_Upto_April2'!A162</f>
        <v>Urban</v>
      </c>
      <c r="B162" s="9">
        <f>'[1]14- All_India_Index_Upto_April2'!B162</f>
        <v>2017</v>
      </c>
      <c r="C162" s="9" t="str">
        <f>'[1]14- All_India_Index_Upto_April2'!C162</f>
        <v>June</v>
      </c>
      <c r="D162" s="9" t="str">
        <f t="shared" si="4"/>
        <v>June-2017</v>
      </c>
      <c r="E162" s="46">
        <f t="shared" si="5"/>
        <v>42887</v>
      </c>
      <c r="F162" s="9">
        <f>SUM('[1]14- All_India_Index_Upto_April2'!F162:S162)</f>
        <v>1879.6000000000001</v>
      </c>
      <c r="G162" s="9">
        <f>SUM('[1]14- All_India_Index_Upto_April2'!T162:V162)</f>
        <v>384.9</v>
      </c>
      <c r="H162" s="9" t="e">
        <f>SUM([1]!_14__All_India_Index_Upto_April2[[#This Row],[Housing new]],[1]!_14__All_India_Index_Upto_April2[[#This Row],[Household goods and services]])</f>
        <v>#REF!</v>
      </c>
      <c r="I162" s="9">
        <f>SUM('[1]14- All_India_Index_Upto_April2'!Z162,'[1]14- All_India_Index_Upto_April2'!AD162)</f>
        <v>246.3</v>
      </c>
      <c r="J162" s="9">
        <f>SUM('[1]14- All_India_Index_Upto_April2'!AA162)</f>
        <v>113.9</v>
      </c>
      <c r="K162" s="9">
        <f>'[1]14- All_India_Index_Upto_April2'!AC162</f>
        <v>134.30000000000001</v>
      </c>
      <c r="L162" s="9">
        <f>SUM('[1]14- All_India_Index_Upto_April2'!AB162,'[1]14- All_India_Index_Upto_April2'!AE162)</f>
        <v>245.60000000000002</v>
      </c>
      <c r="M162" s="9">
        <f>'[1]14- All_India_Index_Upto_April2'!AF162</f>
        <v>129.9</v>
      </c>
    </row>
    <row r="163" spans="1:13" hidden="1">
      <c r="A163" s="9" t="str">
        <f>'[1]14- All_India_Index_Upto_April2'!A163</f>
        <v>Rural+Urban</v>
      </c>
      <c r="B163" s="9">
        <f>'[1]14- All_India_Index_Upto_April2'!B163</f>
        <v>2017</v>
      </c>
      <c r="C163" s="9" t="str">
        <f>'[1]14- All_India_Index_Upto_April2'!C163</f>
        <v>June</v>
      </c>
      <c r="D163" s="9" t="str">
        <f t="shared" si="4"/>
        <v>June-2017</v>
      </c>
      <c r="E163" s="46">
        <f t="shared" si="5"/>
        <v>42887</v>
      </c>
      <c r="F163" s="9">
        <f>SUM('[1]14- All_India_Index_Upto_April2'!F163:S163)</f>
        <v>1881.2</v>
      </c>
      <c r="G163" s="9">
        <f>SUM('[1]14- All_India_Index_Upto_April2'!T163:V163)</f>
        <v>407.7</v>
      </c>
      <c r="H163" s="9" t="e">
        <f>SUM([1]!_14__All_India_Index_Upto_April2[[#This Row],[Housing new]],[1]!_14__All_India_Index_Upto_April2[[#This Row],[Household goods and services]])</f>
        <v>#REF!</v>
      </c>
      <c r="I163" s="9">
        <f>SUM('[1]14- All_India_Index_Upto_April2'!Z163,'[1]14- All_India_Index_Upto_April2'!AD163)</f>
        <v>251.9</v>
      </c>
      <c r="J163" s="9">
        <f>SUM('[1]14- All_India_Index_Upto_April2'!AA163)</f>
        <v>116.5</v>
      </c>
      <c r="K163" s="9">
        <f>'[1]14- All_India_Index_Upto_April2'!AC163</f>
        <v>135.4</v>
      </c>
      <c r="L163" s="9">
        <f>SUM('[1]14- All_India_Index_Upto_April2'!AB163,'[1]14- All_India_Index_Upto_April2'!AE163)</f>
        <v>251.4</v>
      </c>
      <c r="M163" s="9">
        <f>'[1]14- All_India_Index_Upto_April2'!AF163</f>
        <v>132</v>
      </c>
    </row>
    <row r="164" spans="1:13" hidden="1">
      <c r="A164" s="9" t="str">
        <f>'[1]14- All_India_Index_Upto_April2'!A164</f>
        <v>Rural</v>
      </c>
      <c r="B164" s="9">
        <f>'[1]14- All_India_Index_Upto_April2'!B164</f>
        <v>2017</v>
      </c>
      <c r="C164" s="9" t="str">
        <f>'[1]14- All_India_Index_Upto_April2'!C164</f>
        <v>July</v>
      </c>
      <c r="D164" s="9" t="str">
        <f t="shared" si="4"/>
        <v>July-2017</v>
      </c>
      <c r="E164" s="46">
        <f t="shared" si="5"/>
        <v>42917</v>
      </c>
      <c r="F164" s="9">
        <f>SUM('[1]14- All_India_Index_Upto_April2'!F164:S164)</f>
        <v>1920.3000000000002</v>
      </c>
      <c r="G164" s="9">
        <f>SUM('[1]14- All_India_Index_Upto_April2'!T164:V164)</f>
        <v>425.9</v>
      </c>
      <c r="H164" s="9" t="e">
        <f>SUM([1]!_14__All_India_Index_Upto_April2[[#This Row],[Housing new]],[1]!_14__All_India_Index_Upto_April2[[#This Row],[Household goods and services]])</f>
        <v>#REF!</v>
      </c>
      <c r="I164" s="9">
        <f>SUM('[1]14- All_India_Index_Upto_April2'!Z164,'[1]14- All_India_Index_Upto_April2'!AD164)</f>
        <v>256.5</v>
      </c>
      <c r="J164" s="9">
        <f>SUM('[1]14- All_India_Index_Upto_April2'!AA164)</f>
        <v>119.1</v>
      </c>
      <c r="K164" s="9">
        <f>'[1]14- All_India_Index_Upto_April2'!AC164</f>
        <v>138.6</v>
      </c>
      <c r="L164" s="9">
        <f>SUM('[1]14- All_India_Index_Upto_April2'!AB164,'[1]14- All_India_Index_Upto_April2'!AE164)</f>
        <v>259.2</v>
      </c>
      <c r="M164" s="9">
        <f>'[1]14- All_India_Index_Upto_April2'!AF164</f>
        <v>136.19999999999999</v>
      </c>
    </row>
    <row r="165" spans="1:13" hidden="1">
      <c r="A165" s="9" t="str">
        <f>'[1]14- All_India_Index_Upto_April2'!A165</f>
        <v>Urban</v>
      </c>
      <c r="B165" s="9">
        <f>'[1]14- All_India_Index_Upto_April2'!B165</f>
        <v>2017</v>
      </c>
      <c r="C165" s="9" t="str">
        <f>'[1]14- All_India_Index_Upto_April2'!C165</f>
        <v>July</v>
      </c>
      <c r="D165" s="9" t="str">
        <f t="shared" si="4"/>
        <v>July-2017</v>
      </c>
      <c r="E165" s="46">
        <f t="shared" si="5"/>
        <v>42917</v>
      </c>
      <c r="F165" s="9">
        <f>SUM('[1]14- All_India_Index_Upto_April2'!F165:S165)</f>
        <v>1918.6</v>
      </c>
      <c r="G165" s="9">
        <f>SUM('[1]14- All_India_Index_Upto_April2'!T165:V165)</f>
        <v>385.70000000000005</v>
      </c>
      <c r="H165" s="9" t="e">
        <f>SUM([1]!_14__All_India_Index_Upto_April2[[#This Row],[Housing new]],[1]!_14__All_India_Index_Upto_April2[[#This Row],[Household goods and services]])</f>
        <v>#REF!</v>
      </c>
      <c r="I165" s="9">
        <f>SUM('[1]14- All_India_Index_Upto_April2'!Z165,'[1]14- All_India_Index_Upto_April2'!AD165)</f>
        <v>247.4</v>
      </c>
      <c r="J165" s="9">
        <f>SUM('[1]14- All_India_Index_Upto_April2'!AA165)</f>
        <v>113.2</v>
      </c>
      <c r="K165" s="9">
        <f>'[1]14- All_India_Index_Upto_April2'!AC165</f>
        <v>135.5</v>
      </c>
      <c r="L165" s="9">
        <f>SUM('[1]14- All_India_Index_Upto_April2'!AB165,'[1]14- All_India_Index_Upto_April2'!AE165)</f>
        <v>246.5</v>
      </c>
      <c r="M165" s="9">
        <f>'[1]14- All_India_Index_Upto_April2'!AF165</f>
        <v>131.80000000000001</v>
      </c>
    </row>
    <row r="166" spans="1:13" hidden="1">
      <c r="A166" s="9" t="str">
        <f>'[1]14- All_India_Index_Upto_April2'!A166</f>
        <v>Rural+Urban</v>
      </c>
      <c r="B166" s="9">
        <f>'[1]14- All_India_Index_Upto_April2'!B166</f>
        <v>2017</v>
      </c>
      <c r="C166" s="9" t="str">
        <f>'[1]14- All_India_Index_Upto_April2'!C166</f>
        <v>July</v>
      </c>
      <c r="D166" s="9" t="str">
        <f t="shared" si="4"/>
        <v>July-2017</v>
      </c>
      <c r="E166" s="46">
        <f t="shared" si="5"/>
        <v>42917</v>
      </c>
      <c r="F166" s="9">
        <f>SUM('[1]14- All_India_Index_Upto_April2'!F166:S166)</f>
        <v>1917.6</v>
      </c>
      <c r="G166" s="9">
        <f>SUM('[1]14- All_India_Index_Upto_April2'!T166:V166)</f>
        <v>409.7</v>
      </c>
      <c r="H166" s="9" t="e">
        <f>SUM([1]!_14__All_India_Index_Upto_April2[[#This Row],[Housing new]],[1]!_14__All_India_Index_Upto_April2[[#This Row],[Household goods and services]])</f>
        <v>#REF!</v>
      </c>
      <c r="I166" s="9">
        <f>SUM('[1]14- All_India_Index_Upto_April2'!Z166,'[1]14- All_India_Index_Upto_April2'!AD166)</f>
        <v>253</v>
      </c>
      <c r="J166" s="9">
        <f>SUM('[1]14- All_India_Index_Upto_April2'!AA166)</f>
        <v>116</v>
      </c>
      <c r="K166" s="9">
        <f>'[1]14- All_India_Index_Upto_April2'!AC166</f>
        <v>136.80000000000001</v>
      </c>
      <c r="L166" s="9">
        <f>SUM('[1]14- All_India_Index_Upto_April2'!AB166,'[1]14- All_India_Index_Upto_April2'!AE166)</f>
        <v>252.5</v>
      </c>
      <c r="M166" s="9">
        <f>'[1]14- All_India_Index_Upto_April2'!AF166</f>
        <v>134.19999999999999</v>
      </c>
    </row>
    <row r="167" spans="1:13" hidden="1">
      <c r="A167" s="9" t="str">
        <f>'[1]14- All_India_Index_Upto_April2'!A167</f>
        <v>Rural</v>
      </c>
      <c r="B167" s="9">
        <f>'[1]14- All_India_Index_Upto_April2'!B167</f>
        <v>2017</v>
      </c>
      <c r="C167" s="9" t="str">
        <f>'[1]14- All_India_Index_Upto_April2'!C167</f>
        <v>August</v>
      </c>
      <c r="D167" s="9" t="str">
        <f t="shared" si="4"/>
        <v>August-2017</v>
      </c>
      <c r="E167" s="46">
        <f t="shared" si="5"/>
        <v>42948</v>
      </c>
      <c r="F167" s="9">
        <f>SUM('[1]14- All_India_Index_Upto_April2'!F167:S167)</f>
        <v>1941.4999999999998</v>
      </c>
      <c r="G167" s="9">
        <f>SUM('[1]14- All_India_Index_Upto_April2'!T167:V167)</f>
        <v>429</v>
      </c>
      <c r="H167" s="9" t="e">
        <f>SUM([1]!_14__All_India_Index_Upto_April2[[#This Row],[Housing new]],[1]!_14__All_India_Index_Upto_April2[[#This Row],[Household goods and services]])</f>
        <v>#REF!</v>
      </c>
      <c r="I167" s="9">
        <f>SUM('[1]14- All_India_Index_Upto_April2'!Z167,'[1]14- All_India_Index_Upto_April2'!AD167)</f>
        <v>258.39999999999998</v>
      </c>
      <c r="J167" s="9">
        <f>SUM('[1]14- All_India_Index_Upto_April2'!AA167)</f>
        <v>120.3</v>
      </c>
      <c r="K167" s="9">
        <f>'[1]14- All_India_Index_Upto_April2'!AC167</f>
        <v>140.19999999999999</v>
      </c>
      <c r="L167" s="9">
        <f>SUM('[1]14- All_India_Index_Upto_April2'!AB167,'[1]14- All_India_Index_Upto_April2'!AE167)</f>
        <v>261.2</v>
      </c>
      <c r="M167" s="9">
        <f>'[1]14- All_India_Index_Upto_April2'!AF167</f>
        <v>137.80000000000001</v>
      </c>
    </row>
    <row r="168" spans="1:13" hidden="1">
      <c r="A168" s="9" t="str">
        <f>'[1]14- All_India_Index_Upto_April2'!A168</f>
        <v>Urban</v>
      </c>
      <c r="B168" s="9">
        <f>'[1]14- All_India_Index_Upto_April2'!B168</f>
        <v>2017</v>
      </c>
      <c r="C168" s="9" t="str">
        <f>'[1]14- All_India_Index_Upto_April2'!C168</f>
        <v>August</v>
      </c>
      <c r="D168" s="9" t="str">
        <f t="shared" si="4"/>
        <v>August-2017</v>
      </c>
      <c r="E168" s="46">
        <f t="shared" si="5"/>
        <v>42948</v>
      </c>
      <c r="F168" s="9">
        <f>SUM('[1]14- All_India_Index_Upto_April2'!F168:S168)</f>
        <v>1925.0999999999997</v>
      </c>
      <c r="G168" s="9">
        <f>SUM('[1]14- All_India_Index_Upto_April2'!T168:V168)</f>
        <v>388.4</v>
      </c>
      <c r="H168" s="9" t="e">
        <f>SUM([1]!_14__All_India_Index_Upto_April2[[#This Row],[Housing new]],[1]!_14__All_India_Index_Upto_April2[[#This Row],[Household goods and services]])</f>
        <v>#REF!</v>
      </c>
      <c r="I168" s="9">
        <f>SUM('[1]14- All_India_Index_Upto_April2'!Z168,'[1]14- All_India_Index_Upto_April2'!AD168)</f>
        <v>249</v>
      </c>
      <c r="J168" s="9">
        <f>SUM('[1]14- All_India_Index_Upto_April2'!AA168)</f>
        <v>114.6</v>
      </c>
      <c r="K168" s="9">
        <f>'[1]14- All_India_Index_Upto_April2'!AC168</f>
        <v>135.69999999999999</v>
      </c>
      <c r="L168" s="9">
        <f>SUM('[1]14- All_India_Index_Upto_April2'!AB168,'[1]14- All_India_Index_Upto_April2'!AE168)</f>
        <v>247.89999999999998</v>
      </c>
      <c r="M168" s="9">
        <f>'[1]14- All_India_Index_Upto_April2'!AF168</f>
        <v>132.69999999999999</v>
      </c>
    </row>
    <row r="169" spans="1:13" hidden="1">
      <c r="A169" s="9" t="str">
        <f>'[1]14- All_India_Index_Upto_April2'!A169</f>
        <v>Rural+Urban</v>
      </c>
      <c r="B169" s="9">
        <f>'[1]14- All_India_Index_Upto_April2'!B169</f>
        <v>2017</v>
      </c>
      <c r="C169" s="9" t="str">
        <f>'[1]14- All_India_Index_Upto_April2'!C169</f>
        <v>August</v>
      </c>
      <c r="D169" s="9" t="str">
        <f t="shared" si="4"/>
        <v>August-2017</v>
      </c>
      <c r="E169" s="46">
        <f t="shared" si="5"/>
        <v>42948</v>
      </c>
      <c r="F169" s="9">
        <f>SUM('[1]14- All_India_Index_Upto_April2'!F169:S169)</f>
        <v>1933.6</v>
      </c>
      <c r="G169" s="9">
        <f>SUM('[1]14- All_India_Index_Upto_April2'!T169:V169)</f>
        <v>412.6</v>
      </c>
      <c r="H169" s="9" t="e">
        <f>SUM([1]!_14__All_India_Index_Upto_April2[[#This Row],[Housing new]],[1]!_14__All_India_Index_Upto_April2[[#This Row],[Household goods and services]])</f>
        <v>#REF!</v>
      </c>
      <c r="I169" s="9">
        <f>SUM('[1]14- All_India_Index_Upto_April2'!Z169,'[1]14- All_India_Index_Upto_April2'!AD169)</f>
        <v>254.7</v>
      </c>
      <c r="J169" s="9">
        <f>SUM('[1]14- All_India_Index_Upto_April2'!AA169)</f>
        <v>117.3</v>
      </c>
      <c r="K169" s="9">
        <f>'[1]14- All_India_Index_Upto_April2'!AC169</f>
        <v>137.6</v>
      </c>
      <c r="L169" s="9">
        <f>SUM('[1]14- All_India_Index_Upto_April2'!AB169,'[1]14- All_India_Index_Upto_April2'!AE169)</f>
        <v>254.1</v>
      </c>
      <c r="M169" s="9">
        <f>'[1]14- All_India_Index_Upto_April2'!AF169</f>
        <v>135.4</v>
      </c>
    </row>
    <row r="170" spans="1:13" hidden="1">
      <c r="A170" s="9" t="str">
        <f>'[1]14- All_India_Index_Upto_April2'!A170</f>
        <v>Rural</v>
      </c>
      <c r="B170" s="9">
        <f>'[1]14- All_India_Index_Upto_April2'!B170</f>
        <v>2017</v>
      </c>
      <c r="C170" s="9" t="str">
        <f>'[1]14- All_India_Index_Upto_April2'!C170</f>
        <v>September</v>
      </c>
      <c r="D170" s="9" t="str">
        <f t="shared" si="4"/>
        <v>September-2017</v>
      </c>
      <c r="E170" s="46">
        <f t="shared" si="5"/>
        <v>42979</v>
      </c>
      <c r="F170" s="9">
        <f>SUM('[1]14- All_India_Index_Upto_April2'!F170:S170)</f>
        <v>1934.1</v>
      </c>
      <c r="G170" s="9">
        <f>SUM('[1]14- All_India_Index_Upto_April2'!T170:V170)</f>
        <v>430.99999999999994</v>
      </c>
      <c r="H170" s="9" t="e">
        <f>SUM([1]!_14__All_India_Index_Upto_April2[[#This Row],[Housing new]],[1]!_14__All_India_Index_Upto_April2[[#This Row],[Household goods and services]])</f>
        <v>#REF!</v>
      </c>
      <c r="I170" s="9">
        <f>SUM('[1]14- All_India_Index_Upto_April2'!Z170,'[1]14- All_India_Index_Upto_April2'!AD170)</f>
        <v>260.10000000000002</v>
      </c>
      <c r="J170" s="9">
        <f>SUM('[1]14- All_India_Index_Upto_April2'!AA170)</f>
        <v>121.2</v>
      </c>
      <c r="K170" s="9">
        <f>'[1]14- All_India_Index_Upto_April2'!AC170</f>
        <v>139.6</v>
      </c>
      <c r="L170" s="9">
        <f>SUM('[1]14- All_India_Index_Upto_April2'!AB170,'[1]14- All_India_Index_Upto_April2'!AE170)</f>
        <v>262.60000000000002</v>
      </c>
      <c r="M170" s="9">
        <f>'[1]14- All_India_Index_Upto_April2'!AF170</f>
        <v>137.6</v>
      </c>
    </row>
    <row r="171" spans="1:13" hidden="1">
      <c r="A171" s="9" t="str">
        <f>'[1]14- All_India_Index_Upto_April2'!A171</f>
        <v>Urban</v>
      </c>
      <c r="B171" s="9">
        <f>'[1]14- All_India_Index_Upto_April2'!B171</f>
        <v>2017</v>
      </c>
      <c r="C171" s="9" t="str">
        <f>'[1]14- All_India_Index_Upto_April2'!C171</f>
        <v>September</v>
      </c>
      <c r="D171" s="9" t="str">
        <f t="shared" si="4"/>
        <v>September-2017</v>
      </c>
      <c r="E171" s="46">
        <f t="shared" si="5"/>
        <v>42979</v>
      </c>
      <c r="F171" s="9">
        <f>SUM('[1]14- All_India_Index_Upto_April2'!F171:S171)</f>
        <v>1903.3</v>
      </c>
      <c r="G171" s="9">
        <f>SUM('[1]14- All_India_Index_Upto_April2'!T171:V171)</f>
        <v>389.9</v>
      </c>
      <c r="H171" s="9" t="e">
        <f>SUM([1]!_14__All_India_Index_Upto_April2[[#This Row],[Housing new]],[1]!_14__All_India_Index_Upto_April2[[#This Row],[Household goods and services]])</f>
        <v>#REF!</v>
      </c>
      <c r="I171" s="9">
        <f>SUM('[1]14- All_India_Index_Upto_April2'!Z171,'[1]14- All_India_Index_Upto_April2'!AD171)</f>
        <v>250.5</v>
      </c>
      <c r="J171" s="9">
        <f>SUM('[1]14- All_India_Index_Upto_April2'!AA171)</f>
        <v>115.7</v>
      </c>
      <c r="K171" s="9">
        <f>'[1]14- All_India_Index_Upto_April2'!AC171</f>
        <v>135.9</v>
      </c>
      <c r="L171" s="9">
        <f>SUM('[1]14- All_India_Index_Upto_April2'!AB171,'[1]14- All_India_Index_Upto_April2'!AE171)</f>
        <v>249</v>
      </c>
      <c r="M171" s="9">
        <f>'[1]14- All_India_Index_Upto_April2'!AF171</f>
        <v>132.4</v>
      </c>
    </row>
    <row r="172" spans="1:13" hidden="1">
      <c r="A172" s="9" t="str">
        <f>'[1]14- All_India_Index_Upto_April2'!A172</f>
        <v>Rural+Urban</v>
      </c>
      <c r="B172" s="9">
        <f>'[1]14- All_India_Index_Upto_April2'!B172</f>
        <v>2017</v>
      </c>
      <c r="C172" s="9" t="str">
        <f>'[1]14- All_India_Index_Upto_April2'!C172</f>
        <v>September</v>
      </c>
      <c r="D172" s="9" t="str">
        <f t="shared" si="4"/>
        <v>September-2017</v>
      </c>
      <c r="E172" s="46">
        <f t="shared" si="5"/>
        <v>42979</v>
      </c>
      <c r="F172" s="9">
        <f>SUM('[1]14- All_India_Index_Upto_April2'!F172:S172)</f>
        <v>1920.7999999999997</v>
      </c>
      <c r="G172" s="9">
        <f>SUM('[1]14- All_India_Index_Upto_April2'!T172:V172)</f>
        <v>414.5</v>
      </c>
      <c r="H172" s="9" t="e">
        <f>SUM([1]!_14__All_India_Index_Upto_April2[[#This Row],[Housing new]],[1]!_14__All_India_Index_Upto_April2[[#This Row],[Household goods and services]])</f>
        <v>#REF!</v>
      </c>
      <c r="I172" s="9">
        <f>SUM('[1]14- All_India_Index_Upto_April2'!Z172,'[1]14- All_India_Index_Upto_April2'!AD172)</f>
        <v>256.3</v>
      </c>
      <c r="J172" s="9">
        <f>SUM('[1]14- All_India_Index_Upto_April2'!AA172)</f>
        <v>118.3</v>
      </c>
      <c r="K172" s="9">
        <f>'[1]14- All_India_Index_Upto_April2'!AC172</f>
        <v>137.4</v>
      </c>
      <c r="L172" s="9">
        <f>SUM('[1]14- All_India_Index_Upto_April2'!AB172,'[1]14- All_India_Index_Upto_April2'!AE172)</f>
        <v>255.4</v>
      </c>
      <c r="M172" s="9">
        <f>'[1]14- All_India_Index_Upto_April2'!AF172</f>
        <v>135.19999999999999</v>
      </c>
    </row>
    <row r="173" spans="1:13" hidden="1">
      <c r="A173" s="9" t="str">
        <f>'[1]14- All_India_Index_Upto_April2'!A173</f>
        <v>Rural</v>
      </c>
      <c r="B173" s="9">
        <f>'[1]14- All_India_Index_Upto_April2'!B173</f>
        <v>2017</v>
      </c>
      <c r="C173" s="9" t="str">
        <f>'[1]14- All_India_Index_Upto_April2'!C173</f>
        <v>October</v>
      </c>
      <c r="D173" s="9" t="str">
        <f t="shared" si="4"/>
        <v>October-2017</v>
      </c>
      <c r="E173" s="46">
        <f t="shared" si="5"/>
        <v>43009</v>
      </c>
      <c r="F173" s="9">
        <f>SUM('[1]14- All_India_Index_Upto_April2'!F173:S173)</f>
        <v>1941.3999999999999</v>
      </c>
      <c r="G173" s="9">
        <f>SUM('[1]14- All_India_Index_Upto_April2'!T173:V173)</f>
        <v>433.99999999999994</v>
      </c>
      <c r="H173" s="9" t="e">
        <f>SUM([1]!_14__All_India_Index_Upto_April2[[#This Row],[Housing new]],[1]!_14__All_India_Index_Upto_April2[[#This Row],[Household goods and services]])</f>
        <v>#REF!</v>
      </c>
      <c r="I173" s="9">
        <f>SUM('[1]14- All_India_Index_Upto_April2'!Z173,'[1]14- All_India_Index_Upto_April2'!AD173)</f>
        <v>261.60000000000002</v>
      </c>
      <c r="J173" s="9">
        <f>SUM('[1]14- All_India_Index_Upto_April2'!AA173)</f>
        <v>121</v>
      </c>
      <c r="K173" s="9">
        <f>'[1]14- All_India_Index_Upto_April2'!AC173</f>
        <v>140.1</v>
      </c>
      <c r="L173" s="9">
        <f>SUM('[1]14- All_India_Index_Upto_April2'!AB173,'[1]14- All_India_Index_Upto_April2'!AE173)</f>
        <v>263.7</v>
      </c>
      <c r="M173" s="9">
        <f>'[1]14- All_India_Index_Upto_April2'!AF173</f>
        <v>138.30000000000001</v>
      </c>
    </row>
    <row r="174" spans="1:13" hidden="1">
      <c r="A174" s="9" t="str">
        <f>'[1]14- All_India_Index_Upto_April2'!A174</f>
        <v>Urban</v>
      </c>
      <c r="B174" s="9">
        <f>'[1]14- All_India_Index_Upto_April2'!B174</f>
        <v>2017</v>
      </c>
      <c r="C174" s="9" t="str">
        <f>'[1]14- All_India_Index_Upto_April2'!C174</f>
        <v>October</v>
      </c>
      <c r="D174" s="9" t="str">
        <f t="shared" si="4"/>
        <v>October-2017</v>
      </c>
      <c r="E174" s="46">
        <f t="shared" si="5"/>
        <v>43009</v>
      </c>
      <c r="F174" s="9">
        <f>SUM('[1]14- All_India_Index_Upto_April2'!F174:S174)</f>
        <v>1920.2999999999997</v>
      </c>
      <c r="G174" s="9">
        <f>SUM('[1]14- All_India_Index_Upto_April2'!T174:V174)</f>
        <v>391.5</v>
      </c>
      <c r="H174" s="9" t="e">
        <f>SUM([1]!_14__All_India_Index_Upto_April2[[#This Row],[Housing new]],[1]!_14__All_India_Index_Upto_April2[[#This Row],[Household goods and services]])</f>
        <v>#REF!</v>
      </c>
      <c r="I174" s="9">
        <f>SUM('[1]14- All_India_Index_Upto_April2'!Z174,'[1]14- All_India_Index_Upto_April2'!AD174)</f>
        <v>251.2</v>
      </c>
      <c r="J174" s="9">
        <f>SUM('[1]14- All_India_Index_Upto_April2'!AA174)</f>
        <v>115</v>
      </c>
      <c r="K174" s="9">
        <f>'[1]14- All_India_Index_Upto_April2'!AC174</f>
        <v>136.30000000000001</v>
      </c>
      <c r="L174" s="9">
        <f>SUM('[1]14- All_India_Index_Upto_April2'!AB174,'[1]14- All_India_Index_Upto_April2'!AE174)</f>
        <v>249.3</v>
      </c>
      <c r="M174" s="9">
        <f>'[1]14- All_India_Index_Upto_April2'!AF174</f>
        <v>133.5</v>
      </c>
    </row>
    <row r="175" spans="1:13" hidden="1">
      <c r="A175" s="9" t="str">
        <f>'[1]14- All_India_Index_Upto_April2'!A175</f>
        <v>Rural+Urban</v>
      </c>
      <c r="B175" s="9">
        <f>'[1]14- All_India_Index_Upto_April2'!B175</f>
        <v>2017</v>
      </c>
      <c r="C175" s="9" t="str">
        <f>'[1]14- All_India_Index_Upto_April2'!C175</f>
        <v>October</v>
      </c>
      <c r="D175" s="9" t="str">
        <f t="shared" si="4"/>
        <v>October-2017</v>
      </c>
      <c r="E175" s="46">
        <f t="shared" si="5"/>
        <v>43009</v>
      </c>
      <c r="F175" s="9">
        <f>SUM('[1]14- All_India_Index_Upto_April2'!F175:S175)</f>
        <v>1931.2999999999997</v>
      </c>
      <c r="G175" s="9">
        <f>SUM('[1]14- All_India_Index_Upto_April2'!T175:V175)</f>
        <v>416.90000000000003</v>
      </c>
      <c r="H175" s="9" t="e">
        <f>SUM([1]!_14__All_India_Index_Upto_April2[[#This Row],[Housing new]],[1]!_14__All_India_Index_Upto_April2[[#This Row],[Household goods and services]])</f>
        <v>#REF!</v>
      </c>
      <c r="I175" s="9">
        <f>SUM('[1]14- All_India_Index_Upto_April2'!Z175,'[1]14- All_India_Index_Upto_April2'!AD175)</f>
        <v>257.5</v>
      </c>
      <c r="J175" s="9">
        <f>SUM('[1]14- All_India_Index_Upto_April2'!AA175)</f>
        <v>117.8</v>
      </c>
      <c r="K175" s="9">
        <f>'[1]14- All_India_Index_Upto_April2'!AC175</f>
        <v>137.9</v>
      </c>
      <c r="L175" s="9">
        <f>SUM('[1]14- All_India_Index_Upto_April2'!AB175,'[1]14- All_India_Index_Upto_April2'!AE175)</f>
        <v>256.10000000000002</v>
      </c>
      <c r="M175" s="9">
        <f>'[1]14- All_India_Index_Upto_April2'!AF175</f>
        <v>136.1</v>
      </c>
    </row>
    <row r="176" spans="1:13" hidden="1">
      <c r="A176" s="9" t="str">
        <f>'[1]14- All_India_Index_Upto_April2'!A176</f>
        <v>Rural</v>
      </c>
      <c r="B176" s="9">
        <f>'[1]14- All_India_Index_Upto_April2'!B176</f>
        <v>2017</v>
      </c>
      <c r="C176" s="9" t="str">
        <f>'[1]14- All_India_Index_Upto_April2'!C176</f>
        <v>November</v>
      </c>
      <c r="D176" s="9" t="str">
        <f t="shared" si="4"/>
        <v>November-2017</v>
      </c>
      <c r="E176" s="46">
        <f t="shared" si="5"/>
        <v>43040</v>
      </c>
      <c r="F176" s="9">
        <f>SUM('[1]14- All_India_Index_Upto_April2'!F176:S176)</f>
        <v>1969.8000000000002</v>
      </c>
      <c r="G176" s="9">
        <f>SUM('[1]14- All_India_Index_Upto_April2'!T176:V176)</f>
        <v>437</v>
      </c>
      <c r="H176" s="9" t="e">
        <f>SUM([1]!_14__All_India_Index_Upto_April2[[#This Row],[Housing new]],[1]!_14__All_India_Index_Upto_April2[[#This Row],[Household goods and services]])</f>
        <v>#REF!</v>
      </c>
      <c r="I176" s="9">
        <f>SUM('[1]14- All_India_Index_Upto_April2'!Z176,'[1]14- All_India_Index_Upto_April2'!AD176)</f>
        <v>263.89999999999998</v>
      </c>
      <c r="J176" s="9">
        <f>SUM('[1]14- All_India_Index_Upto_April2'!AA176)</f>
        <v>121.6</v>
      </c>
      <c r="K176" s="9">
        <f>'[1]14- All_India_Index_Upto_April2'!AC176</f>
        <v>141.5</v>
      </c>
      <c r="L176" s="9">
        <f>SUM('[1]14- All_India_Index_Upto_April2'!AB176,'[1]14- All_India_Index_Upto_April2'!AE176)</f>
        <v>265.39999999999998</v>
      </c>
      <c r="M176" s="9">
        <f>'[1]14- All_India_Index_Upto_April2'!AF176</f>
        <v>140</v>
      </c>
    </row>
    <row r="177" spans="1:13" hidden="1">
      <c r="A177" s="9" t="str">
        <f>'[1]14- All_India_Index_Upto_April2'!A177</f>
        <v>Urban</v>
      </c>
      <c r="B177" s="9">
        <f>'[1]14- All_India_Index_Upto_April2'!B177</f>
        <v>2017</v>
      </c>
      <c r="C177" s="9" t="str">
        <f>'[1]14- All_India_Index_Upto_April2'!C177</f>
        <v>November</v>
      </c>
      <c r="D177" s="9" t="str">
        <f t="shared" si="4"/>
        <v>November-2017</v>
      </c>
      <c r="E177" s="46">
        <f t="shared" si="5"/>
        <v>43040</v>
      </c>
      <c r="F177" s="9">
        <f>SUM('[1]14- All_India_Index_Upto_April2'!F177:S177)</f>
        <v>1952.9</v>
      </c>
      <c r="G177" s="9">
        <f>SUM('[1]14- All_India_Index_Upto_April2'!T177:V177)</f>
        <v>393.9</v>
      </c>
      <c r="H177" s="9" t="e">
        <f>SUM([1]!_14__All_India_Index_Upto_April2[[#This Row],[Housing new]],[1]!_14__All_India_Index_Upto_April2[[#This Row],[Household goods and services]])</f>
        <v>#REF!</v>
      </c>
      <c r="I177" s="9">
        <f>SUM('[1]14- All_India_Index_Upto_April2'!Z177,'[1]14- All_India_Index_Upto_April2'!AD177)</f>
        <v>252.3</v>
      </c>
      <c r="J177" s="9">
        <f>SUM('[1]14- All_India_Index_Upto_April2'!AA177)</f>
        <v>115.3</v>
      </c>
      <c r="K177" s="9">
        <f>'[1]14- All_India_Index_Upto_April2'!AC177</f>
        <v>136.6</v>
      </c>
      <c r="L177" s="9">
        <f>SUM('[1]14- All_India_Index_Upto_April2'!AB177,'[1]14- All_India_Index_Upto_April2'!AE177)</f>
        <v>250</v>
      </c>
      <c r="M177" s="9">
        <f>'[1]14- All_India_Index_Upto_April2'!AF177</f>
        <v>134.80000000000001</v>
      </c>
    </row>
    <row r="178" spans="1:13" hidden="1">
      <c r="A178" s="9" t="str">
        <f>'[1]14- All_India_Index_Upto_April2'!A178</f>
        <v>Rural+Urban</v>
      </c>
      <c r="B178" s="9">
        <f>'[1]14- All_India_Index_Upto_April2'!B178</f>
        <v>2017</v>
      </c>
      <c r="C178" s="9" t="str">
        <f>'[1]14- All_India_Index_Upto_April2'!C178</f>
        <v>November</v>
      </c>
      <c r="D178" s="9" t="str">
        <f t="shared" si="4"/>
        <v>November-2017</v>
      </c>
      <c r="E178" s="46">
        <f t="shared" si="5"/>
        <v>43040</v>
      </c>
      <c r="F178" s="9">
        <f>SUM('[1]14- All_India_Index_Upto_April2'!F178:S178)</f>
        <v>1961.4</v>
      </c>
      <c r="G178" s="9">
        <f>SUM('[1]14- All_India_Index_Upto_April2'!T178:V178)</f>
        <v>419.6</v>
      </c>
      <c r="H178" s="9" t="e">
        <f>SUM([1]!_14__All_India_Index_Upto_April2[[#This Row],[Housing new]],[1]!_14__All_India_Index_Upto_April2[[#This Row],[Household goods and services]])</f>
        <v>#REF!</v>
      </c>
      <c r="I178" s="9">
        <f>SUM('[1]14- All_India_Index_Upto_April2'!Z178,'[1]14- All_India_Index_Upto_April2'!AD178)</f>
        <v>259.39999999999998</v>
      </c>
      <c r="J178" s="9">
        <f>SUM('[1]14- All_India_Index_Upto_April2'!AA178)</f>
        <v>118.3</v>
      </c>
      <c r="K178" s="9">
        <f>'[1]14- All_India_Index_Upto_April2'!AC178</f>
        <v>138.6</v>
      </c>
      <c r="L178" s="9">
        <f>SUM('[1]14- All_India_Index_Upto_April2'!AB178,'[1]14- All_India_Index_Upto_April2'!AE178)</f>
        <v>257.3</v>
      </c>
      <c r="M178" s="9">
        <f>'[1]14- All_India_Index_Upto_April2'!AF178</f>
        <v>137.6</v>
      </c>
    </row>
    <row r="179" spans="1:13" hidden="1">
      <c r="A179" s="9" t="str">
        <f>'[1]14- All_India_Index_Upto_April2'!A179</f>
        <v>Rural</v>
      </c>
      <c r="B179" s="9">
        <f>'[1]14- All_India_Index_Upto_April2'!B179</f>
        <v>2017</v>
      </c>
      <c r="C179" s="9" t="str">
        <f>'[1]14- All_India_Index_Upto_April2'!C179</f>
        <v>December</v>
      </c>
      <c r="D179" s="9" t="str">
        <f t="shared" si="4"/>
        <v>December-2017</v>
      </c>
      <c r="E179" s="46">
        <f t="shared" si="5"/>
        <v>43070</v>
      </c>
      <c r="F179" s="9">
        <f>SUM('[1]14- All_India_Index_Upto_April2'!F179:S179)</f>
        <v>1966.8000000000002</v>
      </c>
      <c r="G179" s="9">
        <f>SUM('[1]14- All_India_Index_Upto_April2'!T179:V179)</f>
        <v>437.09999999999997</v>
      </c>
      <c r="H179" s="9" t="e">
        <f>SUM([1]!_14__All_India_Index_Upto_April2[[#This Row],[Housing new]],[1]!_14__All_India_Index_Upto_April2[[#This Row],[Household goods and services]])</f>
        <v>#REF!</v>
      </c>
      <c r="I179" s="9">
        <f>SUM('[1]14- All_India_Index_Upto_April2'!Z179,'[1]14- All_India_Index_Upto_April2'!AD179)</f>
        <v>263.89999999999998</v>
      </c>
      <c r="J179" s="9">
        <f>SUM('[1]14- All_India_Index_Upto_April2'!AA179)</f>
        <v>122</v>
      </c>
      <c r="K179" s="9">
        <f>'[1]14- All_India_Index_Upto_April2'!AC179</f>
        <v>141.1</v>
      </c>
      <c r="L179" s="9">
        <f>SUM('[1]14- All_India_Index_Upto_April2'!AB179,'[1]14- All_India_Index_Upto_April2'!AE179)</f>
        <v>265.3</v>
      </c>
      <c r="M179" s="9">
        <f>'[1]14- All_India_Index_Upto_April2'!AF179</f>
        <v>139.80000000000001</v>
      </c>
    </row>
    <row r="180" spans="1:13" hidden="1">
      <c r="A180" s="9" t="str">
        <f>'[1]14- All_India_Index_Upto_April2'!A180</f>
        <v>Urban</v>
      </c>
      <c r="B180" s="9">
        <f>'[1]14- All_India_Index_Upto_April2'!B180</f>
        <v>2017</v>
      </c>
      <c r="C180" s="9" t="str">
        <f>'[1]14- All_India_Index_Upto_April2'!C180</f>
        <v>December</v>
      </c>
      <c r="D180" s="9" t="str">
        <f t="shared" si="4"/>
        <v>December-2017</v>
      </c>
      <c r="E180" s="46">
        <f t="shared" si="5"/>
        <v>43070</v>
      </c>
      <c r="F180" s="9">
        <f>SUM('[1]14- All_India_Index_Upto_April2'!F180:S180)</f>
        <v>1924.5</v>
      </c>
      <c r="G180" s="9">
        <f>SUM('[1]14- All_India_Index_Upto_April2'!T180:V180)</f>
        <v>395.2</v>
      </c>
      <c r="H180" s="9" t="e">
        <f>SUM([1]!_14__All_India_Index_Upto_April2[[#This Row],[Housing new]],[1]!_14__All_India_Index_Upto_April2[[#This Row],[Household goods and services]])</f>
        <v>#REF!</v>
      </c>
      <c r="I180" s="9">
        <f>SUM('[1]14- All_India_Index_Upto_April2'!Z180,'[1]14- All_India_Index_Upto_April2'!AD180)</f>
        <v>252.79999999999998</v>
      </c>
      <c r="J180" s="9">
        <f>SUM('[1]14- All_India_Index_Upto_April2'!AA180)</f>
        <v>115.3</v>
      </c>
      <c r="K180" s="9">
        <f>'[1]14- All_India_Index_Upto_April2'!AC180</f>
        <v>136.69999999999999</v>
      </c>
      <c r="L180" s="9">
        <f>SUM('[1]14- All_India_Index_Upto_April2'!AB180,'[1]14- All_India_Index_Upto_April2'!AE180)</f>
        <v>250.7</v>
      </c>
      <c r="M180" s="9">
        <f>'[1]14- All_India_Index_Upto_April2'!AF180</f>
        <v>134.1</v>
      </c>
    </row>
    <row r="181" spans="1:13" hidden="1">
      <c r="A181" s="9" t="str">
        <f>'[1]14- All_India_Index_Upto_April2'!A181</f>
        <v>Rural+Urban</v>
      </c>
      <c r="B181" s="9">
        <f>'[1]14- All_India_Index_Upto_April2'!B181</f>
        <v>2017</v>
      </c>
      <c r="C181" s="9" t="str">
        <f>'[1]14- All_India_Index_Upto_April2'!C181</f>
        <v>December</v>
      </c>
      <c r="D181" s="9" t="str">
        <f t="shared" si="4"/>
        <v>December-2017</v>
      </c>
      <c r="E181" s="46">
        <f t="shared" si="5"/>
        <v>43070</v>
      </c>
      <c r="F181" s="9">
        <f>SUM('[1]14- All_India_Index_Upto_April2'!F181:S181)</f>
        <v>1949.1999999999998</v>
      </c>
      <c r="G181" s="9">
        <f>SUM('[1]14- All_India_Index_Upto_April2'!T181:V181)</f>
        <v>420.2</v>
      </c>
      <c r="H181" s="9" t="e">
        <f>SUM([1]!_14__All_India_Index_Upto_April2[[#This Row],[Housing new]],[1]!_14__All_India_Index_Upto_April2[[#This Row],[Household goods and services]])</f>
        <v>#REF!</v>
      </c>
      <c r="I181" s="9">
        <f>SUM('[1]14- All_India_Index_Upto_April2'!Z181,'[1]14- All_India_Index_Upto_April2'!AD181)</f>
        <v>259.60000000000002</v>
      </c>
      <c r="J181" s="9">
        <f>SUM('[1]14- All_India_Index_Upto_April2'!AA181)</f>
        <v>118.5</v>
      </c>
      <c r="K181" s="9">
        <f>'[1]14- All_India_Index_Upto_April2'!AC181</f>
        <v>138.5</v>
      </c>
      <c r="L181" s="9">
        <f>SUM('[1]14- All_India_Index_Upto_April2'!AB181,'[1]14- All_India_Index_Upto_April2'!AE181)</f>
        <v>257.60000000000002</v>
      </c>
      <c r="M181" s="9">
        <f>'[1]14- All_India_Index_Upto_April2'!AF181</f>
        <v>137.19999999999999</v>
      </c>
    </row>
    <row r="182" spans="1:13" hidden="1">
      <c r="A182" s="9" t="str">
        <f>'[1]14- All_India_Index_Upto_April2'!A182</f>
        <v>Rural</v>
      </c>
      <c r="B182" s="9">
        <f>'[1]14- All_India_Index_Upto_April2'!B182</f>
        <v>2018</v>
      </c>
      <c r="C182" s="9" t="str">
        <f>'[1]14- All_India_Index_Upto_April2'!C182</f>
        <v>January</v>
      </c>
      <c r="D182" s="9" t="str">
        <f t="shared" si="4"/>
        <v>January-2018</v>
      </c>
      <c r="E182" s="46">
        <f t="shared" si="5"/>
        <v>43101</v>
      </c>
      <c r="F182" s="9">
        <f>SUM('[1]14- All_India_Index_Upto_April2'!F182:S182)</f>
        <v>1954.3</v>
      </c>
      <c r="G182" s="9">
        <f>SUM('[1]14- All_India_Index_Upto_April2'!T182:V182)</f>
        <v>438.1</v>
      </c>
      <c r="H182" s="9" t="e">
        <f>SUM([1]!_14__All_India_Index_Upto_April2[[#This Row],[Housing new]],[1]!_14__All_India_Index_Upto_April2[[#This Row],[Household goods and services]])</f>
        <v>#REF!</v>
      </c>
      <c r="I182" s="9">
        <f>SUM('[1]14- All_India_Index_Upto_April2'!Z182,'[1]14- All_India_Index_Upto_April2'!AD182)</f>
        <v>264.60000000000002</v>
      </c>
      <c r="J182" s="9">
        <f>SUM('[1]14- All_India_Index_Upto_April2'!AA182)</f>
        <v>122.7</v>
      </c>
      <c r="K182" s="9">
        <f>'[1]14- All_India_Index_Upto_April2'!AC182</f>
        <v>141.6</v>
      </c>
      <c r="L182" s="9">
        <f>SUM('[1]14- All_India_Index_Upto_April2'!AB182,'[1]14- All_India_Index_Upto_April2'!AE182)</f>
        <v>266.60000000000002</v>
      </c>
      <c r="M182" s="9">
        <f>'[1]14- All_India_Index_Upto_April2'!AF182</f>
        <v>139.30000000000001</v>
      </c>
    </row>
    <row r="183" spans="1:13" hidden="1">
      <c r="A183" s="9" t="str">
        <f>'[1]14- All_India_Index_Upto_April2'!A183</f>
        <v>Urban</v>
      </c>
      <c r="B183" s="9">
        <f>'[1]14- All_India_Index_Upto_April2'!B183</f>
        <v>2018</v>
      </c>
      <c r="C183" s="9" t="str">
        <f>'[1]14- All_India_Index_Upto_April2'!C183</f>
        <v>January</v>
      </c>
      <c r="D183" s="9" t="str">
        <f t="shared" si="4"/>
        <v>January-2018</v>
      </c>
      <c r="E183" s="46">
        <f t="shared" si="5"/>
        <v>43101</v>
      </c>
      <c r="F183" s="9">
        <f>SUM('[1]14- All_India_Index_Upto_April2'!F183:S183)</f>
        <v>1906.0000000000002</v>
      </c>
      <c r="G183" s="9">
        <f>SUM('[1]14- All_India_Index_Upto_April2'!T183:V183)</f>
        <v>396.29999999999995</v>
      </c>
      <c r="H183" s="9" t="e">
        <f>SUM([1]!_14__All_India_Index_Upto_April2[[#This Row],[Housing new]],[1]!_14__All_India_Index_Upto_April2[[#This Row],[Household goods and services]])</f>
        <v>#REF!</v>
      </c>
      <c r="I183" s="9">
        <f>SUM('[1]14- All_India_Index_Upto_April2'!Z183,'[1]14- All_India_Index_Upto_April2'!AD183)</f>
        <v>254.5</v>
      </c>
      <c r="J183" s="9">
        <f>SUM('[1]14- All_India_Index_Upto_April2'!AA183)</f>
        <v>116.3</v>
      </c>
      <c r="K183" s="9">
        <f>'[1]14- All_India_Index_Upto_April2'!AC183</f>
        <v>137.1</v>
      </c>
      <c r="L183" s="9">
        <f>SUM('[1]14- All_India_Index_Upto_April2'!AB183,'[1]14- All_India_Index_Upto_April2'!AE183)</f>
        <v>252</v>
      </c>
      <c r="M183" s="9">
        <f>'[1]14- All_India_Index_Upto_April2'!AF183</f>
        <v>134.1</v>
      </c>
    </row>
    <row r="184" spans="1:13" hidden="1">
      <c r="A184" s="9" t="str">
        <f>'[1]14- All_India_Index_Upto_April2'!A184</f>
        <v>Rural+Urban</v>
      </c>
      <c r="B184" s="9">
        <f>'[1]14- All_India_Index_Upto_April2'!B184</f>
        <v>2018</v>
      </c>
      <c r="C184" s="9" t="str">
        <f>'[1]14- All_India_Index_Upto_April2'!C184</f>
        <v>January</v>
      </c>
      <c r="D184" s="9" t="str">
        <f t="shared" si="4"/>
        <v>January-2018</v>
      </c>
      <c r="E184" s="46">
        <f t="shared" si="5"/>
        <v>43101</v>
      </c>
      <c r="F184" s="9">
        <f>SUM('[1]14- All_India_Index_Upto_April2'!F184:S184)</f>
        <v>1934.6000000000001</v>
      </c>
      <c r="G184" s="9">
        <f>SUM('[1]14- All_India_Index_Upto_April2'!T184:V184)</f>
        <v>421.3</v>
      </c>
      <c r="H184" s="9" t="e">
        <f>SUM([1]!_14__All_India_Index_Upto_April2[[#This Row],[Housing new]],[1]!_14__All_India_Index_Upto_April2[[#This Row],[Household goods and services]])</f>
        <v>#REF!</v>
      </c>
      <c r="I184" s="9">
        <f>SUM('[1]14- All_India_Index_Upto_April2'!Z184,'[1]14- All_India_Index_Upto_April2'!AD184)</f>
        <v>260.60000000000002</v>
      </c>
      <c r="J184" s="9">
        <f>SUM('[1]14- All_India_Index_Upto_April2'!AA184)</f>
        <v>119.3</v>
      </c>
      <c r="K184" s="9">
        <f>'[1]14- All_India_Index_Upto_April2'!AC184</f>
        <v>139</v>
      </c>
      <c r="L184" s="9">
        <f>SUM('[1]14- All_India_Index_Upto_April2'!AB184,'[1]14- All_India_Index_Upto_April2'!AE184)</f>
        <v>258.79999999999995</v>
      </c>
      <c r="M184" s="9">
        <f>'[1]14- All_India_Index_Upto_April2'!AF184</f>
        <v>136.9</v>
      </c>
    </row>
    <row r="185" spans="1:13" hidden="1">
      <c r="A185" s="9" t="str">
        <f>'[1]14- All_India_Index_Upto_April2'!A185</f>
        <v>Rural</v>
      </c>
      <c r="B185" s="9">
        <f>'[1]14- All_India_Index_Upto_April2'!B185</f>
        <v>2018</v>
      </c>
      <c r="C185" s="9" t="str">
        <f>'[1]14- All_India_Index_Upto_April2'!C185</f>
        <v>February</v>
      </c>
      <c r="D185" s="9" t="str">
        <f t="shared" si="4"/>
        <v>February-2018</v>
      </c>
      <c r="E185" s="46">
        <f t="shared" si="5"/>
        <v>43132</v>
      </c>
      <c r="F185" s="9">
        <f>SUM('[1]14- All_India_Index_Upto_April2'!F185:S185)</f>
        <v>1934.8</v>
      </c>
      <c r="G185" s="9">
        <f>SUM('[1]14- All_India_Index_Upto_April2'!T185:V185)</f>
        <v>438.90000000000003</v>
      </c>
      <c r="H185" s="9" t="e">
        <f>SUM([1]!_14__All_India_Index_Upto_April2[[#This Row],[Housing new]],[1]!_14__All_India_Index_Upto_April2[[#This Row],[Household goods and services]])</f>
        <v>#REF!</v>
      </c>
      <c r="I185" s="9">
        <f>SUM('[1]14- All_India_Index_Upto_April2'!Z185,'[1]14- All_India_Index_Upto_April2'!AD185)</f>
        <v>265</v>
      </c>
      <c r="J185" s="9">
        <f>SUM('[1]14- All_India_Index_Upto_April2'!AA185)</f>
        <v>123.3</v>
      </c>
      <c r="K185" s="9">
        <f>'[1]14- All_India_Index_Upto_April2'!AC185</f>
        <v>141.5</v>
      </c>
      <c r="L185" s="9">
        <f>SUM('[1]14- All_India_Index_Upto_April2'!AB185,'[1]14- All_India_Index_Upto_April2'!AE185)</f>
        <v>266.8</v>
      </c>
      <c r="M185" s="9">
        <f>'[1]14- All_India_Index_Upto_April2'!AF185</f>
        <v>138.5</v>
      </c>
    </row>
    <row r="186" spans="1:13" hidden="1">
      <c r="A186" s="9" t="str">
        <f>'[1]14- All_India_Index_Upto_April2'!A186</f>
        <v>Urban</v>
      </c>
      <c r="B186" s="9">
        <f>'[1]14- All_India_Index_Upto_April2'!B186</f>
        <v>2018</v>
      </c>
      <c r="C186" s="9" t="str">
        <f>'[1]14- All_India_Index_Upto_April2'!C186</f>
        <v>February</v>
      </c>
      <c r="D186" s="9" t="str">
        <f t="shared" si="4"/>
        <v>February-2018</v>
      </c>
      <c r="E186" s="46">
        <f t="shared" si="5"/>
        <v>43132</v>
      </c>
      <c r="F186" s="9">
        <f>SUM('[1]14- All_India_Index_Upto_April2'!F186:S186)</f>
        <v>1887.2</v>
      </c>
      <c r="G186" s="9">
        <f>SUM('[1]14- All_India_Index_Upto_April2'!T186:V186)</f>
        <v>397.09999999999997</v>
      </c>
      <c r="H186" s="9" t="e">
        <f>SUM([1]!_14__All_India_Index_Upto_April2[[#This Row],[Housing new]],[1]!_14__All_India_Index_Upto_April2[[#This Row],[Household goods and services]])</f>
        <v>#REF!</v>
      </c>
      <c r="I186" s="9">
        <f>SUM('[1]14- All_India_Index_Upto_April2'!Z186,'[1]14- All_India_Index_Upto_April2'!AD186)</f>
        <v>256</v>
      </c>
      <c r="J186" s="9">
        <f>SUM('[1]14- All_India_Index_Upto_April2'!AA186)</f>
        <v>117.4</v>
      </c>
      <c r="K186" s="9">
        <f>'[1]14- All_India_Index_Upto_April2'!AC186</f>
        <v>137.19999999999999</v>
      </c>
      <c r="L186" s="9">
        <f>SUM('[1]14- All_India_Index_Upto_April2'!AB186,'[1]14- All_India_Index_Upto_April2'!AE186)</f>
        <v>253</v>
      </c>
      <c r="M186" s="9">
        <f>'[1]14- All_India_Index_Upto_April2'!AF186</f>
        <v>134</v>
      </c>
    </row>
    <row r="187" spans="1:13" hidden="1">
      <c r="A187" s="9" t="str">
        <f>'[1]14- All_India_Index_Upto_April2'!A187</f>
        <v>Rural+Urban</v>
      </c>
      <c r="B187" s="9">
        <f>'[1]14- All_India_Index_Upto_April2'!B187</f>
        <v>2018</v>
      </c>
      <c r="C187" s="9" t="str">
        <f>'[1]14- All_India_Index_Upto_April2'!C187</f>
        <v>February</v>
      </c>
      <c r="D187" s="9" t="str">
        <f t="shared" si="4"/>
        <v>February-2018</v>
      </c>
      <c r="E187" s="46">
        <f t="shared" si="5"/>
        <v>43132</v>
      </c>
      <c r="F187" s="9">
        <f>SUM('[1]14- All_India_Index_Upto_April2'!F187:S187)</f>
        <v>1915.2999999999997</v>
      </c>
      <c r="G187" s="9">
        <f>SUM('[1]14- All_India_Index_Upto_April2'!T187:V187)</f>
        <v>422</v>
      </c>
      <c r="H187" s="9" t="e">
        <f>SUM([1]!_14__All_India_Index_Upto_April2[[#This Row],[Housing new]],[1]!_14__All_India_Index_Upto_April2[[#This Row],[Household goods and services]])</f>
        <v>#REF!</v>
      </c>
      <c r="I187" s="9">
        <f>SUM('[1]14- All_India_Index_Upto_April2'!Z187,'[1]14- All_India_Index_Upto_April2'!AD187)</f>
        <v>261.5</v>
      </c>
      <c r="J187" s="9">
        <f>SUM('[1]14- All_India_Index_Upto_April2'!AA187)</f>
        <v>120.2</v>
      </c>
      <c r="K187" s="9">
        <f>'[1]14- All_India_Index_Upto_April2'!AC187</f>
        <v>139</v>
      </c>
      <c r="L187" s="9">
        <f>SUM('[1]14- All_India_Index_Upto_April2'!AB187,'[1]14- All_India_Index_Upto_April2'!AE187)</f>
        <v>259.5</v>
      </c>
      <c r="M187" s="9">
        <f>'[1]14- All_India_Index_Upto_April2'!AF187</f>
        <v>136.4</v>
      </c>
    </row>
    <row r="188" spans="1:13" hidden="1">
      <c r="A188" s="9" t="str">
        <f>'[1]14- All_India_Index_Upto_April2'!A188</f>
        <v>Rural</v>
      </c>
      <c r="B188" s="9">
        <f>'[1]14- All_India_Index_Upto_April2'!B188</f>
        <v>2018</v>
      </c>
      <c r="C188" s="9" t="str">
        <f>'[1]14- All_India_Index_Upto_April2'!C188</f>
        <v>March</v>
      </c>
      <c r="D188" s="9" t="str">
        <f t="shared" si="4"/>
        <v>March-2018</v>
      </c>
      <c r="E188" s="46">
        <f t="shared" si="5"/>
        <v>43160</v>
      </c>
      <c r="F188" s="9">
        <f>SUM('[1]14- All_India_Index_Upto_April2'!F188:S188)</f>
        <v>1937.0999999999997</v>
      </c>
      <c r="G188" s="9">
        <f>SUM('[1]14- All_India_Index_Upto_April2'!T188:V188)</f>
        <v>440.5</v>
      </c>
      <c r="H188" s="9" t="e">
        <f>SUM([1]!_14__All_India_Index_Upto_April2[[#This Row],[Housing new]],[1]!_14__All_India_Index_Upto_April2[[#This Row],[Household goods and services]])</f>
        <v>#REF!</v>
      </c>
      <c r="I188" s="9">
        <f>SUM('[1]14- All_India_Index_Upto_April2'!Z188,'[1]14- All_India_Index_Upto_April2'!AD188)</f>
        <v>266</v>
      </c>
      <c r="J188" s="9">
        <f>SUM('[1]14- All_India_Index_Upto_April2'!AA188)</f>
        <v>124.6</v>
      </c>
      <c r="K188" s="9">
        <f>'[1]14- All_India_Index_Upto_April2'!AC188</f>
        <v>142.69999999999999</v>
      </c>
      <c r="L188" s="9">
        <f>SUM('[1]14- All_India_Index_Upto_April2'!AB188,'[1]14- All_India_Index_Upto_April2'!AE188)</f>
        <v>268.39999999999998</v>
      </c>
      <c r="M188" s="9">
        <f>'[1]14- All_India_Index_Upto_April2'!AF188</f>
        <v>138.69999999999999</v>
      </c>
    </row>
    <row r="189" spans="1:13" hidden="1">
      <c r="A189" s="9" t="str">
        <f>'[1]14- All_India_Index_Upto_April2'!A189</f>
        <v>Urban</v>
      </c>
      <c r="B189" s="9">
        <f>'[1]14- All_India_Index_Upto_April2'!B189</f>
        <v>2018</v>
      </c>
      <c r="C189" s="9" t="str">
        <f>'[1]14- All_India_Index_Upto_April2'!C189</f>
        <v>March</v>
      </c>
      <c r="D189" s="9" t="str">
        <f t="shared" si="4"/>
        <v>March-2018</v>
      </c>
      <c r="E189" s="46">
        <f t="shared" si="5"/>
        <v>43160</v>
      </c>
      <c r="F189" s="9">
        <f>SUM('[1]14- All_India_Index_Upto_April2'!F189:S189)</f>
        <v>1875.2</v>
      </c>
      <c r="G189" s="9">
        <f>SUM('[1]14- All_India_Index_Upto_April2'!T189:V189)</f>
        <v>398.59999999999997</v>
      </c>
      <c r="H189" s="9" t="e">
        <f>SUM([1]!_14__All_India_Index_Upto_April2[[#This Row],[Housing new]],[1]!_14__All_India_Index_Upto_April2[[#This Row],[Household goods and services]])</f>
        <v>#REF!</v>
      </c>
      <c r="I189" s="9">
        <f>SUM('[1]14- All_India_Index_Upto_April2'!Z189,'[1]14- All_India_Index_Upto_April2'!AD189)</f>
        <v>257.2</v>
      </c>
      <c r="J189" s="9">
        <f>SUM('[1]14- All_India_Index_Upto_April2'!AA189)</f>
        <v>117.8</v>
      </c>
      <c r="K189" s="9">
        <f>'[1]14- All_India_Index_Upto_April2'!AC189</f>
        <v>137.80000000000001</v>
      </c>
      <c r="L189" s="9">
        <f>SUM('[1]14- All_India_Index_Upto_April2'!AB189,'[1]14- All_India_Index_Upto_April2'!AE189)</f>
        <v>253.89999999999998</v>
      </c>
      <c r="M189" s="9">
        <f>'[1]14- All_India_Index_Upto_April2'!AF189</f>
        <v>134</v>
      </c>
    </row>
    <row r="190" spans="1:13" hidden="1">
      <c r="A190" s="9" t="str">
        <f>'[1]14- All_India_Index_Upto_April2'!A190</f>
        <v>Rural+Urban</v>
      </c>
      <c r="B190" s="9">
        <f>'[1]14- All_India_Index_Upto_April2'!B190</f>
        <v>2018</v>
      </c>
      <c r="C190" s="9" t="str">
        <f>'[1]14- All_India_Index_Upto_April2'!C190</f>
        <v>March</v>
      </c>
      <c r="D190" s="9" t="str">
        <f t="shared" si="4"/>
        <v>March-2018</v>
      </c>
      <c r="E190" s="46">
        <f t="shared" si="5"/>
        <v>43160</v>
      </c>
      <c r="F190" s="9">
        <f>SUM('[1]14- All_India_Index_Upto_April2'!F190:S190)</f>
        <v>1912.3</v>
      </c>
      <c r="G190" s="9">
        <f>SUM('[1]14- All_India_Index_Upto_April2'!T190:V190)</f>
        <v>423.6</v>
      </c>
      <c r="H190" s="9" t="e">
        <f>SUM([1]!_14__All_India_Index_Upto_April2[[#This Row],[Housing new]],[1]!_14__All_India_Index_Upto_April2[[#This Row],[Household goods and services]])</f>
        <v>#REF!</v>
      </c>
      <c r="I190" s="9">
        <f>SUM('[1]14- All_India_Index_Upto_April2'!Z190,'[1]14- All_India_Index_Upto_April2'!AD190)</f>
        <v>262.5</v>
      </c>
      <c r="J190" s="9">
        <f>SUM('[1]14- All_India_Index_Upto_April2'!AA190)</f>
        <v>121</v>
      </c>
      <c r="K190" s="9">
        <f>'[1]14- All_India_Index_Upto_April2'!AC190</f>
        <v>139.80000000000001</v>
      </c>
      <c r="L190" s="9">
        <f>SUM('[1]14- All_India_Index_Upto_April2'!AB190,'[1]14- All_India_Index_Upto_April2'!AE190)</f>
        <v>260.70000000000005</v>
      </c>
      <c r="M190" s="9">
        <f>'[1]14- All_India_Index_Upto_April2'!AF190</f>
        <v>136.5</v>
      </c>
    </row>
    <row r="191" spans="1:13" hidden="1">
      <c r="A191" s="9" t="str">
        <f>'[1]14- All_India_Index_Upto_April2'!A191</f>
        <v>Rural</v>
      </c>
      <c r="B191" s="9">
        <f>'[1]14- All_India_Index_Upto_April2'!B191</f>
        <v>2018</v>
      </c>
      <c r="C191" s="9" t="str">
        <f>'[1]14- All_India_Index_Upto_April2'!C191</f>
        <v>April</v>
      </c>
      <c r="D191" s="9" t="str">
        <f t="shared" si="4"/>
        <v>April-2018</v>
      </c>
      <c r="E191" s="46">
        <f t="shared" si="5"/>
        <v>43191</v>
      </c>
      <c r="F191" s="9">
        <f>SUM('[1]14- All_India_Index_Upto_April2'!F191:S191)</f>
        <v>1936.1</v>
      </c>
      <c r="G191" s="9">
        <f>SUM('[1]14- All_India_Index_Upto_April2'!T191:V191)</f>
        <v>442.5</v>
      </c>
      <c r="H191" s="9" t="e">
        <f>SUM([1]!_14__All_India_Index_Upto_April2[[#This Row],[Housing new]],[1]!_14__All_India_Index_Upto_April2[[#This Row],[Household goods and services]])</f>
        <v>#REF!</v>
      </c>
      <c r="I191" s="9">
        <f>SUM('[1]14- All_India_Index_Upto_April2'!Z191,'[1]14- All_India_Index_Upto_April2'!AD191)</f>
        <v>268</v>
      </c>
      <c r="J191" s="9">
        <f>SUM('[1]14- All_India_Index_Upto_April2'!AA191)</f>
        <v>125.3</v>
      </c>
      <c r="K191" s="9">
        <f>'[1]14- All_India_Index_Upto_April2'!AC191</f>
        <v>143.69999999999999</v>
      </c>
      <c r="L191" s="9">
        <f>SUM('[1]14- All_India_Index_Upto_April2'!AB191,'[1]14- All_India_Index_Upto_April2'!AE191)</f>
        <v>270.2</v>
      </c>
      <c r="M191" s="9">
        <f>'[1]14- All_India_Index_Upto_April2'!AF191</f>
        <v>139.1</v>
      </c>
    </row>
    <row r="192" spans="1:13" hidden="1">
      <c r="A192" s="9" t="str">
        <f>'[1]14- All_India_Index_Upto_April2'!A192</f>
        <v>Urban</v>
      </c>
      <c r="B192" s="9">
        <f>'[1]14- All_India_Index_Upto_April2'!B192</f>
        <v>2018</v>
      </c>
      <c r="C192" s="9" t="str">
        <f>'[1]14- All_India_Index_Upto_April2'!C192</f>
        <v>April</v>
      </c>
      <c r="D192" s="9" t="str">
        <f t="shared" si="4"/>
        <v>April-2018</v>
      </c>
      <c r="E192" s="46">
        <f t="shared" si="5"/>
        <v>43191</v>
      </c>
      <c r="F192" s="9">
        <f>SUM('[1]14- All_India_Index_Upto_April2'!F192:S192)</f>
        <v>1879.2000000000003</v>
      </c>
      <c r="G192" s="9">
        <f>SUM('[1]14- All_India_Index_Upto_April2'!T192:V192)</f>
        <v>401.40000000000003</v>
      </c>
      <c r="H192" s="9" t="e">
        <f>SUM([1]!_14__All_India_Index_Upto_April2[[#This Row],[Housing new]],[1]!_14__All_India_Index_Upto_April2[[#This Row],[Household goods and services]])</f>
        <v>#REF!</v>
      </c>
      <c r="I192" s="9">
        <f>SUM('[1]14- All_India_Index_Upto_April2'!Z192,'[1]14- All_India_Index_Upto_April2'!AD192)</f>
        <v>258.89999999999998</v>
      </c>
      <c r="J192" s="9">
        <f>SUM('[1]14- All_India_Index_Upto_April2'!AA192)</f>
        <v>118.9</v>
      </c>
      <c r="K192" s="9">
        <f>'[1]14- All_India_Index_Upto_April2'!AC192</f>
        <v>139.69999999999999</v>
      </c>
      <c r="L192" s="9">
        <f>SUM('[1]14- All_India_Index_Upto_April2'!AB192,'[1]14- All_India_Index_Upto_April2'!AE192)</f>
        <v>255.79999999999998</v>
      </c>
      <c r="M192" s="9">
        <f>'[1]14- All_India_Index_Upto_April2'!AF192</f>
        <v>134.80000000000001</v>
      </c>
    </row>
    <row r="193" spans="1:13" hidden="1">
      <c r="A193" s="9" t="str">
        <f>'[1]14- All_India_Index_Upto_April2'!A193</f>
        <v>Rural+Urban</v>
      </c>
      <c r="B193" s="9">
        <f>'[1]14- All_India_Index_Upto_April2'!B193</f>
        <v>2018</v>
      </c>
      <c r="C193" s="9" t="str">
        <f>'[1]14- All_India_Index_Upto_April2'!C193</f>
        <v>April</v>
      </c>
      <c r="D193" s="9" t="str">
        <f t="shared" si="4"/>
        <v>April-2018</v>
      </c>
      <c r="E193" s="46">
        <f t="shared" si="5"/>
        <v>43191</v>
      </c>
      <c r="F193" s="9">
        <f>SUM('[1]14- All_India_Index_Upto_April2'!F193:S193)</f>
        <v>1914.0000000000002</v>
      </c>
      <c r="G193" s="9">
        <f>SUM('[1]14- All_India_Index_Upto_April2'!T193:V193)</f>
        <v>426</v>
      </c>
      <c r="H193" s="9" t="e">
        <f>SUM([1]!_14__All_India_Index_Upto_April2[[#This Row],[Housing new]],[1]!_14__All_India_Index_Upto_April2[[#This Row],[Household goods and services]])</f>
        <v>#REF!</v>
      </c>
      <c r="I193" s="9">
        <f>SUM('[1]14- All_India_Index_Upto_April2'!Z193,'[1]14- All_India_Index_Upto_April2'!AD193)</f>
        <v>264.39999999999998</v>
      </c>
      <c r="J193" s="9">
        <f>SUM('[1]14- All_India_Index_Upto_April2'!AA193)</f>
        <v>121.9</v>
      </c>
      <c r="K193" s="9">
        <f>'[1]14- All_India_Index_Upto_April2'!AC193</f>
        <v>141.4</v>
      </c>
      <c r="L193" s="9">
        <f>SUM('[1]14- All_India_Index_Upto_April2'!AB193,'[1]14- All_India_Index_Upto_April2'!AE193)</f>
        <v>262.60000000000002</v>
      </c>
      <c r="M193" s="9">
        <f>'[1]14- All_India_Index_Upto_April2'!AF193</f>
        <v>137.1</v>
      </c>
    </row>
    <row r="194" spans="1:13" hidden="1">
      <c r="A194" s="9" t="str">
        <f>'[1]14- All_India_Index_Upto_April2'!A194</f>
        <v>Rural</v>
      </c>
      <c r="B194" s="9">
        <f>'[1]14- All_India_Index_Upto_April2'!B194</f>
        <v>2018</v>
      </c>
      <c r="C194" s="9" t="str">
        <f>'[1]14- All_India_Index_Upto_April2'!C194</f>
        <v>May</v>
      </c>
      <c r="D194" s="9" t="str">
        <f t="shared" ref="D194:D257" si="6">_xlfn.TEXTJOIN("-",0,C194,B194)</f>
        <v>May-2018</v>
      </c>
      <c r="E194" s="46">
        <f t="shared" ref="E194:E257" si="7">DATEVALUE("1-" &amp;D194)</f>
        <v>43221</v>
      </c>
      <c r="F194" s="9">
        <f>SUM('[1]14- All_India_Index_Upto_April2'!F194:S194)</f>
        <v>1939.4</v>
      </c>
      <c r="G194" s="9">
        <f>SUM('[1]14- All_India_Index_Upto_April2'!T194:V194)</f>
        <v>444.7</v>
      </c>
      <c r="H194" s="9" t="e">
        <f>SUM([1]!_14__All_India_Index_Upto_April2[[#This Row],[Housing new]],[1]!_14__All_India_Index_Upto_April2[[#This Row],[Household goods and services]])</f>
        <v>#REF!</v>
      </c>
      <c r="I194" s="9">
        <f>SUM('[1]14- All_India_Index_Upto_April2'!Z194,'[1]14- All_India_Index_Upto_April2'!AD194)</f>
        <v>269.60000000000002</v>
      </c>
      <c r="J194" s="9">
        <f>SUM('[1]14- All_India_Index_Upto_April2'!AA194)</f>
        <v>126.4</v>
      </c>
      <c r="K194" s="9">
        <f>'[1]14- All_India_Index_Upto_April2'!AC194</f>
        <v>144.4</v>
      </c>
      <c r="L194" s="9">
        <f>SUM('[1]14- All_India_Index_Upto_April2'!AB194,'[1]14- All_India_Index_Upto_April2'!AE194)</f>
        <v>271.89999999999998</v>
      </c>
      <c r="M194" s="9">
        <f>'[1]14- All_India_Index_Upto_April2'!AF194</f>
        <v>139.80000000000001</v>
      </c>
    </row>
    <row r="195" spans="1:13" hidden="1">
      <c r="A195" s="9" t="str">
        <f>'[1]14- All_India_Index_Upto_April2'!A195</f>
        <v>Urban</v>
      </c>
      <c r="B195" s="9">
        <f>'[1]14- All_India_Index_Upto_April2'!B195</f>
        <v>2018</v>
      </c>
      <c r="C195" s="9" t="str">
        <f>'[1]14- All_India_Index_Upto_April2'!C195</f>
        <v>May</v>
      </c>
      <c r="D195" s="9" t="str">
        <f t="shared" si="6"/>
        <v>May-2018</v>
      </c>
      <c r="E195" s="46">
        <f t="shared" si="7"/>
        <v>43221</v>
      </c>
      <c r="F195" s="9">
        <f>SUM('[1]14- All_India_Index_Upto_April2'!F195:S195)</f>
        <v>1883.1999999999998</v>
      </c>
      <c r="G195" s="9">
        <f>SUM('[1]14- All_India_Index_Upto_April2'!T195:V195)</f>
        <v>403.5</v>
      </c>
      <c r="H195" s="9" t="e">
        <f>SUM([1]!_14__All_India_Index_Upto_April2[[#This Row],[Housing new]],[1]!_14__All_India_Index_Upto_April2[[#This Row],[Household goods and services]])</f>
        <v>#REF!</v>
      </c>
      <c r="I195" s="9">
        <f>SUM('[1]14- All_India_Index_Upto_April2'!Z195,'[1]14- All_India_Index_Upto_April2'!AD195)</f>
        <v>260.10000000000002</v>
      </c>
      <c r="J195" s="9">
        <f>SUM('[1]14- All_India_Index_Upto_April2'!AA195)</f>
        <v>119.8</v>
      </c>
      <c r="K195" s="9">
        <f>'[1]14- All_India_Index_Upto_April2'!AC195</f>
        <v>140.4</v>
      </c>
      <c r="L195" s="9">
        <f>SUM('[1]14- All_India_Index_Upto_April2'!AB195,'[1]14- All_India_Index_Upto_April2'!AE195)</f>
        <v>256.89999999999998</v>
      </c>
      <c r="M195" s="9">
        <f>'[1]14- All_India_Index_Upto_April2'!AF195</f>
        <v>135.4</v>
      </c>
    </row>
    <row r="196" spans="1:13" hidden="1">
      <c r="A196" s="9" t="str">
        <f>'[1]14- All_India_Index_Upto_April2'!A196</f>
        <v>Rural+Urban</v>
      </c>
      <c r="B196" s="9">
        <f>'[1]14- All_India_Index_Upto_April2'!B196</f>
        <v>2018</v>
      </c>
      <c r="C196" s="9" t="str">
        <f>'[1]14- All_India_Index_Upto_April2'!C196</f>
        <v>May</v>
      </c>
      <c r="D196" s="9" t="str">
        <f t="shared" si="6"/>
        <v>May-2018</v>
      </c>
      <c r="E196" s="46">
        <f t="shared" si="7"/>
        <v>43221</v>
      </c>
      <c r="F196" s="9">
        <f>SUM('[1]14- All_India_Index_Upto_April2'!F196:S196)</f>
        <v>1917.7</v>
      </c>
      <c r="G196" s="9">
        <f>SUM('[1]14- All_India_Index_Upto_April2'!T196:V196)</f>
        <v>428.09999999999997</v>
      </c>
      <c r="H196" s="9" t="e">
        <f>SUM([1]!_14__All_India_Index_Upto_April2[[#This Row],[Housing new]],[1]!_14__All_India_Index_Upto_April2[[#This Row],[Household goods and services]])</f>
        <v>#REF!</v>
      </c>
      <c r="I196" s="9">
        <f>SUM('[1]14- All_India_Index_Upto_April2'!Z196,'[1]14- All_India_Index_Upto_April2'!AD196)</f>
        <v>265.89999999999998</v>
      </c>
      <c r="J196" s="9">
        <f>SUM('[1]14- All_India_Index_Upto_April2'!AA196)</f>
        <v>122.9</v>
      </c>
      <c r="K196" s="9">
        <f>'[1]14- All_India_Index_Upto_April2'!AC196</f>
        <v>142.1</v>
      </c>
      <c r="L196" s="9">
        <f>SUM('[1]14- All_India_Index_Upto_April2'!AB196,'[1]14- All_India_Index_Upto_April2'!AE196)</f>
        <v>263.89999999999998</v>
      </c>
      <c r="M196" s="9">
        <f>'[1]14- All_India_Index_Upto_April2'!AF196</f>
        <v>137.80000000000001</v>
      </c>
    </row>
    <row r="197" spans="1:13" hidden="1">
      <c r="A197" s="9" t="str">
        <f>'[1]14- All_India_Index_Upto_April2'!A197</f>
        <v>Rural</v>
      </c>
      <c r="B197" s="9">
        <f>'[1]14- All_India_Index_Upto_April2'!B197</f>
        <v>2018</v>
      </c>
      <c r="C197" s="9" t="str">
        <f>'[1]14- All_India_Index_Upto_April2'!C197</f>
        <v>June</v>
      </c>
      <c r="D197" s="9" t="str">
        <f t="shared" si="6"/>
        <v>June-2018</v>
      </c>
      <c r="E197" s="46">
        <f t="shared" si="7"/>
        <v>43252</v>
      </c>
      <c r="F197" s="9">
        <f>SUM('[1]14- All_India_Index_Upto_April2'!F197:S197)</f>
        <v>1947.5999999999997</v>
      </c>
      <c r="G197" s="9">
        <f>SUM('[1]14- All_India_Index_Upto_April2'!T197:V197)</f>
        <v>446.3</v>
      </c>
      <c r="H197" s="9" t="e">
        <f>SUM([1]!_14__All_India_Index_Upto_April2[[#This Row],[Housing new]],[1]!_14__All_India_Index_Upto_April2[[#This Row],[Household goods and services]])</f>
        <v>#REF!</v>
      </c>
      <c r="I197" s="9">
        <f>SUM('[1]14- All_India_Index_Upto_April2'!Z197,'[1]14- All_India_Index_Upto_April2'!AD197)</f>
        <v>269.8</v>
      </c>
      <c r="J197" s="9">
        <f>SUM('[1]14- All_India_Index_Upto_April2'!AA197)</f>
        <v>127.4</v>
      </c>
      <c r="K197" s="9">
        <f>'[1]14- All_India_Index_Upto_April2'!AC197</f>
        <v>145.1</v>
      </c>
      <c r="L197" s="9">
        <f>SUM('[1]14- All_India_Index_Upto_April2'!AB197,'[1]14- All_India_Index_Upto_April2'!AE197)</f>
        <v>273.39999999999998</v>
      </c>
      <c r="M197" s="9">
        <f>'[1]14- All_India_Index_Upto_April2'!AF197</f>
        <v>140.5</v>
      </c>
    </row>
    <row r="198" spans="1:13" hidden="1">
      <c r="A198" s="9" t="str">
        <f>'[1]14- All_India_Index_Upto_April2'!A198</f>
        <v>Urban</v>
      </c>
      <c r="B198" s="9">
        <f>'[1]14- All_India_Index_Upto_April2'!B198</f>
        <v>2018</v>
      </c>
      <c r="C198" s="9" t="str">
        <f>'[1]14- All_India_Index_Upto_April2'!C198</f>
        <v>June</v>
      </c>
      <c r="D198" s="9" t="str">
        <f t="shared" si="6"/>
        <v>June-2018</v>
      </c>
      <c r="E198" s="46">
        <f t="shared" si="7"/>
        <v>43252</v>
      </c>
      <c r="F198" s="9">
        <f>SUM('[1]14- All_India_Index_Upto_April2'!F198:S198)</f>
        <v>1908.3000000000002</v>
      </c>
      <c r="G198" s="9">
        <f>SUM('[1]14- All_India_Index_Upto_April2'!T198:V198)</f>
        <v>405</v>
      </c>
      <c r="H198" s="9" t="e">
        <f>SUM([1]!_14__All_India_Index_Upto_April2[[#This Row],[Housing new]],[1]!_14__All_India_Index_Upto_April2[[#This Row],[Household goods and services]])</f>
        <v>#REF!</v>
      </c>
      <c r="I198" s="9">
        <f>SUM('[1]14- All_India_Index_Upto_April2'!Z198,'[1]14- All_India_Index_Upto_April2'!AD198)</f>
        <v>260.79999999999995</v>
      </c>
      <c r="J198" s="9">
        <f>SUM('[1]14- All_India_Index_Upto_April2'!AA198)</f>
        <v>120.4</v>
      </c>
      <c r="K198" s="9">
        <f>'[1]14- All_India_Index_Upto_April2'!AC198</f>
        <v>141.19999999999999</v>
      </c>
      <c r="L198" s="9">
        <f>SUM('[1]14- All_India_Index_Upto_April2'!AB198,'[1]14- All_India_Index_Upto_April2'!AE198)</f>
        <v>258</v>
      </c>
      <c r="M198" s="9">
        <f>'[1]14- All_India_Index_Upto_April2'!AF198</f>
        <v>136.19999999999999</v>
      </c>
    </row>
    <row r="199" spans="1:13" hidden="1">
      <c r="A199" s="9" t="str">
        <f>'[1]14- All_India_Index_Upto_April2'!A199</f>
        <v>Rural+Urban</v>
      </c>
      <c r="B199" s="9">
        <f>'[1]14- All_India_Index_Upto_April2'!B199</f>
        <v>2018</v>
      </c>
      <c r="C199" s="9" t="str">
        <f>'[1]14- All_India_Index_Upto_April2'!C199</f>
        <v>June</v>
      </c>
      <c r="D199" s="9" t="str">
        <f t="shared" si="6"/>
        <v>June-2018</v>
      </c>
      <c r="E199" s="46">
        <f t="shared" si="7"/>
        <v>43252</v>
      </c>
      <c r="F199" s="9">
        <f>SUM('[1]14- All_India_Index_Upto_April2'!F199:S199)</f>
        <v>1932.4</v>
      </c>
      <c r="G199" s="9">
        <f>SUM('[1]14- All_India_Index_Upto_April2'!T199:V199)</f>
        <v>429.7</v>
      </c>
      <c r="H199" s="9" t="e">
        <f>SUM([1]!_14__All_India_Index_Upto_April2[[#This Row],[Housing new]],[1]!_14__All_India_Index_Upto_April2[[#This Row],[Household goods and services]])</f>
        <v>#REF!</v>
      </c>
      <c r="I199" s="9">
        <f>SUM('[1]14- All_India_Index_Upto_April2'!Z199,'[1]14- All_India_Index_Upto_April2'!AD199)</f>
        <v>266.29999999999995</v>
      </c>
      <c r="J199" s="9">
        <f>SUM('[1]14- All_India_Index_Upto_April2'!AA199)</f>
        <v>123.7</v>
      </c>
      <c r="K199" s="9">
        <f>'[1]14- All_India_Index_Upto_April2'!AC199</f>
        <v>142.80000000000001</v>
      </c>
      <c r="L199" s="9">
        <f>SUM('[1]14- All_India_Index_Upto_April2'!AB199,'[1]14- All_India_Index_Upto_April2'!AE199)</f>
        <v>265.2</v>
      </c>
      <c r="M199" s="9">
        <f>'[1]14- All_India_Index_Upto_April2'!AF199</f>
        <v>138.5</v>
      </c>
    </row>
    <row r="200" spans="1:13" hidden="1">
      <c r="A200" s="9" t="str">
        <f>'[1]14- All_India_Index_Upto_April2'!A200</f>
        <v>Rural</v>
      </c>
      <c r="B200" s="9">
        <f>'[1]14- All_India_Index_Upto_April2'!B200</f>
        <v>2018</v>
      </c>
      <c r="C200" s="9" t="str">
        <f>'[1]14- All_India_Index_Upto_April2'!C200</f>
        <v>July</v>
      </c>
      <c r="D200" s="9" t="str">
        <f t="shared" si="6"/>
        <v>July-2018</v>
      </c>
      <c r="E200" s="46">
        <f t="shared" si="7"/>
        <v>43282</v>
      </c>
      <c r="F200" s="9">
        <f>SUM('[1]14- All_India_Index_Upto_April2'!F200:S200)</f>
        <v>1966.6000000000001</v>
      </c>
      <c r="G200" s="9">
        <f>SUM('[1]14- All_India_Index_Upto_April2'!T200:V200)</f>
        <v>447.20000000000005</v>
      </c>
      <c r="H200" s="9" t="e">
        <f>SUM([1]!_14__All_India_Index_Upto_April2[[#This Row],[Housing new]],[1]!_14__All_India_Index_Upto_April2[[#This Row],[Household goods and services]])</f>
        <v>#REF!</v>
      </c>
      <c r="I200" s="9">
        <f>SUM('[1]14- All_India_Index_Upto_April2'!Z200,'[1]14- All_India_Index_Upto_April2'!AD200)</f>
        <v>270.39999999999998</v>
      </c>
      <c r="J200" s="9">
        <f>SUM('[1]14- All_India_Index_Upto_April2'!AA200)</f>
        <v>127.5</v>
      </c>
      <c r="K200" s="9">
        <f>'[1]14- All_India_Index_Upto_April2'!AC200</f>
        <v>145.80000000000001</v>
      </c>
      <c r="L200" s="9">
        <f>SUM('[1]14- All_India_Index_Upto_April2'!AB200,'[1]14- All_India_Index_Upto_April2'!AE200)</f>
        <v>274.39999999999998</v>
      </c>
      <c r="M200" s="9">
        <f>'[1]14- All_India_Index_Upto_April2'!AF200</f>
        <v>141.80000000000001</v>
      </c>
    </row>
    <row r="201" spans="1:13" hidden="1">
      <c r="A201" s="9" t="str">
        <f>'[1]14- All_India_Index_Upto_April2'!A201</f>
        <v>Urban</v>
      </c>
      <c r="B201" s="9">
        <f>'[1]14- All_India_Index_Upto_April2'!B201</f>
        <v>2018</v>
      </c>
      <c r="C201" s="9" t="str">
        <f>'[1]14- All_India_Index_Upto_April2'!C201</f>
        <v>July</v>
      </c>
      <c r="D201" s="9" t="str">
        <f t="shared" si="6"/>
        <v>July-2018</v>
      </c>
      <c r="E201" s="46">
        <f t="shared" si="7"/>
        <v>43282</v>
      </c>
      <c r="F201" s="9">
        <f>SUM('[1]14- All_India_Index_Upto_April2'!F201:S201)</f>
        <v>1932.5</v>
      </c>
      <c r="G201" s="9">
        <f>SUM('[1]14- All_India_Index_Upto_April2'!T201:V201)</f>
        <v>406.4</v>
      </c>
      <c r="H201" s="9" t="e">
        <f>SUM([1]!_14__All_India_Index_Upto_April2[[#This Row],[Housing new]],[1]!_14__All_India_Index_Upto_April2[[#This Row],[Household goods and services]])</f>
        <v>#REF!</v>
      </c>
      <c r="I201" s="9">
        <f>SUM('[1]14- All_India_Index_Upto_April2'!Z201,'[1]14- All_India_Index_Upto_April2'!AD201)</f>
        <v>261.79999999999995</v>
      </c>
      <c r="J201" s="9">
        <f>SUM('[1]14- All_India_Index_Upto_April2'!AA201)</f>
        <v>120.1</v>
      </c>
      <c r="K201" s="9">
        <f>'[1]14- All_India_Index_Upto_April2'!AC201</f>
        <v>144</v>
      </c>
      <c r="L201" s="9">
        <f>SUM('[1]14- All_India_Index_Upto_April2'!AB201,'[1]14- All_India_Index_Upto_April2'!AE201)</f>
        <v>259.2</v>
      </c>
      <c r="M201" s="9">
        <f>'[1]14- All_India_Index_Upto_April2'!AF201</f>
        <v>137.5</v>
      </c>
    </row>
    <row r="202" spans="1:13" hidden="1">
      <c r="A202" s="9" t="str">
        <f>'[1]14- All_India_Index_Upto_April2'!A202</f>
        <v>Rural+Urban</v>
      </c>
      <c r="B202" s="9">
        <f>'[1]14- All_India_Index_Upto_April2'!B202</f>
        <v>2018</v>
      </c>
      <c r="C202" s="9" t="str">
        <f>'[1]14- All_India_Index_Upto_April2'!C202</f>
        <v>July</v>
      </c>
      <c r="D202" s="9" t="str">
        <f t="shared" si="6"/>
        <v>July-2018</v>
      </c>
      <c r="E202" s="46">
        <f t="shared" si="7"/>
        <v>43282</v>
      </c>
      <c r="F202" s="9">
        <f>SUM('[1]14- All_India_Index_Upto_April2'!F202:S202)</f>
        <v>1952.8</v>
      </c>
      <c r="G202" s="9">
        <f>SUM('[1]14- All_India_Index_Upto_April2'!T202:V202)</f>
        <v>430.80000000000007</v>
      </c>
      <c r="H202" s="9" t="e">
        <f>SUM([1]!_14__All_India_Index_Upto_April2[[#This Row],[Housing new]],[1]!_14__All_India_Index_Upto_April2[[#This Row],[Household goods and services]])</f>
        <v>#REF!</v>
      </c>
      <c r="I202" s="9">
        <f>SUM('[1]14- All_India_Index_Upto_April2'!Z202,'[1]14- All_India_Index_Upto_April2'!AD202)</f>
        <v>267.10000000000002</v>
      </c>
      <c r="J202" s="9">
        <f>SUM('[1]14- All_India_Index_Upto_April2'!AA202)</f>
        <v>123.6</v>
      </c>
      <c r="K202" s="9">
        <f>'[1]14- All_India_Index_Upto_April2'!AC202</f>
        <v>144.69999999999999</v>
      </c>
      <c r="L202" s="9">
        <f>SUM('[1]14- All_India_Index_Upto_April2'!AB202,'[1]14- All_India_Index_Upto_April2'!AE202)</f>
        <v>266.29999999999995</v>
      </c>
      <c r="M202" s="9">
        <f>'[1]14- All_India_Index_Upto_April2'!AF202</f>
        <v>139.80000000000001</v>
      </c>
    </row>
    <row r="203" spans="1:13" hidden="1">
      <c r="A203" s="9" t="str">
        <f>'[1]14- All_India_Index_Upto_April2'!A203</f>
        <v>Rural</v>
      </c>
      <c r="B203" s="9">
        <f>'[1]14- All_India_Index_Upto_April2'!B203</f>
        <v>2018</v>
      </c>
      <c r="C203" s="9" t="str">
        <f>'[1]14- All_India_Index_Upto_April2'!C203</f>
        <v>August</v>
      </c>
      <c r="D203" s="9" t="str">
        <f t="shared" si="6"/>
        <v>August-2018</v>
      </c>
      <c r="E203" s="46">
        <f t="shared" si="7"/>
        <v>43313</v>
      </c>
      <c r="F203" s="9">
        <f>SUM('[1]14- All_India_Index_Upto_April2'!F203:S203)</f>
        <v>1975.2</v>
      </c>
      <c r="G203" s="9">
        <f>SUM('[1]14- All_India_Index_Upto_April2'!T203:V203)</f>
        <v>449.2</v>
      </c>
      <c r="H203" s="9" t="e">
        <f>SUM([1]!_14__All_India_Index_Upto_April2[[#This Row],[Housing new]],[1]!_14__All_India_Index_Upto_April2[[#This Row],[Household goods and services]])</f>
        <v>#REF!</v>
      </c>
      <c r="I203" s="9">
        <f>SUM('[1]14- All_India_Index_Upto_April2'!Z203,'[1]14- All_India_Index_Upto_April2'!AD203)</f>
        <v>270.70000000000005</v>
      </c>
      <c r="J203" s="9">
        <f>SUM('[1]14- All_India_Index_Upto_April2'!AA203)</f>
        <v>128.30000000000001</v>
      </c>
      <c r="K203" s="9">
        <f>'[1]14- All_India_Index_Upto_April2'!AC203</f>
        <v>146.9</v>
      </c>
      <c r="L203" s="9">
        <f>SUM('[1]14- All_India_Index_Upto_April2'!AB203,'[1]14- All_India_Index_Upto_April2'!AE203)</f>
        <v>275.2</v>
      </c>
      <c r="M203" s="9">
        <f>'[1]14- All_India_Index_Upto_April2'!AF203</f>
        <v>142.5</v>
      </c>
    </row>
    <row r="204" spans="1:13" hidden="1">
      <c r="A204" s="9" t="str">
        <f>'[1]14- All_India_Index_Upto_April2'!A204</f>
        <v>Urban</v>
      </c>
      <c r="B204" s="9">
        <f>'[1]14- All_India_Index_Upto_April2'!B204</f>
        <v>2018</v>
      </c>
      <c r="C204" s="9" t="str">
        <f>'[1]14- All_India_Index_Upto_April2'!C204</f>
        <v>August</v>
      </c>
      <c r="D204" s="9" t="str">
        <f t="shared" si="6"/>
        <v>August-2018</v>
      </c>
      <c r="E204" s="46">
        <f t="shared" si="7"/>
        <v>43313</v>
      </c>
      <c r="F204" s="9">
        <f>SUM('[1]14- All_India_Index_Upto_April2'!F204:S204)</f>
        <v>1929.6999999999998</v>
      </c>
      <c r="G204" s="9">
        <f>SUM('[1]14- All_India_Index_Upto_April2'!T204:V204)</f>
        <v>407.3</v>
      </c>
      <c r="H204" s="9" t="e">
        <f>SUM([1]!_14__All_India_Index_Upto_April2[[#This Row],[Housing new]],[1]!_14__All_India_Index_Upto_April2[[#This Row],[Household goods and services]])</f>
        <v>#REF!</v>
      </c>
      <c r="I204" s="9">
        <f>SUM('[1]14- All_India_Index_Upto_April2'!Z204,'[1]14- All_India_Index_Upto_April2'!AD204)</f>
        <v>263.20000000000005</v>
      </c>
      <c r="J204" s="9">
        <f>SUM('[1]14- All_India_Index_Upto_April2'!AA204)</f>
        <v>120.7</v>
      </c>
      <c r="K204" s="9">
        <f>'[1]14- All_India_Index_Upto_April2'!AC204</f>
        <v>145.30000000000001</v>
      </c>
      <c r="L204" s="9">
        <f>SUM('[1]14- All_India_Index_Upto_April2'!AB204,'[1]14- All_India_Index_Upto_April2'!AE204)</f>
        <v>260.8</v>
      </c>
      <c r="M204" s="9">
        <f>'[1]14- All_India_Index_Upto_April2'!AF204</f>
        <v>138</v>
      </c>
    </row>
    <row r="205" spans="1:13" hidden="1">
      <c r="A205" s="9" t="str">
        <f>'[1]14- All_India_Index_Upto_April2'!A205</f>
        <v>Rural+Urban</v>
      </c>
      <c r="B205" s="9">
        <f>'[1]14- All_India_Index_Upto_April2'!B205</f>
        <v>2018</v>
      </c>
      <c r="C205" s="9" t="str">
        <f>'[1]14- All_India_Index_Upto_April2'!C205</f>
        <v>August</v>
      </c>
      <c r="D205" s="9" t="str">
        <f t="shared" si="6"/>
        <v>August-2018</v>
      </c>
      <c r="E205" s="46">
        <f t="shared" si="7"/>
        <v>43313</v>
      </c>
      <c r="F205" s="9">
        <f>SUM('[1]14- All_India_Index_Upto_April2'!F205:S205)</f>
        <v>1956.6000000000004</v>
      </c>
      <c r="G205" s="9">
        <f>SUM('[1]14- All_India_Index_Upto_April2'!T205:V205)</f>
        <v>432.20000000000005</v>
      </c>
      <c r="H205" s="9" t="e">
        <f>SUM([1]!_14__All_India_Index_Upto_April2[[#This Row],[Housing new]],[1]!_14__All_India_Index_Upto_April2[[#This Row],[Household goods and services]])</f>
        <v>#REF!</v>
      </c>
      <c r="I205" s="9">
        <f>SUM('[1]14- All_India_Index_Upto_April2'!Z205,'[1]14- All_India_Index_Upto_April2'!AD205)</f>
        <v>267.79999999999995</v>
      </c>
      <c r="J205" s="9">
        <f>SUM('[1]14- All_India_Index_Upto_April2'!AA205)</f>
        <v>124.3</v>
      </c>
      <c r="K205" s="9">
        <f>'[1]14- All_India_Index_Upto_April2'!AC205</f>
        <v>146</v>
      </c>
      <c r="L205" s="9">
        <f>SUM('[1]14- All_India_Index_Upto_April2'!AB205,'[1]14- All_India_Index_Upto_April2'!AE205)</f>
        <v>267.5</v>
      </c>
      <c r="M205" s="9">
        <f>'[1]14- All_India_Index_Upto_April2'!AF205</f>
        <v>140.4</v>
      </c>
    </row>
    <row r="206" spans="1:13" hidden="1">
      <c r="A206" s="9" t="str">
        <f>'[1]14- All_India_Index_Upto_April2'!A206</f>
        <v>Rural</v>
      </c>
      <c r="B206" s="9">
        <f>'[1]14- All_India_Index_Upto_April2'!B206</f>
        <v>2018</v>
      </c>
      <c r="C206" s="9" t="str">
        <f>'[1]14- All_India_Index_Upto_April2'!C206</f>
        <v>September</v>
      </c>
      <c r="D206" s="9" t="str">
        <f t="shared" si="6"/>
        <v>September-2018</v>
      </c>
      <c r="E206" s="46">
        <f t="shared" si="7"/>
        <v>43344</v>
      </c>
      <c r="F206" s="9">
        <f>SUM('[1]14- All_India_Index_Upto_April2'!F206:S206)</f>
        <v>1957.5000000000002</v>
      </c>
      <c r="G206" s="9">
        <f>SUM('[1]14- All_India_Index_Upto_April2'!T206:V206)</f>
        <v>449.5</v>
      </c>
      <c r="H206" s="9" t="e">
        <f>SUM([1]!_14__All_India_Index_Upto_April2[[#This Row],[Housing new]],[1]!_14__All_India_Index_Upto_April2[[#This Row],[Household goods and services]])</f>
        <v>#REF!</v>
      </c>
      <c r="I206" s="9">
        <f>SUM('[1]14- All_India_Index_Upto_April2'!Z206,'[1]14- All_India_Index_Upto_April2'!AD206)</f>
        <v>272</v>
      </c>
      <c r="J206" s="9">
        <f>SUM('[1]14- All_India_Index_Upto_April2'!AA206)</f>
        <v>129.9</v>
      </c>
      <c r="K206" s="9">
        <f>'[1]14- All_India_Index_Upto_April2'!AC206</f>
        <v>147.6</v>
      </c>
      <c r="L206" s="9">
        <f>SUM('[1]14- All_India_Index_Upto_April2'!AB206,'[1]14- All_India_Index_Upto_April2'!AE206)</f>
        <v>277.39999999999998</v>
      </c>
      <c r="M206" s="9">
        <f>'[1]14- All_India_Index_Upto_April2'!AF206</f>
        <v>142.1</v>
      </c>
    </row>
    <row r="207" spans="1:13" hidden="1">
      <c r="A207" s="9" t="str">
        <f>'[1]14- All_India_Index_Upto_April2'!A207</f>
        <v>Urban</v>
      </c>
      <c r="B207" s="9">
        <f>'[1]14- All_India_Index_Upto_April2'!B207</f>
        <v>2018</v>
      </c>
      <c r="C207" s="9" t="str">
        <f>'[1]14- All_India_Index_Upto_April2'!C207</f>
        <v>September</v>
      </c>
      <c r="D207" s="9" t="str">
        <f t="shared" si="6"/>
        <v>September-2018</v>
      </c>
      <c r="E207" s="46">
        <f t="shared" si="7"/>
        <v>43344</v>
      </c>
      <c r="F207" s="9">
        <f>SUM('[1]14- All_India_Index_Upto_April2'!F207:S207)</f>
        <v>1911.7</v>
      </c>
      <c r="G207" s="9">
        <f>SUM('[1]14- All_India_Index_Upto_April2'!T207:V207)</f>
        <v>409.20000000000005</v>
      </c>
      <c r="H207" s="9" t="e">
        <f>SUM([1]!_14__All_India_Index_Upto_April2[[#This Row],[Housing new]],[1]!_14__All_India_Index_Upto_April2[[#This Row],[Household goods and services]])</f>
        <v>#REF!</v>
      </c>
      <c r="I207" s="9">
        <f>SUM('[1]14- All_India_Index_Upto_April2'!Z207,'[1]14- All_India_Index_Upto_April2'!AD207)</f>
        <v>265</v>
      </c>
      <c r="J207" s="9">
        <f>SUM('[1]14- All_India_Index_Upto_April2'!AA207)</f>
        <v>122.5</v>
      </c>
      <c r="K207" s="9">
        <f>'[1]14- All_India_Index_Upto_April2'!AC207</f>
        <v>145.19999999999999</v>
      </c>
      <c r="L207" s="9">
        <f>SUM('[1]14- All_India_Index_Upto_April2'!AB207,'[1]14- All_India_Index_Upto_April2'!AE207)</f>
        <v>262.10000000000002</v>
      </c>
      <c r="M207" s="9">
        <f>'[1]14- All_India_Index_Upto_April2'!AF207</f>
        <v>138.1</v>
      </c>
    </row>
    <row r="208" spans="1:13" hidden="1">
      <c r="A208" s="9" t="str">
        <f>'[1]14- All_India_Index_Upto_April2'!A208</f>
        <v>Rural+Urban</v>
      </c>
      <c r="B208" s="9">
        <f>'[1]14- All_India_Index_Upto_April2'!B208</f>
        <v>2018</v>
      </c>
      <c r="C208" s="9" t="str">
        <f>'[1]14- All_India_Index_Upto_April2'!C208</f>
        <v>September</v>
      </c>
      <c r="D208" s="9" t="str">
        <f t="shared" si="6"/>
        <v>September-2018</v>
      </c>
      <c r="E208" s="46">
        <f t="shared" si="7"/>
        <v>43344</v>
      </c>
      <c r="F208" s="9">
        <f>SUM('[1]14- All_India_Index_Upto_April2'!F208:S208)</f>
        <v>1938.7</v>
      </c>
      <c r="G208" s="9">
        <f>SUM('[1]14- All_India_Index_Upto_April2'!T208:V208)</f>
        <v>433.29999999999995</v>
      </c>
      <c r="H208" s="9" t="e">
        <f>SUM([1]!_14__All_India_Index_Upto_April2[[#This Row],[Housing new]],[1]!_14__All_India_Index_Upto_April2[[#This Row],[Household goods and services]])</f>
        <v>#REF!</v>
      </c>
      <c r="I208" s="9">
        <f>SUM('[1]14- All_India_Index_Upto_April2'!Z208,'[1]14- All_India_Index_Upto_April2'!AD208)</f>
        <v>269.3</v>
      </c>
      <c r="J208" s="9">
        <f>SUM('[1]14- All_India_Index_Upto_April2'!AA208)</f>
        <v>126</v>
      </c>
      <c r="K208" s="9">
        <f>'[1]14- All_India_Index_Upto_April2'!AC208</f>
        <v>146.19999999999999</v>
      </c>
      <c r="L208" s="9">
        <f>SUM('[1]14- All_India_Index_Upto_April2'!AB208,'[1]14- All_India_Index_Upto_April2'!AE208)</f>
        <v>269.2</v>
      </c>
      <c r="M208" s="9">
        <f>'[1]14- All_India_Index_Upto_April2'!AF208</f>
        <v>140.19999999999999</v>
      </c>
    </row>
    <row r="209" spans="1:13" hidden="1">
      <c r="A209" s="9" t="str">
        <f>'[1]14- All_India_Index_Upto_April2'!A209</f>
        <v>Rural</v>
      </c>
      <c r="B209" s="9">
        <f>'[1]14- All_India_Index_Upto_April2'!B209</f>
        <v>2018</v>
      </c>
      <c r="C209" s="9" t="str">
        <f>'[1]14- All_India_Index_Upto_April2'!C209</f>
        <v>October</v>
      </c>
      <c r="D209" s="9" t="str">
        <f t="shared" si="6"/>
        <v>October-2018</v>
      </c>
      <c r="E209" s="46">
        <f t="shared" si="7"/>
        <v>43374</v>
      </c>
      <c r="F209" s="9">
        <f>SUM('[1]14- All_India_Index_Upto_April2'!F209:S209)</f>
        <v>1941.8</v>
      </c>
      <c r="G209" s="9">
        <f>SUM('[1]14- All_India_Index_Upto_April2'!T209:V209)</f>
        <v>445</v>
      </c>
      <c r="H209" s="9" t="e">
        <f>SUM([1]!_14__All_India_Index_Upto_April2[[#This Row],[Housing new]],[1]!_14__All_India_Index_Upto_April2[[#This Row],[Household goods and services]])</f>
        <v>#REF!</v>
      </c>
      <c r="I209" s="9">
        <f>SUM('[1]14- All_India_Index_Upto_April2'!Z209,'[1]14- All_India_Index_Upto_April2'!AD209)</f>
        <v>279.20000000000005</v>
      </c>
      <c r="J209" s="9">
        <f>SUM('[1]14- All_India_Index_Upto_April2'!AA209)</f>
        <v>130.80000000000001</v>
      </c>
      <c r="K209" s="9">
        <f>'[1]14- All_India_Index_Upto_April2'!AC209</f>
        <v>148</v>
      </c>
      <c r="L209" s="9">
        <f>SUM('[1]14- All_India_Index_Upto_April2'!AB209,'[1]14- All_India_Index_Upto_April2'!AE209)</f>
        <v>279.89999999999998</v>
      </c>
      <c r="M209" s="9">
        <f>'[1]14- All_India_Index_Upto_April2'!AF209</f>
        <v>142.19999999999999</v>
      </c>
    </row>
    <row r="210" spans="1:13" hidden="1">
      <c r="A210" s="9" t="str">
        <f>'[1]14- All_India_Index_Upto_April2'!A210</f>
        <v>Urban</v>
      </c>
      <c r="B210" s="9">
        <f>'[1]14- All_India_Index_Upto_April2'!B210</f>
        <v>2018</v>
      </c>
      <c r="C210" s="9" t="str">
        <f>'[1]14- All_India_Index_Upto_April2'!C210</f>
        <v>October</v>
      </c>
      <c r="D210" s="9" t="str">
        <f t="shared" si="6"/>
        <v>October-2018</v>
      </c>
      <c r="E210" s="46">
        <f t="shared" si="7"/>
        <v>43374</v>
      </c>
      <c r="F210" s="9">
        <f>SUM('[1]14- All_India_Index_Upto_April2'!F210:S210)</f>
        <v>1918.1</v>
      </c>
      <c r="G210" s="9">
        <f>SUM('[1]14- All_India_Index_Upto_April2'!T210:V210)</f>
        <v>411</v>
      </c>
      <c r="H210" s="9" t="e">
        <f>SUM([1]!_14__All_India_Index_Upto_April2[[#This Row],[Housing new]],[1]!_14__All_India_Index_Upto_April2[[#This Row],[Household goods and services]])</f>
        <v>#REF!</v>
      </c>
      <c r="I210" s="9">
        <f>SUM('[1]14- All_India_Index_Upto_April2'!Z210,'[1]14- All_India_Index_Upto_April2'!AD210)</f>
        <v>266.60000000000002</v>
      </c>
      <c r="J210" s="9">
        <f>SUM('[1]14- All_India_Index_Upto_April2'!AA210)</f>
        <v>123.3</v>
      </c>
      <c r="K210" s="9">
        <f>'[1]14- All_India_Index_Upto_April2'!AC210</f>
        <v>145.5</v>
      </c>
      <c r="L210" s="9">
        <f>SUM('[1]14- All_India_Index_Upto_April2'!AB210,'[1]14- All_India_Index_Upto_April2'!AE210)</f>
        <v>263.2</v>
      </c>
      <c r="M210" s="9">
        <f>'[1]14- All_India_Index_Upto_April2'!AF210</f>
        <v>138.9</v>
      </c>
    </row>
    <row r="211" spans="1:13" hidden="1">
      <c r="A211" s="9" t="str">
        <f>'[1]14- All_India_Index_Upto_April2'!A211</f>
        <v>Rural+Urban</v>
      </c>
      <c r="B211" s="9">
        <f>'[1]14- All_India_Index_Upto_April2'!B211</f>
        <v>2018</v>
      </c>
      <c r="C211" s="9" t="str">
        <f>'[1]14- All_India_Index_Upto_April2'!C211</f>
        <v>October</v>
      </c>
      <c r="D211" s="9" t="str">
        <f t="shared" si="6"/>
        <v>October-2018</v>
      </c>
      <c r="E211" s="46">
        <f t="shared" si="7"/>
        <v>43374</v>
      </c>
      <c r="F211" s="9">
        <f>SUM('[1]14- All_India_Index_Upto_April2'!F211:S211)</f>
        <v>1938.8</v>
      </c>
      <c r="G211" s="9">
        <f>SUM('[1]14- All_India_Index_Upto_April2'!T211:V211)</f>
        <v>434</v>
      </c>
      <c r="H211" s="9" t="e">
        <f>SUM([1]!_14__All_India_Index_Upto_April2[[#This Row],[Housing new]],[1]!_14__All_India_Index_Upto_April2[[#This Row],[Household goods and services]])</f>
        <v>#REF!</v>
      </c>
      <c r="I211" s="9">
        <f>SUM('[1]14- All_India_Index_Upto_April2'!Z211,'[1]14- All_India_Index_Upto_April2'!AD211)</f>
        <v>274.10000000000002</v>
      </c>
      <c r="J211" s="9">
        <f>SUM('[1]14- All_India_Index_Upto_April2'!AA211)</f>
        <v>125.5</v>
      </c>
      <c r="K211" s="9">
        <f>'[1]14- All_India_Index_Upto_April2'!AC211</f>
        <v>147.80000000000001</v>
      </c>
      <c r="L211" s="9">
        <f>SUM('[1]14- All_India_Index_Upto_April2'!AB211,'[1]14- All_India_Index_Upto_April2'!AE211)</f>
        <v>272.8</v>
      </c>
      <c r="M211" s="9">
        <f>'[1]14- All_India_Index_Upto_April2'!AF211</f>
        <v>140.80000000000001</v>
      </c>
    </row>
    <row r="212" spans="1:13" hidden="1">
      <c r="A212" s="9" t="str">
        <f>'[1]14- All_India_Index_Upto_April2'!A212</f>
        <v>Rural</v>
      </c>
      <c r="B212" s="9">
        <f>'[1]14- All_India_Index_Upto_April2'!B212</f>
        <v>2018</v>
      </c>
      <c r="C212" s="9" t="str">
        <f>'[1]14- All_India_Index_Upto_April2'!C212</f>
        <v>November</v>
      </c>
      <c r="D212" s="9" t="str">
        <f t="shared" si="6"/>
        <v>November-2018</v>
      </c>
      <c r="E212" s="46">
        <f t="shared" si="7"/>
        <v>43405</v>
      </c>
      <c r="F212" s="9">
        <f>SUM('[1]14- All_India_Index_Upto_April2'!F212:S212)</f>
        <v>1949.3999999999996</v>
      </c>
      <c r="G212" s="9">
        <f>SUM('[1]14- All_India_Index_Upto_April2'!T212:V212)</f>
        <v>448</v>
      </c>
      <c r="H212" s="9" t="e">
        <f>SUM([1]!_14__All_India_Index_Upto_April2[[#This Row],[Housing new]],[1]!_14__All_India_Index_Upto_April2[[#This Row],[Household goods and services]])</f>
        <v>#REF!</v>
      </c>
      <c r="I212" s="9">
        <f>SUM('[1]14- All_India_Index_Upto_April2'!Z212,'[1]14- All_India_Index_Upto_April2'!AD212)</f>
        <v>278.5</v>
      </c>
      <c r="J212" s="9">
        <f>SUM('[1]14- All_India_Index_Upto_April2'!AA212)</f>
        <v>130.30000000000001</v>
      </c>
      <c r="K212" s="9">
        <f>'[1]14- All_India_Index_Upto_April2'!AC212</f>
        <v>150.19999999999999</v>
      </c>
      <c r="L212" s="9">
        <f>SUM('[1]14- All_India_Index_Upto_April2'!AB212,'[1]14- All_India_Index_Upto_April2'!AE212)</f>
        <v>283.2</v>
      </c>
      <c r="M212" s="9">
        <f>'[1]14- All_India_Index_Upto_April2'!AF212</f>
        <v>142.4</v>
      </c>
    </row>
    <row r="213" spans="1:13" hidden="1">
      <c r="A213" s="9" t="str">
        <f>'[1]14- All_India_Index_Upto_April2'!A213</f>
        <v>Urban</v>
      </c>
      <c r="B213" s="9">
        <f>'[1]14- All_India_Index_Upto_April2'!B213</f>
        <v>2018</v>
      </c>
      <c r="C213" s="9" t="str">
        <f>'[1]14- All_India_Index_Upto_April2'!C213</f>
        <v>November</v>
      </c>
      <c r="D213" s="9" t="str">
        <f t="shared" si="6"/>
        <v>November-2018</v>
      </c>
      <c r="E213" s="46">
        <f t="shared" si="7"/>
        <v>43405</v>
      </c>
      <c r="F213" s="9">
        <f>SUM('[1]14- All_India_Index_Upto_April2'!F213:S213)</f>
        <v>1921.8999999999999</v>
      </c>
      <c r="G213" s="9">
        <f>SUM('[1]14- All_India_Index_Upto_April2'!T213:V213)</f>
        <v>413.1</v>
      </c>
      <c r="H213" s="9" t="e">
        <f>SUM([1]!_14__All_India_Index_Upto_April2[[#This Row],[Housing new]],[1]!_14__All_India_Index_Upto_April2[[#This Row],[Household goods and services]])</f>
        <v>#REF!</v>
      </c>
      <c r="I213" s="9">
        <f>SUM('[1]14- All_India_Index_Upto_April2'!Z213,'[1]14- All_India_Index_Upto_April2'!AD213)</f>
        <v>267.3</v>
      </c>
      <c r="J213" s="9">
        <f>SUM('[1]14- All_India_Index_Upto_April2'!AA213)</f>
        <v>121.2</v>
      </c>
      <c r="K213" s="9">
        <f>'[1]14- All_India_Index_Upto_April2'!AC213</f>
        <v>146.1</v>
      </c>
      <c r="L213" s="9">
        <f>SUM('[1]14- All_India_Index_Upto_April2'!AB213,'[1]14- All_India_Index_Upto_April2'!AE213)</f>
        <v>263.5</v>
      </c>
      <c r="M213" s="9">
        <f>'[1]14- All_India_Index_Upto_April2'!AF213</f>
        <v>139</v>
      </c>
    </row>
    <row r="214" spans="1:13" hidden="1">
      <c r="A214" s="9" t="str">
        <f>'[1]14- All_India_Index_Upto_April2'!A214</f>
        <v>Rural+Urban</v>
      </c>
      <c r="B214" s="9">
        <f>'[1]14- All_India_Index_Upto_April2'!B214</f>
        <v>2018</v>
      </c>
      <c r="C214" s="9" t="str">
        <f>'[1]14- All_India_Index_Upto_April2'!C214</f>
        <v>November</v>
      </c>
      <c r="D214" s="9" t="str">
        <f t="shared" si="6"/>
        <v>November-2018</v>
      </c>
      <c r="E214" s="46">
        <f t="shared" si="7"/>
        <v>43405</v>
      </c>
      <c r="F214" s="9">
        <f>SUM('[1]14- All_India_Index_Upto_April2'!F214:S214)</f>
        <v>1938.3000000000002</v>
      </c>
      <c r="G214" s="9">
        <f>SUM('[1]14- All_India_Index_Upto_April2'!T214:V214)</f>
        <v>433.8</v>
      </c>
      <c r="H214" s="9" t="e">
        <f>SUM([1]!_14__All_India_Index_Upto_April2[[#This Row],[Housing new]],[1]!_14__All_India_Index_Upto_April2[[#This Row],[Household goods and services]])</f>
        <v>#REF!</v>
      </c>
      <c r="I214" s="9">
        <f>SUM('[1]14- All_India_Index_Upto_April2'!Z214,'[1]14- All_India_Index_Upto_April2'!AD214)</f>
        <v>274.10000000000002</v>
      </c>
      <c r="J214" s="9">
        <f>SUM('[1]14- All_India_Index_Upto_April2'!AA214)</f>
        <v>125.5</v>
      </c>
      <c r="K214" s="9">
        <f>'[1]14- All_India_Index_Upto_April2'!AC214</f>
        <v>147.80000000000001</v>
      </c>
      <c r="L214" s="9">
        <f>SUM('[1]14- All_India_Index_Upto_April2'!AB214,'[1]14- All_India_Index_Upto_April2'!AE214)</f>
        <v>272.8</v>
      </c>
      <c r="M214" s="9">
        <f>'[1]14- All_India_Index_Upto_April2'!AF214</f>
        <v>140.80000000000001</v>
      </c>
    </row>
    <row r="215" spans="1:13" hidden="1">
      <c r="A215" s="9" t="str">
        <f>'[1]14- All_India_Index_Upto_April2'!A215</f>
        <v>Rural</v>
      </c>
      <c r="B215" s="9">
        <f>'[1]14- All_India_Index_Upto_April2'!B215</f>
        <v>2018</v>
      </c>
      <c r="C215" s="9" t="str">
        <f>'[1]14- All_India_Index_Upto_April2'!C215</f>
        <v>December</v>
      </c>
      <c r="D215" s="9" t="str">
        <f t="shared" si="6"/>
        <v>December-2018</v>
      </c>
      <c r="E215" s="46">
        <f t="shared" si="7"/>
        <v>43435</v>
      </c>
      <c r="F215" s="9">
        <f>SUM('[1]14- All_India_Index_Upto_April2'!F215:S215)</f>
        <v>1935.5000000000002</v>
      </c>
      <c r="G215" s="9">
        <f>SUM('[1]14- All_India_Index_Upto_April2'!T215:V215)</f>
        <v>448.3</v>
      </c>
      <c r="H215" s="9" t="e">
        <f>SUM([1]!_14__All_India_Index_Upto_April2[[#This Row],[Housing new]],[1]!_14__All_India_Index_Upto_April2[[#This Row],[Household goods and services]])</f>
        <v>#REF!</v>
      </c>
      <c r="I215" s="9">
        <f>SUM('[1]14- All_India_Index_Upto_April2'!Z215,'[1]14- All_India_Index_Upto_April2'!AD215)</f>
        <v>282.79999999999995</v>
      </c>
      <c r="J215" s="9">
        <f>SUM('[1]14- All_India_Index_Upto_April2'!AA215)</f>
        <v>128.9</v>
      </c>
      <c r="K215" s="9">
        <f>'[1]14- All_India_Index_Upto_April2'!AC215</f>
        <v>155.1</v>
      </c>
      <c r="L215" s="9">
        <f>SUM('[1]14- All_India_Index_Upto_April2'!AB215,'[1]14- All_India_Index_Upto_April2'!AE215)</f>
        <v>284.89999999999998</v>
      </c>
      <c r="M215" s="9">
        <f>'[1]14- All_India_Index_Upto_April2'!AF215</f>
        <v>141.9</v>
      </c>
    </row>
    <row r="216" spans="1:13" hidden="1">
      <c r="A216" s="9" t="str">
        <f>'[1]14- All_India_Index_Upto_April2'!A216</f>
        <v>Urban</v>
      </c>
      <c r="B216" s="9">
        <f>'[1]14- All_India_Index_Upto_April2'!B216</f>
        <v>2018</v>
      </c>
      <c r="C216" s="9" t="str">
        <f>'[1]14- All_India_Index_Upto_April2'!C216</f>
        <v>December</v>
      </c>
      <c r="D216" s="9" t="str">
        <f t="shared" si="6"/>
        <v>December-2018</v>
      </c>
      <c r="E216" s="46">
        <f t="shared" si="7"/>
        <v>43435</v>
      </c>
      <c r="F216" s="9">
        <f>SUM('[1]14- All_India_Index_Upto_April2'!F216:S216)</f>
        <v>1911.1999999999998</v>
      </c>
      <c r="G216" s="9">
        <f>SUM('[1]14- All_India_Index_Upto_April2'!T216:V216)</f>
        <v>413.8</v>
      </c>
      <c r="H216" s="9" t="e">
        <f>SUM([1]!_14__All_India_Index_Upto_April2[[#This Row],[Housing new]],[1]!_14__All_India_Index_Upto_April2[[#This Row],[Household goods and services]])</f>
        <v>#REF!</v>
      </c>
      <c r="I216" s="9">
        <f>SUM('[1]14- All_India_Index_Upto_April2'!Z216,'[1]14- All_India_Index_Upto_April2'!AD216)</f>
        <v>268.10000000000002</v>
      </c>
      <c r="J216" s="9">
        <f>SUM('[1]14- All_India_Index_Upto_April2'!AA216)</f>
        <v>118.8</v>
      </c>
      <c r="K216" s="9">
        <f>'[1]14- All_India_Index_Upto_April2'!AC216</f>
        <v>146.5</v>
      </c>
      <c r="L216" s="9">
        <f>SUM('[1]14- All_India_Index_Upto_April2'!AB216,'[1]14- All_India_Index_Upto_April2'!AE216)</f>
        <v>263.39999999999998</v>
      </c>
      <c r="M216" s="9">
        <f>'[1]14- All_India_Index_Upto_April2'!AF216</f>
        <v>138</v>
      </c>
    </row>
    <row r="217" spans="1:13" hidden="1">
      <c r="A217" s="9" t="str">
        <f>'[1]14- All_India_Index_Upto_April2'!A217</f>
        <v>Rural+Urban</v>
      </c>
      <c r="B217" s="9">
        <f>'[1]14- All_India_Index_Upto_April2'!B217</f>
        <v>2018</v>
      </c>
      <c r="C217" s="9" t="str">
        <f>'[1]14- All_India_Index_Upto_April2'!C217</f>
        <v>December</v>
      </c>
      <c r="D217" s="9" t="str">
        <f t="shared" si="6"/>
        <v>December-2018</v>
      </c>
      <c r="E217" s="46">
        <f t="shared" si="7"/>
        <v>43435</v>
      </c>
      <c r="F217" s="9">
        <f>SUM('[1]14- All_India_Index_Upto_April2'!F217:S217)</f>
        <v>1925.7999999999997</v>
      </c>
      <c r="G217" s="9">
        <f>SUM('[1]14- All_India_Index_Upto_April2'!T217:V217)</f>
        <v>434.3</v>
      </c>
      <c r="H217" s="9" t="e">
        <f>SUM([1]!_14__All_India_Index_Upto_April2[[#This Row],[Housing new]],[1]!_14__All_India_Index_Upto_April2[[#This Row],[Household goods and services]])</f>
        <v>#REF!</v>
      </c>
      <c r="I217" s="9">
        <f>SUM('[1]14- All_India_Index_Upto_April2'!Z217,'[1]14- All_India_Index_Upto_April2'!AD217)</f>
        <v>277.10000000000002</v>
      </c>
      <c r="J217" s="9">
        <f>SUM('[1]14- All_India_Index_Upto_April2'!AA217)</f>
        <v>123.6</v>
      </c>
      <c r="K217" s="9">
        <f>'[1]14- All_India_Index_Upto_April2'!AC217</f>
        <v>150.1</v>
      </c>
      <c r="L217" s="9">
        <f>SUM('[1]14- All_India_Index_Upto_April2'!AB217,'[1]14- All_India_Index_Upto_April2'!AE217)</f>
        <v>273.60000000000002</v>
      </c>
      <c r="M217" s="9">
        <f>'[1]14- All_India_Index_Upto_April2'!AF217</f>
        <v>140.1</v>
      </c>
    </row>
    <row r="218" spans="1:13" hidden="1">
      <c r="A218" s="9" t="str">
        <f>'[1]14- All_India_Index_Upto_April2'!A218</f>
        <v>Rural</v>
      </c>
      <c r="B218" s="9">
        <f>'[1]14- All_India_Index_Upto_April2'!B218</f>
        <v>2019</v>
      </c>
      <c r="C218" s="9" t="str">
        <f>'[1]14- All_India_Index_Upto_April2'!C218</f>
        <v>January</v>
      </c>
      <c r="D218" s="9" t="str">
        <f t="shared" si="6"/>
        <v>January-2019</v>
      </c>
      <c r="E218" s="46">
        <f t="shared" si="7"/>
        <v>43466</v>
      </c>
      <c r="F218" s="9">
        <f>SUM('[1]14- All_India_Index_Upto_April2'!F218:S218)</f>
        <v>1922.3000000000002</v>
      </c>
      <c r="G218" s="9">
        <f>SUM('[1]14- All_India_Index_Upto_April2'!T218:V218)</f>
        <v>445.6</v>
      </c>
      <c r="H218" s="9" t="e">
        <f>SUM([1]!_14__All_India_Index_Upto_April2[[#This Row],[Housing new]],[1]!_14__All_India_Index_Upto_April2[[#This Row],[Household goods and services]])</f>
        <v>#REF!</v>
      </c>
      <c r="I218" s="9">
        <f>SUM('[1]14- All_India_Index_Upto_April2'!Z218,'[1]14- All_India_Index_Upto_April2'!AD218)</f>
        <v>283.10000000000002</v>
      </c>
      <c r="J218" s="9">
        <f>SUM('[1]14- All_India_Index_Upto_April2'!AA218)</f>
        <v>128.6</v>
      </c>
      <c r="K218" s="9">
        <f>'[1]14- All_India_Index_Upto_April2'!AC218</f>
        <v>155.19999999999999</v>
      </c>
      <c r="L218" s="9">
        <f>SUM('[1]14- All_India_Index_Upto_April2'!AB218,'[1]14- All_India_Index_Upto_April2'!AE218)</f>
        <v>284.60000000000002</v>
      </c>
      <c r="M218" s="9">
        <f>'[1]14- All_India_Index_Upto_April2'!AF218</f>
        <v>141</v>
      </c>
    </row>
    <row r="219" spans="1:13" hidden="1">
      <c r="A219" s="9" t="str">
        <f>'[1]14- All_India_Index_Upto_April2'!A219</f>
        <v>Urban</v>
      </c>
      <c r="B219" s="9">
        <f>'[1]14- All_India_Index_Upto_April2'!B219</f>
        <v>2019</v>
      </c>
      <c r="C219" s="9" t="str">
        <f>'[1]14- All_India_Index_Upto_April2'!C219</f>
        <v>January</v>
      </c>
      <c r="D219" s="9" t="str">
        <f t="shared" si="6"/>
        <v>January-2019</v>
      </c>
      <c r="E219" s="46">
        <f t="shared" si="7"/>
        <v>43466</v>
      </c>
      <c r="F219" s="9">
        <f>SUM('[1]14- All_India_Index_Upto_April2'!F219:S219)</f>
        <v>1909.0000000000002</v>
      </c>
      <c r="G219" s="9">
        <f>SUM('[1]14- All_India_Index_Upto_April2'!T219:V219)</f>
        <v>414.5</v>
      </c>
      <c r="H219" s="9" t="e">
        <f>SUM([1]!_14__All_India_Index_Upto_April2[[#This Row],[Housing new]],[1]!_14__All_India_Index_Upto_April2[[#This Row],[Household goods and services]])</f>
        <v>#REF!</v>
      </c>
      <c r="I219" s="9">
        <f>SUM('[1]14- All_India_Index_Upto_April2'!Z219,'[1]14- All_India_Index_Upto_April2'!AD219)</f>
        <v>269.5</v>
      </c>
      <c r="J219" s="9">
        <f>SUM('[1]14- All_India_Index_Upto_April2'!AA219)</f>
        <v>118.6</v>
      </c>
      <c r="K219" s="9">
        <f>'[1]14- All_India_Index_Upto_April2'!AC219</f>
        <v>146.6</v>
      </c>
      <c r="L219" s="9">
        <f>SUM('[1]14- All_India_Index_Upto_April2'!AB219,'[1]14- All_India_Index_Upto_April2'!AE219)</f>
        <v>263.70000000000005</v>
      </c>
      <c r="M219" s="9">
        <f>'[1]14- All_India_Index_Upto_April2'!AF219</f>
        <v>138</v>
      </c>
    </row>
    <row r="220" spans="1:13" hidden="1">
      <c r="A220" s="9" t="str">
        <f>'[1]14- All_India_Index_Upto_April2'!A220</f>
        <v>Rural+Urban</v>
      </c>
      <c r="B220" s="9">
        <f>'[1]14- All_India_Index_Upto_April2'!B220</f>
        <v>2019</v>
      </c>
      <c r="C220" s="9" t="str">
        <f>'[1]14- All_India_Index_Upto_April2'!C220</f>
        <v>January</v>
      </c>
      <c r="D220" s="9" t="str">
        <f t="shared" si="6"/>
        <v>January-2019</v>
      </c>
      <c r="E220" s="46">
        <f t="shared" si="7"/>
        <v>43466</v>
      </c>
      <c r="F220" s="9">
        <f>SUM('[1]14- All_India_Index_Upto_April2'!F220:S220)</f>
        <v>1916.6</v>
      </c>
      <c r="G220" s="9">
        <f>SUM('[1]14- All_India_Index_Upto_April2'!T220:V220)</f>
        <v>433</v>
      </c>
      <c r="H220" s="9" t="e">
        <f>SUM([1]!_14__All_India_Index_Upto_April2[[#This Row],[Housing new]],[1]!_14__All_India_Index_Upto_April2[[#This Row],[Household goods and services]])</f>
        <v>#REF!</v>
      </c>
      <c r="I220" s="9">
        <f>SUM('[1]14- All_India_Index_Upto_April2'!Z220,'[1]14- All_India_Index_Upto_April2'!AD220)</f>
        <v>277.89999999999998</v>
      </c>
      <c r="J220" s="9">
        <f>SUM('[1]14- All_India_Index_Upto_April2'!AA220)</f>
        <v>123.3</v>
      </c>
      <c r="K220" s="9">
        <f>'[1]14- All_India_Index_Upto_April2'!AC220</f>
        <v>150.19999999999999</v>
      </c>
      <c r="L220" s="9">
        <f>SUM('[1]14- All_India_Index_Upto_April2'!AB220,'[1]14- All_India_Index_Upto_April2'!AE220)</f>
        <v>273.60000000000002</v>
      </c>
      <c r="M220" s="9">
        <f>'[1]14- All_India_Index_Upto_April2'!AF220</f>
        <v>139.6</v>
      </c>
    </row>
    <row r="221" spans="1:13" hidden="1">
      <c r="A221" s="9" t="str">
        <f>'[1]14- All_India_Index_Upto_April2'!A221</f>
        <v>Rural</v>
      </c>
      <c r="B221" s="9">
        <f>'[1]14- All_India_Index_Upto_April2'!B221</f>
        <v>2019</v>
      </c>
      <c r="C221" s="9" t="str">
        <f>'[1]14- All_India_Index_Upto_April2'!C221</f>
        <v>February</v>
      </c>
      <c r="D221" s="9" t="str">
        <f t="shared" si="6"/>
        <v>February-2019</v>
      </c>
      <c r="E221" s="46">
        <f t="shared" si="7"/>
        <v>43497</v>
      </c>
      <c r="F221" s="9">
        <f>SUM('[1]14- All_India_Index_Upto_April2'!F221:S221)</f>
        <v>1922.6000000000001</v>
      </c>
      <c r="G221" s="9">
        <f>SUM('[1]14- All_India_Index_Upto_April2'!T221:V221)</f>
        <v>446.5</v>
      </c>
      <c r="H221" s="9" t="e">
        <f>SUM([1]!_14__All_India_Index_Upto_April2[[#This Row],[Housing new]],[1]!_14__All_India_Index_Upto_April2[[#This Row],[Household goods and services]])</f>
        <v>#REF!</v>
      </c>
      <c r="I221" s="9">
        <f>SUM('[1]14- All_India_Index_Upto_April2'!Z221,'[1]14- All_India_Index_Upto_April2'!AD221)</f>
        <v>284.8</v>
      </c>
      <c r="J221" s="9">
        <f>SUM('[1]14- All_India_Index_Upto_April2'!AA221)</f>
        <v>129.19999999999999</v>
      </c>
      <c r="K221" s="9">
        <f>'[1]14- All_India_Index_Upto_April2'!AC221</f>
        <v>155.5</v>
      </c>
      <c r="L221" s="9">
        <f>SUM('[1]14- All_India_Index_Upto_April2'!AB221,'[1]14- All_India_Index_Upto_April2'!AE221)</f>
        <v>285.60000000000002</v>
      </c>
      <c r="M221" s="9">
        <f>'[1]14- All_India_Index_Upto_April2'!AF221</f>
        <v>141</v>
      </c>
    </row>
    <row r="222" spans="1:13" hidden="1">
      <c r="A222" s="9" t="str">
        <f>'[1]14- All_India_Index_Upto_April2'!A222</f>
        <v>Urban</v>
      </c>
      <c r="B222" s="9">
        <f>'[1]14- All_India_Index_Upto_April2'!B222</f>
        <v>2019</v>
      </c>
      <c r="C222" s="9" t="str">
        <f>'[1]14- All_India_Index_Upto_April2'!C222</f>
        <v>February</v>
      </c>
      <c r="D222" s="9" t="str">
        <f t="shared" si="6"/>
        <v>February-2019</v>
      </c>
      <c r="E222" s="46">
        <f t="shared" si="7"/>
        <v>43497</v>
      </c>
      <c r="F222" s="9">
        <f>SUM('[1]14- All_India_Index_Upto_April2'!F222:S222)</f>
        <v>1919.3000000000002</v>
      </c>
      <c r="G222" s="9">
        <f>SUM('[1]14- All_India_Index_Upto_April2'!T222:V222)</f>
        <v>415.5</v>
      </c>
      <c r="H222" s="9" t="e">
        <f>SUM([1]!_14__All_India_Index_Upto_April2[[#This Row],[Housing new]],[1]!_14__All_India_Index_Upto_April2[[#This Row],[Household goods and services]])</f>
        <v>#REF!</v>
      </c>
      <c r="I222" s="9">
        <f>SUM('[1]14- All_India_Index_Upto_April2'!Z222,'[1]14- All_India_Index_Upto_April2'!AD222)</f>
        <v>271.5</v>
      </c>
      <c r="J222" s="9">
        <f>SUM('[1]14- All_India_Index_Upto_April2'!AA222)</f>
        <v>119.2</v>
      </c>
      <c r="K222" s="9">
        <f>'[1]14- All_India_Index_Upto_April2'!AC222</f>
        <v>146.6</v>
      </c>
      <c r="L222" s="9">
        <f>SUM('[1]14- All_India_Index_Upto_April2'!AB222,'[1]14- All_India_Index_Upto_April2'!AE222)</f>
        <v>264.60000000000002</v>
      </c>
      <c r="M222" s="9">
        <f>'[1]14- All_India_Index_Upto_April2'!AF222</f>
        <v>138.6</v>
      </c>
    </row>
    <row r="223" spans="1:13" hidden="1">
      <c r="A223" s="9" t="str">
        <f>'[1]14- All_India_Index_Upto_April2'!A223</f>
        <v>Rural+Urban</v>
      </c>
      <c r="B223" s="9">
        <f>'[1]14- All_India_Index_Upto_April2'!B223</f>
        <v>2019</v>
      </c>
      <c r="C223" s="9" t="str">
        <f>'[1]14- All_India_Index_Upto_April2'!C223</f>
        <v>February</v>
      </c>
      <c r="D223" s="9" t="str">
        <f t="shared" si="6"/>
        <v>February-2019</v>
      </c>
      <c r="E223" s="46">
        <f t="shared" si="7"/>
        <v>43497</v>
      </c>
      <c r="F223" s="9">
        <f>SUM('[1]14- All_India_Index_Upto_April2'!F223:S223)</f>
        <v>1920.5</v>
      </c>
      <c r="G223" s="9">
        <f>SUM('[1]14- All_India_Index_Upto_April2'!T223:V223)</f>
        <v>433.9</v>
      </c>
      <c r="H223" s="9" t="e">
        <f>SUM([1]!_14__All_India_Index_Upto_April2[[#This Row],[Housing new]],[1]!_14__All_India_Index_Upto_April2[[#This Row],[Household goods and services]])</f>
        <v>#REF!</v>
      </c>
      <c r="I223" s="9">
        <f>SUM('[1]14- All_India_Index_Upto_April2'!Z223,'[1]14- All_India_Index_Upto_April2'!AD223)</f>
        <v>279.7</v>
      </c>
      <c r="J223" s="9">
        <f>SUM('[1]14- All_India_Index_Upto_April2'!AA223)</f>
        <v>123.9</v>
      </c>
      <c r="K223" s="9">
        <f>'[1]14- All_India_Index_Upto_April2'!AC223</f>
        <v>150.30000000000001</v>
      </c>
      <c r="L223" s="9">
        <f>SUM('[1]14- All_India_Index_Upto_April2'!AB223,'[1]14- All_India_Index_Upto_April2'!AE223)</f>
        <v>274.5</v>
      </c>
      <c r="M223" s="9">
        <f>'[1]14- All_India_Index_Upto_April2'!AF223</f>
        <v>139.9</v>
      </c>
    </row>
    <row r="224" spans="1:13" hidden="1">
      <c r="A224" s="9" t="str">
        <f>'[1]14- All_India_Index_Upto_April2'!A224</f>
        <v>Rural</v>
      </c>
      <c r="B224" s="9">
        <f>'[1]14- All_India_Index_Upto_April2'!B224</f>
        <v>2019</v>
      </c>
      <c r="C224" s="9" t="str">
        <f>'[1]14- All_India_Index_Upto_April2'!C224</f>
        <v>March</v>
      </c>
      <c r="D224" s="9" t="str">
        <f t="shared" si="6"/>
        <v>March-2019</v>
      </c>
      <c r="E224" s="46">
        <f t="shared" si="7"/>
        <v>43525</v>
      </c>
      <c r="F224" s="9">
        <f>SUM('[1]14- All_India_Index_Upto_April2'!F224:S224)</f>
        <v>1924.1000000000004</v>
      </c>
      <c r="G224" s="9">
        <f>SUM('[1]14- All_India_Index_Upto_April2'!T224:V224)</f>
        <v>447</v>
      </c>
      <c r="H224" s="9" t="e">
        <f>SUM([1]!_14__All_India_Index_Upto_April2[[#This Row],[Housing new]],[1]!_14__All_India_Index_Upto_April2[[#This Row],[Household goods and services]])</f>
        <v>#REF!</v>
      </c>
      <c r="I224" s="9">
        <f>SUM('[1]14- All_India_Index_Upto_April2'!Z224,'[1]14- All_India_Index_Upto_April2'!AD224)</f>
        <v>284.39999999999998</v>
      </c>
      <c r="J224" s="9">
        <f>SUM('[1]14- All_India_Index_Upto_April2'!AA224)</f>
        <v>129.9</v>
      </c>
      <c r="K224" s="9">
        <f>'[1]14- All_India_Index_Upto_April2'!AC224</f>
        <v>155.5</v>
      </c>
      <c r="L224" s="9">
        <f>SUM('[1]14- All_India_Index_Upto_April2'!AB224,'[1]14- All_India_Index_Upto_April2'!AE224)</f>
        <v>286.20000000000005</v>
      </c>
      <c r="M224" s="9">
        <f>'[1]14- All_India_Index_Upto_April2'!AF224</f>
        <v>141.19999999999999</v>
      </c>
    </row>
    <row r="225" spans="1:13" hidden="1">
      <c r="A225" s="9" t="str">
        <f>'[1]14- All_India_Index_Upto_April2'!A225</f>
        <v>Urban</v>
      </c>
      <c r="B225" s="9">
        <f>'[1]14- All_India_Index_Upto_April2'!B225</f>
        <v>2019</v>
      </c>
      <c r="C225" s="9" t="str">
        <f>'[1]14- All_India_Index_Upto_April2'!C225</f>
        <v>March</v>
      </c>
      <c r="D225" s="9" t="str">
        <f t="shared" si="6"/>
        <v>March-2019</v>
      </c>
      <c r="E225" s="46">
        <f t="shared" si="7"/>
        <v>43525</v>
      </c>
      <c r="F225" s="9">
        <f>SUM('[1]14- All_India_Index_Upto_April2'!F225:S225)</f>
        <v>1933.7</v>
      </c>
      <c r="G225" s="9">
        <f>SUM('[1]14- All_India_Index_Upto_April2'!T225:V225)</f>
        <v>416.29999999999995</v>
      </c>
      <c r="H225" s="9" t="e">
        <f>SUM([1]!_14__All_India_Index_Upto_April2[[#This Row],[Housing new]],[1]!_14__All_India_Index_Upto_April2[[#This Row],[Household goods and services]])</f>
        <v>#REF!</v>
      </c>
      <c r="I225" s="9">
        <f>SUM('[1]14- All_India_Index_Upto_April2'!Z225,'[1]14- All_India_Index_Upto_April2'!AD225)</f>
        <v>271.7</v>
      </c>
      <c r="J225" s="9">
        <f>SUM('[1]14- All_India_Index_Upto_April2'!AA225)</f>
        <v>119.9</v>
      </c>
      <c r="K225" s="9">
        <f>'[1]14- All_India_Index_Upto_April2'!AC225</f>
        <v>146.69999999999999</v>
      </c>
      <c r="L225" s="9">
        <f>SUM('[1]14- All_India_Index_Upto_April2'!AB225,'[1]14- All_India_Index_Upto_April2'!AE225)</f>
        <v>265.8</v>
      </c>
      <c r="M225" s="9">
        <f>'[1]14- All_India_Index_Upto_April2'!AF225</f>
        <v>139.5</v>
      </c>
    </row>
    <row r="226" spans="1:13" hidden="1">
      <c r="A226" s="9" t="str">
        <f>'[1]14- All_India_Index_Upto_April2'!A226</f>
        <v>Rural+Urban</v>
      </c>
      <c r="B226" s="9">
        <f>'[1]14- All_India_Index_Upto_April2'!B226</f>
        <v>2019</v>
      </c>
      <c r="C226" s="9" t="str">
        <f>'[1]14- All_India_Index_Upto_April2'!C226</f>
        <v>March</v>
      </c>
      <c r="D226" s="9" t="str">
        <f t="shared" si="6"/>
        <v>March-2019</v>
      </c>
      <c r="E226" s="46">
        <f t="shared" si="7"/>
        <v>43525</v>
      </c>
      <c r="F226" s="9">
        <f>SUM('[1]14- All_India_Index_Upto_April2'!F226:S226)</f>
        <v>1926.4</v>
      </c>
      <c r="G226" s="9">
        <f>SUM('[1]14- All_India_Index_Upto_April2'!T226:V226)</f>
        <v>434.5</v>
      </c>
      <c r="H226" s="9" t="e">
        <f>SUM([1]!_14__All_India_Index_Upto_April2[[#This Row],[Housing new]],[1]!_14__All_India_Index_Upto_April2[[#This Row],[Household goods and services]])</f>
        <v>#REF!</v>
      </c>
      <c r="I226" s="9">
        <f>SUM('[1]14- All_India_Index_Upto_April2'!Z226,'[1]14- All_India_Index_Upto_April2'!AD226)</f>
        <v>279.60000000000002</v>
      </c>
      <c r="J226" s="9">
        <f>SUM('[1]14- All_India_Index_Upto_April2'!AA226)</f>
        <v>124.6</v>
      </c>
      <c r="K226" s="9">
        <f>'[1]14- All_India_Index_Upto_April2'!AC226</f>
        <v>150.30000000000001</v>
      </c>
      <c r="L226" s="9">
        <f>SUM('[1]14- All_India_Index_Upto_April2'!AB226,'[1]14- All_India_Index_Upto_April2'!AE226)</f>
        <v>275.39999999999998</v>
      </c>
      <c r="M226" s="9">
        <f>'[1]14- All_India_Index_Upto_April2'!AF226</f>
        <v>140.4</v>
      </c>
    </row>
    <row r="227" spans="1:13" hidden="1">
      <c r="A227" s="9" t="str">
        <f>'[1]14- All_India_Index_Upto_April2'!A227</f>
        <v>Rural</v>
      </c>
      <c r="B227" s="9">
        <f>'[1]14- All_India_Index_Upto_April2'!B227</f>
        <v>2019</v>
      </c>
      <c r="C227" s="9" t="str">
        <f>'[1]14- All_India_Index_Upto_April2'!C227</f>
        <v>May</v>
      </c>
      <c r="D227" s="9" t="str">
        <f t="shared" si="6"/>
        <v>May-2019</v>
      </c>
      <c r="E227" s="46">
        <f t="shared" si="7"/>
        <v>43586</v>
      </c>
      <c r="F227" s="9">
        <f>SUM('[1]14- All_India_Index_Upto_April2'!F227:S227)</f>
        <v>1945.4</v>
      </c>
      <c r="G227" s="9">
        <f>SUM('[1]14- All_India_Index_Upto_April2'!T227:V227)</f>
        <v>448.59999999999997</v>
      </c>
      <c r="H227" s="9" t="e">
        <f>SUM([1]!_14__All_India_Index_Upto_April2[[#This Row],[Housing new]],[1]!_14__All_India_Index_Upto_April2[[#This Row],[Household goods and services]])</f>
        <v>#REF!</v>
      </c>
      <c r="I227" s="9">
        <f>SUM('[1]14- All_India_Index_Upto_April2'!Z227,'[1]14- All_India_Index_Upto_April2'!AD227)</f>
        <v>285.20000000000005</v>
      </c>
      <c r="J227" s="9">
        <f>SUM('[1]14- All_India_Index_Upto_April2'!AA227)</f>
        <v>130.19999999999999</v>
      </c>
      <c r="K227" s="9">
        <f>'[1]14- All_India_Index_Upto_April2'!AC227</f>
        <v>156.69999999999999</v>
      </c>
      <c r="L227" s="9">
        <f>SUM('[1]14- All_India_Index_Upto_April2'!AB227,'[1]14- All_India_Index_Upto_April2'!AE227)</f>
        <v>288.8</v>
      </c>
      <c r="M227" s="9">
        <f>'[1]14- All_India_Index_Upto_April2'!AF227</f>
        <v>142.4</v>
      </c>
    </row>
    <row r="228" spans="1:13" hidden="1">
      <c r="A228" s="9" t="str">
        <f>'[1]14- All_India_Index_Upto_April2'!A228</f>
        <v>Urban</v>
      </c>
      <c r="B228" s="9">
        <f>'[1]14- All_India_Index_Upto_April2'!B228</f>
        <v>2019</v>
      </c>
      <c r="C228" s="9" t="str">
        <f>'[1]14- All_India_Index_Upto_April2'!C228</f>
        <v>May</v>
      </c>
      <c r="D228" s="9" t="str">
        <f t="shared" si="6"/>
        <v>May-2019</v>
      </c>
      <c r="E228" s="46">
        <f t="shared" si="7"/>
        <v>43586</v>
      </c>
      <c r="F228" s="9">
        <f>SUM('[1]14- All_India_Index_Upto_April2'!F228:S228)</f>
        <v>1977.7000000000003</v>
      </c>
      <c r="G228" s="9">
        <f>SUM('[1]14- All_India_Index_Upto_April2'!T228:V228)</f>
        <v>417.9</v>
      </c>
      <c r="H228" s="9" t="e">
        <f>SUM([1]!_14__All_India_Index_Upto_April2[[#This Row],[Housing new]],[1]!_14__All_India_Index_Upto_April2[[#This Row],[Household goods and services]])</f>
        <v>#REF!</v>
      </c>
      <c r="I228" s="9">
        <f>SUM('[1]14- All_India_Index_Upto_April2'!Z228,'[1]14- All_India_Index_Upto_April2'!AD228)</f>
        <v>272.39999999999998</v>
      </c>
      <c r="J228" s="9">
        <f>SUM('[1]14- All_India_Index_Upto_April2'!AA228)</f>
        <v>120.1</v>
      </c>
      <c r="K228" s="9">
        <f>'[1]14- All_India_Index_Upto_April2'!AC228</f>
        <v>148</v>
      </c>
      <c r="L228" s="9">
        <f>SUM('[1]14- All_India_Index_Upto_April2'!AB228,'[1]14- All_India_Index_Upto_April2'!AE228)</f>
        <v>267.3</v>
      </c>
      <c r="M228" s="9">
        <f>'[1]14- All_India_Index_Upto_April2'!AF228</f>
        <v>141.5</v>
      </c>
    </row>
    <row r="229" spans="1:13" hidden="1">
      <c r="A229" s="9" t="str">
        <f>'[1]14- All_India_Index_Upto_April2'!A229</f>
        <v>Rural+Urban</v>
      </c>
      <c r="B229" s="9">
        <f>'[1]14- All_India_Index_Upto_April2'!B229</f>
        <v>2019</v>
      </c>
      <c r="C229" s="9" t="str">
        <f>'[1]14- All_India_Index_Upto_April2'!C229</f>
        <v>May</v>
      </c>
      <c r="D229" s="9" t="str">
        <f t="shared" si="6"/>
        <v>May-2019</v>
      </c>
      <c r="E229" s="46">
        <f t="shared" si="7"/>
        <v>43586</v>
      </c>
      <c r="F229" s="9">
        <f>SUM('[1]14- All_India_Index_Upto_April2'!F229:S229)</f>
        <v>1956.0000000000002</v>
      </c>
      <c r="G229" s="9">
        <f>SUM('[1]14- All_India_Index_Upto_April2'!T229:V229)</f>
        <v>436.1</v>
      </c>
      <c r="H229" s="9" t="e">
        <f>SUM([1]!_14__All_India_Index_Upto_April2[[#This Row],[Housing new]],[1]!_14__All_India_Index_Upto_April2[[#This Row],[Household goods and services]])</f>
        <v>#REF!</v>
      </c>
      <c r="I229" s="9">
        <f>SUM('[1]14- All_India_Index_Upto_April2'!Z229,'[1]14- All_India_Index_Upto_April2'!AD229)</f>
        <v>280.3</v>
      </c>
      <c r="J229" s="9">
        <f>SUM('[1]14- All_India_Index_Upto_April2'!AA229)</f>
        <v>124.9</v>
      </c>
      <c r="K229" s="9">
        <f>'[1]14- All_India_Index_Upto_April2'!AC229</f>
        <v>151.6</v>
      </c>
      <c r="L229" s="9">
        <f>SUM('[1]14- All_India_Index_Upto_April2'!AB229,'[1]14- All_India_Index_Upto_April2'!AE229)</f>
        <v>277.39999999999998</v>
      </c>
      <c r="M229" s="9">
        <f>'[1]14- All_India_Index_Upto_April2'!AF229</f>
        <v>142</v>
      </c>
    </row>
    <row r="230" spans="1:13" hidden="1">
      <c r="A230" s="9" t="str">
        <f>'[1]14- All_India_Index_Upto_April2'!A230</f>
        <v>Rural</v>
      </c>
      <c r="B230" s="9">
        <f>'[1]14- All_India_Index_Upto_April2'!B230</f>
        <v>2019</v>
      </c>
      <c r="C230" s="9" t="str">
        <f>'[1]14- All_India_Index_Upto_April2'!C230</f>
        <v>June</v>
      </c>
      <c r="D230" s="9" t="str">
        <f t="shared" si="6"/>
        <v>June-2019</v>
      </c>
      <c r="E230" s="46">
        <f t="shared" si="7"/>
        <v>43617</v>
      </c>
      <c r="F230" s="9">
        <f>SUM('[1]14- All_India_Index_Upto_April2'!F230:S230)</f>
        <v>1968.3999999999999</v>
      </c>
      <c r="G230" s="9">
        <f>SUM('[1]14- All_India_Index_Upto_April2'!T230:V230)</f>
        <v>448.59999999999997</v>
      </c>
      <c r="H230" s="9" t="e">
        <f>SUM([1]!_14__All_India_Index_Upto_April2[[#This Row],[Housing new]],[1]!_14__All_India_Index_Upto_April2[[#This Row],[Household goods and services]])</f>
        <v>#REF!</v>
      </c>
      <c r="I230" s="9">
        <f>SUM('[1]14- All_India_Index_Upto_April2'!Z230,'[1]14- All_India_Index_Upto_April2'!AD230)</f>
        <v>286.5</v>
      </c>
      <c r="J230" s="9">
        <f>SUM('[1]14- All_India_Index_Upto_April2'!AA230)</f>
        <v>130.19999999999999</v>
      </c>
      <c r="K230" s="9">
        <f>'[1]14- All_India_Index_Upto_April2'!AC230</f>
        <v>157.69999999999999</v>
      </c>
      <c r="L230" s="9">
        <f>SUM('[1]14- All_India_Index_Upto_April2'!AB230,'[1]14- All_India_Index_Upto_April2'!AE230)</f>
        <v>289.70000000000005</v>
      </c>
      <c r="M230" s="9">
        <f>'[1]14- All_India_Index_Upto_April2'!AF230</f>
        <v>143.6</v>
      </c>
    </row>
    <row r="231" spans="1:13" hidden="1">
      <c r="A231" s="9" t="str">
        <f>'[1]14- All_India_Index_Upto_April2'!A231</f>
        <v>Urban</v>
      </c>
      <c r="B231" s="9">
        <f>'[1]14- All_India_Index_Upto_April2'!B231</f>
        <v>2019</v>
      </c>
      <c r="C231" s="9" t="str">
        <f>'[1]14- All_India_Index_Upto_April2'!C231</f>
        <v>June</v>
      </c>
      <c r="D231" s="9" t="str">
        <f t="shared" si="6"/>
        <v>June-2019</v>
      </c>
      <c r="E231" s="46">
        <f t="shared" si="7"/>
        <v>43617</v>
      </c>
      <c r="F231" s="9">
        <f>SUM('[1]14- All_India_Index_Upto_April2'!F231:S231)</f>
        <v>1999.9999999999998</v>
      </c>
      <c r="G231" s="9">
        <f>SUM('[1]14- All_India_Index_Upto_April2'!T231:V231)</f>
        <v>418.4</v>
      </c>
      <c r="H231" s="9" t="e">
        <f>SUM([1]!_14__All_India_Index_Upto_April2[[#This Row],[Housing new]],[1]!_14__All_India_Index_Upto_April2[[#This Row],[Household goods and services]])</f>
        <v>#REF!</v>
      </c>
      <c r="I231" s="9">
        <f>SUM('[1]14- All_India_Index_Upto_April2'!Z231,'[1]14- All_India_Index_Upto_April2'!AD231)</f>
        <v>274</v>
      </c>
      <c r="J231" s="9">
        <f>SUM('[1]14- All_India_Index_Upto_April2'!AA231)</f>
        <v>119.6</v>
      </c>
      <c r="K231" s="9">
        <f>'[1]14- All_India_Index_Upto_April2'!AC231</f>
        <v>148.9</v>
      </c>
      <c r="L231" s="9">
        <f>SUM('[1]14- All_India_Index_Upto_April2'!AB231,'[1]14- All_India_Index_Upto_April2'!AE231)</f>
        <v>267.89999999999998</v>
      </c>
      <c r="M231" s="9">
        <f>'[1]14- All_India_Index_Upto_April2'!AF231</f>
        <v>142.1</v>
      </c>
    </row>
    <row r="232" spans="1:13" hidden="1">
      <c r="A232" s="9" t="str">
        <f>'[1]14- All_India_Index_Upto_April2'!A232</f>
        <v>Rural+Urban</v>
      </c>
      <c r="B232" s="9">
        <f>'[1]14- All_India_Index_Upto_April2'!B232</f>
        <v>2019</v>
      </c>
      <c r="C232" s="9" t="str">
        <f>'[1]14- All_India_Index_Upto_April2'!C232</f>
        <v>June</v>
      </c>
      <c r="D232" s="9" t="str">
        <f t="shared" si="6"/>
        <v>June-2019</v>
      </c>
      <c r="E232" s="46">
        <f t="shared" si="7"/>
        <v>43617</v>
      </c>
      <c r="F232" s="9">
        <f>SUM('[1]14- All_India_Index_Upto_April2'!F232:S232)</f>
        <v>1979.0000000000002</v>
      </c>
      <c r="G232" s="9">
        <f>SUM('[1]14- All_India_Index_Upto_April2'!T232:V232)</f>
        <v>436.4</v>
      </c>
      <c r="H232" s="9" t="e">
        <f>SUM([1]!_14__All_India_Index_Upto_April2[[#This Row],[Housing new]],[1]!_14__All_India_Index_Upto_April2[[#This Row],[Household goods and services]])</f>
        <v>#REF!</v>
      </c>
      <c r="I232" s="9">
        <f>SUM('[1]14- All_India_Index_Upto_April2'!Z232,'[1]14- All_India_Index_Upto_April2'!AD232)</f>
        <v>281.70000000000005</v>
      </c>
      <c r="J232" s="9">
        <f>SUM('[1]14- All_India_Index_Upto_April2'!AA232)</f>
        <v>124.6</v>
      </c>
      <c r="K232" s="9">
        <f>'[1]14- All_India_Index_Upto_April2'!AC232</f>
        <v>152.5</v>
      </c>
      <c r="L232" s="9">
        <f>SUM('[1]14- All_India_Index_Upto_April2'!AB232,'[1]14- All_India_Index_Upto_April2'!AE232)</f>
        <v>278.2</v>
      </c>
      <c r="M232" s="9">
        <f>'[1]14- All_India_Index_Upto_April2'!AF232</f>
        <v>142.9</v>
      </c>
    </row>
    <row r="233" spans="1:13" hidden="1">
      <c r="A233" s="9" t="str">
        <f>'[1]14- All_India_Index_Upto_April2'!A233</f>
        <v>Rural</v>
      </c>
      <c r="B233" s="9">
        <f>'[1]14- All_India_Index_Upto_April2'!B233</f>
        <v>2019</v>
      </c>
      <c r="C233" s="9" t="str">
        <f>'[1]14- All_India_Index_Upto_April2'!C233</f>
        <v>July</v>
      </c>
      <c r="D233" s="9" t="str">
        <f t="shared" si="6"/>
        <v>July-2019</v>
      </c>
      <c r="E233" s="46">
        <f t="shared" si="7"/>
        <v>43647</v>
      </c>
      <c r="F233" s="9">
        <f>SUM('[1]14- All_India_Index_Upto_April2'!F233:S233)</f>
        <v>1991.3999999999999</v>
      </c>
      <c r="G233" s="9">
        <f>SUM('[1]14- All_India_Index_Upto_April2'!T233:V233)</f>
        <v>449.1</v>
      </c>
      <c r="H233" s="9" t="e">
        <f>SUM([1]!_14__All_India_Index_Upto_April2[[#This Row],[Housing new]],[1]!_14__All_India_Index_Upto_April2[[#This Row],[Household goods and services]])</f>
        <v>#REF!</v>
      </c>
      <c r="I233" s="9">
        <f>SUM('[1]14- All_India_Index_Upto_April2'!Z233,'[1]14- All_India_Index_Upto_April2'!AD233)</f>
        <v>288.29999999999995</v>
      </c>
      <c r="J233" s="9">
        <f>SUM('[1]14- All_India_Index_Upto_April2'!AA233)</f>
        <v>131.19999999999999</v>
      </c>
      <c r="K233" s="9">
        <f>'[1]14- All_India_Index_Upto_April2'!AC233</f>
        <v>159.1</v>
      </c>
      <c r="L233" s="9">
        <f>SUM('[1]14- All_India_Index_Upto_April2'!AB233,'[1]14- All_India_Index_Upto_April2'!AE233)</f>
        <v>291.7</v>
      </c>
      <c r="M233" s="9">
        <f>'[1]14- All_India_Index_Upto_April2'!AF233</f>
        <v>144.9</v>
      </c>
    </row>
    <row r="234" spans="1:13" hidden="1">
      <c r="A234" s="9" t="str">
        <f>'[1]14- All_India_Index_Upto_April2'!A234</f>
        <v>Urban</v>
      </c>
      <c r="B234" s="9">
        <f>'[1]14- All_India_Index_Upto_April2'!B234</f>
        <v>2019</v>
      </c>
      <c r="C234" s="9" t="str">
        <f>'[1]14- All_India_Index_Upto_April2'!C234</f>
        <v>July</v>
      </c>
      <c r="D234" s="9" t="str">
        <f t="shared" si="6"/>
        <v>July-2019</v>
      </c>
      <c r="E234" s="46">
        <f t="shared" si="7"/>
        <v>43647</v>
      </c>
      <c r="F234" s="9">
        <f>SUM('[1]14- All_India_Index_Upto_April2'!F234:S234)</f>
        <v>2024.6</v>
      </c>
      <c r="G234" s="9">
        <f>SUM('[1]14- All_India_Index_Upto_April2'!T234:V234)</f>
        <v>419.3</v>
      </c>
      <c r="H234" s="9" t="e">
        <f>SUM([1]!_14__All_India_Index_Upto_April2[[#This Row],[Housing new]],[1]!_14__All_India_Index_Upto_April2[[#This Row],[Household goods and services]])</f>
        <v>#REF!</v>
      </c>
      <c r="I234" s="9">
        <f>SUM('[1]14- All_India_Index_Upto_April2'!Z234,'[1]14- All_India_Index_Upto_April2'!AD234)</f>
        <v>275.89999999999998</v>
      </c>
      <c r="J234" s="9">
        <f>SUM('[1]14- All_India_Index_Upto_April2'!AA234)</f>
        <v>120.6</v>
      </c>
      <c r="K234" s="9">
        <f>'[1]14- All_India_Index_Upto_April2'!AC234</f>
        <v>150.4</v>
      </c>
      <c r="L234" s="9">
        <f>SUM('[1]14- All_India_Index_Upto_April2'!AB234,'[1]14- All_India_Index_Upto_April2'!AE234)</f>
        <v>269.5</v>
      </c>
      <c r="M234" s="9">
        <f>'[1]14- All_India_Index_Upto_April2'!AF234</f>
        <v>143.30000000000001</v>
      </c>
    </row>
    <row r="235" spans="1:13" hidden="1">
      <c r="A235" s="9" t="str">
        <f>'[1]14- All_India_Index_Upto_April2'!A235</f>
        <v>Rural+Urban</v>
      </c>
      <c r="B235" s="9">
        <f>'[1]14- All_India_Index_Upto_April2'!B235</f>
        <v>2019</v>
      </c>
      <c r="C235" s="9" t="str">
        <f>'[1]14- All_India_Index_Upto_April2'!C235</f>
        <v>July</v>
      </c>
      <c r="D235" s="9" t="str">
        <f t="shared" si="6"/>
        <v>July-2019</v>
      </c>
      <c r="E235" s="46">
        <f t="shared" si="7"/>
        <v>43647</v>
      </c>
      <c r="F235" s="9">
        <f>SUM('[1]14- All_India_Index_Upto_April2'!F235:S235)</f>
        <v>2002.7</v>
      </c>
      <c r="G235" s="9">
        <f>SUM('[1]14- All_India_Index_Upto_April2'!T235:V235)</f>
        <v>437</v>
      </c>
      <c r="H235" s="9" t="e">
        <f>SUM([1]!_14__All_India_Index_Upto_April2[[#This Row],[Housing new]],[1]!_14__All_India_Index_Upto_April2[[#This Row],[Household goods and services]])</f>
        <v>#REF!</v>
      </c>
      <c r="I235" s="9">
        <f>SUM('[1]14- All_India_Index_Upto_April2'!Z235,'[1]14- All_India_Index_Upto_April2'!AD235)</f>
        <v>283.60000000000002</v>
      </c>
      <c r="J235" s="9">
        <f>SUM('[1]14- All_India_Index_Upto_April2'!AA235)</f>
        <v>125.6</v>
      </c>
      <c r="K235" s="9">
        <f>'[1]14- All_India_Index_Upto_April2'!AC235</f>
        <v>154</v>
      </c>
      <c r="L235" s="9">
        <f>SUM('[1]14- All_India_Index_Upto_April2'!AB235,'[1]14- All_India_Index_Upto_April2'!AE235)</f>
        <v>280</v>
      </c>
      <c r="M235" s="9">
        <f>'[1]14- All_India_Index_Upto_April2'!AF235</f>
        <v>144.19999999999999</v>
      </c>
    </row>
    <row r="236" spans="1:13" hidden="1">
      <c r="A236" s="9" t="str">
        <f>'[1]14- All_India_Index_Upto_April2'!A236</f>
        <v>Rural</v>
      </c>
      <c r="B236" s="9">
        <f>'[1]14- All_India_Index_Upto_April2'!B236</f>
        <v>2019</v>
      </c>
      <c r="C236" s="9" t="str">
        <f>'[1]14- All_India_Index_Upto_April2'!C236</f>
        <v>August</v>
      </c>
      <c r="D236" s="9" t="str">
        <f t="shared" si="6"/>
        <v>August-2019</v>
      </c>
      <c r="E236" s="46">
        <f t="shared" si="7"/>
        <v>43678</v>
      </c>
      <c r="F236" s="9">
        <f>SUM('[1]14- All_India_Index_Upto_April2'!F236:S236)</f>
        <v>1999.6000000000001</v>
      </c>
      <c r="G236" s="9">
        <f>SUM('[1]14- All_India_Index_Upto_April2'!T236:V236)</f>
        <v>449.5</v>
      </c>
      <c r="H236" s="9" t="e">
        <f>SUM([1]!_14__All_India_Index_Upto_April2[[#This Row],[Housing new]],[1]!_14__All_India_Index_Upto_April2[[#This Row],[Household goods and services]])</f>
        <v>#REF!</v>
      </c>
      <c r="I236" s="9">
        <f>SUM('[1]14- All_India_Index_Upto_April2'!Z236,'[1]14- All_India_Index_Upto_April2'!AD236)</f>
        <v>291.5</v>
      </c>
      <c r="J236" s="9">
        <f>SUM('[1]14- All_India_Index_Upto_April2'!AA236)</f>
        <v>131.4</v>
      </c>
      <c r="K236" s="9">
        <f>'[1]14- All_India_Index_Upto_April2'!AC236</f>
        <v>159.69999999999999</v>
      </c>
      <c r="L236" s="9">
        <f>SUM('[1]14- All_India_Index_Upto_April2'!AB236,'[1]14- All_India_Index_Upto_April2'!AE236)</f>
        <v>292.89999999999998</v>
      </c>
      <c r="M236" s="9">
        <f>'[1]14- All_India_Index_Upto_April2'!AF236</f>
        <v>145.69999999999999</v>
      </c>
    </row>
    <row r="237" spans="1:13" hidden="1">
      <c r="A237" s="9" t="str">
        <f>'[1]14- All_India_Index_Upto_April2'!A237</f>
        <v>Urban</v>
      </c>
      <c r="B237" s="9">
        <f>'[1]14- All_India_Index_Upto_April2'!B237</f>
        <v>2019</v>
      </c>
      <c r="C237" s="9" t="str">
        <f>'[1]14- All_India_Index_Upto_April2'!C237</f>
        <v>August</v>
      </c>
      <c r="D237" s="9" t="str">
        <f t="shared" si="6"/>
        <v>August-2019</v>
      </c>
      <c r="E237" s="46">
        <f t="shared" si="7"/>
        <v>43678</v>
      </c>
      <c r="F237" s="9">
        <f>SUM('[1]14- All_India_Index_Upto_April2'!F237:S237)</f>
        <v>2037</v>
      </c>
      <c r="G237" s="9">
        <f>SUM('[1]14- All_India_Index_Upto_April2'!T237:V237)</f>
        <v>420.2</v>
      </c>
      <c r="H237" s="9" t="e">
        <f>SUM([1]!_14__All_India_Index_Upto_April2[[#This Row],[Housing new]],[1]!_14__All_India_Index_Upto_April2[[#This Row],[Household goods and services]])</f>
        <v>#REF!</v>
      </c>
      <c r="I237" s="9">
        <f>SUM('[1]14- All_India_Index_Upto_April2'!Z237,'[1]14- All_India_Index_Upto_April2'!AD237)</f>
        <v>279.3</v>
      </c>
      <c r="J237" s="9">
        <f>SUM('[1]14- All_India_Index_Upto_April2'!AA237)</f>
        <v>120.8</v>
      </c>
      <c r="K237" s="9">
        <f>'[1]14- All_India_Index_Upto_April2'!AC237</f>
        <v>151.5</v>
      </c>
      <c r="L237" s="9">
        <f>SUM('[1]14- All_India_Index_Upto_April2'!AB237,'[1]14- All_India_Index_Upto_April2'!AE237)</f>
        <v>270.70000000000005</v>
      </c>
      <c r="M237" s="9">
        <f>'[1]14- All_India_Index_Upto_April2'!AF237</f>
        <v>144.19999999999999</v>
      </c>
    </row>
    <row r="238" spans="1:13" hidden="1">
      <c r="A238" s="9" t="str">
        <f>'[1]14- All_India_Index_Upto_April2'!A238</f>
        <v>Rural+Urban</v>
      </c>
      <c r="B238" s="9">
        <f>'[1]14- All_India_Index_Upto_April2'!B238</f>
        <v>2019</v>
      </c>
      <c r="C238" s="9" t="str">
        <f>'[1]14- All_India_Index_Upto_April2'!C238</f>
        <v>August</v>
      </c>
      <c r="D238" s="9" t="str">
        <f t="shared" si="6"/>
        <v>August-2019</v>
      </c>
      <c r="E238" s="46">
        <f t="shared" si="7"/>
        <v>43678</v>
      </c>
      <c r="F238" s="9">
        <f>SUM('[1]14- All_India_Index_Upto_April2'!F238:S238)</f>
        <v>2012.3</v>
      </c>
      <c r="G238" s="9">
        <f>SUM('[1]14- All_India_Index_Upto_April2'!T238:V238)</f>
        <v>437.6</v>
      </c>
      <c r="H238" s="9" t="e">
        <f>SUM([1]!_14__All_India_Index_Upto_April2[[#This Row],[Housing new]],[1]!_14__All_India_Index_Upto_April2[[#This Row],[Household goods and services]])</f>
        <v>#REF!</v>
      </c>
      <c r="I238" s="9">
        <f>SUM('[1]14- All_India_Index_Upto_April2'!Z238,'[1]14- All_India_Index_Upto_April2'!AD238)</f>
        <v>286.89999999999998</v>
      </c>
      <c r="J238" s="9">
        <f>SUM('[1]14- All_India_Index_Upto_April2'!AA238)</f>
        <v>125.8</v>
      </c>
      <c r="K238" s="9">
        <f>'[1]14- All_India_Index_Upto_April2'!AC238</f>
        <v>154.9</v>
      </c>
      <c r="L238" s="9">
        <f>SUM('[1]14- All_India_Index_Upto_April2'!AB238,'[1]14- All_India_Index_Upto_April2'!AE238)</f>
        <v>281.10000000000002</v>
      </c>
      <c r="M238" s="9">
        <f>'[1]14- All_India_Index_Upto_April2'!AF238</f>
        <v>145</v>
      </c>
    </row>
    <row r="239" spans="1:13" hidden="1">
      <c r="A239" s="9" t="str">
        <f>'[1]14- All_India_Index_Upto_April2'!A239</f>
        <v>Rural</v>
      </c>
      <c r="B239" s="9">
        <f>'[1]14- All_India_Index_Upto_April2'!B239</f>
        <v>2019</v>
      </c>
      <c r="C239" s="9" t="str">
        <f>'[1]14- All_India_Index_Upto_April2'!C239</f>
        <v>September</v>
      </c>
      <c r="D239" s="9" t="str">
        <f t="shared" si="6"/>
        <v>September-2019</v>
      </c>
      <c r="E239" s="46">
        <f t="shared" si="7"/>
        <v>43709</v>
      </c>
      <c r="F239" s="9">
        <f>SUM('[1]14- All_India_Index_Upto_April2'!F239:S239)</f>
        <v>2014.4</v>
      </c>
      <c r="G239" s="9">
        <f>SUM('[1]14- All_India_Index_Upto_April2'!T239:V239)</f>
        <v>449.29999999999995</v>
      </c>
      <c r="H239" s="9" t="e">
        <f>SUM([1]!_14__All_India_Index_Upto_April2[[#This Row],[Housing new]],[1]!_14__All_India_Index_Upto_April2[[#This Row],[Household goods and services]])</f>
        <v>#REF!</v>
      </c>
      <c r="I239" s="9">
        <f>SUM('[1]14- All_India_Index_Upto_April2'!Z239,'[1]14- All_India_Index_Upto_April2'!AD239)</f>
        <v>293.60000000000002</v>
      </c>
      <c r="J239" s="9">
        <f>SUM('[1]14- All_India_Index_Upto_April2'!AA239)</f>
        <v>131.6</v>
      </c>
      <c r="K239" s="9">
        <f>'[1]14- All_India_Index_Upto_April2'!AC239</f>
        <v>160.19999999999999</v>
      </c>
      <c r="L239" s="9">
        <f>SUM('[1]14- All_India_Index_Upto_April2'!AB239,'[1]14- All_India_Index_Upto_April2'!AE239)</f>
        <v>293.70000000000005</v>
      </c>
      <c r="M239" s="9">
        <f>'[1]14- All_India_Index_Upto_April2'!AF239</f>
        <v>146.69999999999999</v>
      </c>
    </row>
    <row r="240" spans="1:13" hidden="1">
      <c r="A240" s="9" t="str">
        <f>'[1]14- All_India_Index_Upto_April2'!A240</f>
        <v>Urban</v>
      </c>
      <c r="B240" s="9">
        <f>'[1]14- All_India_Index_Upto_April2'!B240</f>
        <v>2019</v>
      </c>
      <c r="C240" s="9" t="str">
        <f>'[1]14- All_India_Index_Upto_April2'!C240</f>
        <v>September</v>
      </c>
      <c r="D240" s="9" t="str">
        <f t="shared" si="6"/>
        <v>September-2019</v>
      </c>
      <c r="E240" s="46">
        <f t="shared" si="7"/>
        <v>43709</v>
      </c>
      <c r="F240" s="9">
        <f>SUM('[1]14- All_India_Index_Upto_April2'!F240:S240)</f>
        <v>2043.5</v>
      </c>
      <c r="G240" s="9">
        <f>SUM('[1]14- All_India_Index_Upto_April2'!T240:V240)</f>
        <v>420.8</v>
      </c>
      <c r="H240" s="9" t="e">
        <f>SUM([1]!_14__All_India_Index_Upto_April2[[#This Row],[Housing new]],[1]!_14__All_India_Index_Upto_April2[[#This Row],[Household goods and services]])</f>
        <v>#REF!</v>
      </c>
      <c r="I240" s="9">
        <f>SUM('[1]14- All_India_Index_Upto_April2'!Z240,'[1]14- All_India_Index_Upto_April2'!AD240)</f>
        <v>280.89999999999998</v>
      </c>
      <c r="J240" s="9">
        <f>SUM('[1]14- All_India_Index_Upto_April2'!AA240)</f>
        <v>121.2</v>
      </c>
      <c r="K240" s="9">
        <f>'[1]14- All_India_Index_Upto_April2'!AC240</f>
        <v>151.6</v>
      </c>
      <c r="L240" s="9">
        <f>SUM('[1]14- All_India_Index_Upto_April2'!AB240,'[1]14- All_India_Index_Upto_April2'!AE240)</f>
        <v>271.60000000000002</v>
      </c>
      <c r="M240" s="9">
        <f>'[1]14- All_India_Index_Upto_April2'!AF240</f>
        <v>144.69999999999999</v>
      </c>
    </row>
    <row r="241" spans="1:13" hidden="1">
      <c r="A241" s="9" t="str">
        <f>'[1]14- All_India_Index_Upto_April2'!A241</f>
        <v>Rural+Urban</v>
      </c>
      <c r="B241" s="9">
        <f>'[1]14- All_India_Index_Upto_April2'!B241</f>
        <v>2019</v>
      </c>
      <c r="C241" s="9" t="str">
        <f>'[1]14- All_India_Index_Upto_April2'!C241</f>
        <v>September</v>
      </c>
      <c r="D241" s="9" t="str">
        <f t="shared" si="6"/>
        <v>September-2019</v>
      </c>
      <c r="E241" s="46">
        <f t="shared" si="7"/>
        <v>43709</v>
      </c>
      <c r="F241" s="9">
        <f>SUM('[1]14- All_India_Index_Upto_April2'!F241:S241)</f>
        <v>2024.1999999999998</v>
      </c>
      <c r="G241" s="9">
        <f>SUM('[1]14- All_India_Index_Upto_April2'!T241:V241)</f>
        <v>437.69999999999993</v>
      </c>
      <c r="H241" s="9" t="e">
        <f>SUM([1]!_14__All_India_Index_Upto_April2[[#This Row],[Housing new]],[1]!_14__All_India_Index_Upto_April2[[#This Row],[Household goods and services]])</f>
        <v>#REF!</v>
      </c>
      <c r="I241" s="9">
        <f>SUM('[1]14- All_India_Index_Upto_April2'!Z241,'[1]14- All_India_Index_Upto_April2'!AD241)</f>
        <v>288.7</v>
      </c>
      <c r="J241" s="9">
        <f>SUM('[1]14- All_India_Index_Upto_April2'!AA241)</f>
        <v>126.1</v>
      </c>
      <c r="K241" s="9">
        <f>'[1]14- All_India_Index_Upto_April2'!AC241</f>
        <v>155.19999999999999</v>
      </c>
      <c r="L241" s="9">
        <f>SUM('[1]14- All_India_Index_Upto_April2'!AB241,'[1]14- All_India_Index_Upto_April2'!AE241)</f>
        <v>282</v>
      </c>
      <c r="M241" s="9">
        <f>'[1]14- All_India_Index_Upto_April2'!AF241</f>
        <v>145.80000000000001</v>
      </c>
    </row>
    <row r="242" spans="1:13" hidden="1">
      <c r="A242" s="9" t="str">
        <f>'[1]14- All_India_Index_Upto_April2'!A242</f>
        <v>Rural</v>
      </c>
      <c r="B242" s="9">
        <f>'[1]14- All_India_Index_Upto_April2'!B242</f>
        <v>2019</v>
      </c>
      <c r="C242" s="9" t="str">
        <f>'[1]14- All_India_Index_Upto_April2'!C242</f>
        <v>October</v>
      </c>
      <c r="D242" s="9" t="str">
        <f t="shared" si="6"/>
        <v>October-2019</v>
      </c>
      <c r="E242" s="46">
        <f t="shared" si="7"/>
        <v>43739</v>
      </c>
      <c r="F242" s="9">
        <f>SUM('[1]14- All_India_Index_Upto_April2'!F242:S242)</f>
        <v>2043.1999999999996</v>
      </c>
      <c r="G242" s="9">
        <f>SUM('[1]14- All_India_Index_Upto_April2'!T242:V242)</f>
        <v>449.4</v>
      </c>
      <c r="H242" s="9" t="e">
        <f>SUM([1]!_14__All_India_Index_Upto_April2[[#This Row],[Housing new]],[1]!_14__All_India_Index_Upto_April2[[#This Row],[Household goods and services]])</f>
        <v>#REF!</v>
      </c>
      <c r="I242" s="9">
        <f>SUM('[1]14- All_India_Index_Upto_April2'!Z242,'[1]14- All_India_Index_Upto_April2'!AD242)</f>
        <v>294</v>
      </c>
      <c r="J242" s="9">
        <f>SUM('[1]14- All_India_Index_Upto_April2'!AA242)</f>
        <v>131.69999999999999</v>
      </c>
      <c r="K242" s="9">
        <f>'[1]14- All_India_Index_Upto_April2'!AC242</f>
        <v>160.69999999999999</v>
      </c>
      <c r="L242" s="9">
        <f>SUM('[1]14- All_India_Index_Upto_April2'!AB242,'[1]14- All_India_Index_Upto_April2'!AE242)</f>
        <v>294.39999999999998</v>
      </c>
      <c r="M242" s="9">
        <f>'[1]14- All_India_Index_Upto_April2'!AF242</f>
        <v>148.30000000000001</v>
      </c>
    </row>
    <row r="243" spans="1:13" hidden="1">
      <c r="A243" s="9" t="str">
        <f>'[1]14- All_India_Index_Upto_April2'!A243</f>
        <v>Urban</v>
      </c>
      <c r="B243" s="9">
        <f>'[1]14- All_India_Index_Upto_April2'!B243</f>
        <v>2019</v>
      </c>
      <c r="C243" s="9" t="str">
        <f>'[1]14- All_India_Index_Upto_April2'!C243</f>
        <v>October</v>
      </c>
      <c r="D243" s="9" t="str">
        <f t="shared" si="6"/>
        <v>October-2019</v>
      </c>
      <c r="E243" s="46">
        <f t="shared" si="7"/>
        <v>43739</v>
      </c>
      <c r="F243" s="9">
        <f>SUM('[1]14- All_India_Index_Upto_April2'!F243:S243)</f>
        <v>2071.9</v>
      </c>
      <c r="G243" s="9">
        <f>SUM('[1]14- All_India_Index_Upto_April2'!T243:V243)</f>
        <v>422.20000000000005</v>
      </c>
      <c r="H243" s="9" t="e">
        <f>SUM([1]!_14__All_India_Index_Upto_April2[[#This Row],[Housing new]],[1]!_14__All_India_Index_Upto_April2[[#This Row],[Household goods and services]])</f>
        <v>#REF!</v>
      </c>
      <c r="I243" s="9">
        <f>SUM('[1]14- All_India_Index_Upto_April2'!Z243,'[1]14- All_India_Index_Upto_April2'!AD243)</f>
        <v>281.89999999999998</v>
      </c>
      <c r="J243" s="9">
        <f>SUM('[1]14- All_India_Index_Upto_April2'!AA243)</f>
        <v>121.5</v>
      </c>
      <c r="K243" s="9">
        <f>'[1]14- All_India_Index_Upto_April2'!AC243</f>
        <v>151.69999999999999</v>
      </c>
      <c r="L243" s="9">
        <f>SUM('[1]14- All_India_Index_Upto_April2'!AB243,'[1]14- All_India_Index_Upto_April2'!AE243)</f>
        <v>272.2</v>
      </c>
      <c r="M243" s="9">
        <f>'[1]14- All_India_Index_Upto_April2'!AF243</f>
        <v>146</v>
      </c>
    </row>
    <row r="244" spans="1:13" hidden="1">
      <c r="A244" s="9" t="str">
        <f>'[1]14- All_India_Index_Upto_April2'!A244</f>
        <v>Rural+Urban</v>
      </c>
      <c r="B244" s="9">
        <f>'[1]14- All_India_Index_Upto_April2'!B244</f>
        <v>2019</v>
      </c>
      <c r="C244" s="9" t="str">
        <f>'[1]14- All_India_Index_Upto_April2'!C244</f>
        <v>October</v>
      </c>
      <c r="D244" s="9" t="str">
        <f t="shared" si="6"/>
        <v>October-2019</v>
      </c>
      <c r="E244" s="46">
        <f t="shared" si="7"/>
        <v>43739</v>
      </c>
      <c r="F244" s="9">
        <f>SUM('[1]14- All_India_Index_Upto_April2'!F244:S244)</f>
        <v>2052.6999999999998</v>
      </c>
      <c r="G244" s="9">
        <f>SUM('[1]14- All_India_Index_Upto_April2'!T244:V244)</f>
        <v>438.40000000000003</v>
      </c>
      <c r="H244" s="9" t="e">
        <f>SUM([1]!_14__All_India_Index_Upto_April2[[#This Row],[Housing new]],[1]!_14__All_India_Index_Upto_April2[[#This Row],[Household goods and services]])</f>
        <v>#REF!</v>
      </c>
      <c r="I244" s="9">
        <f>SUM('[1]14- All_India_Index_Upto_April2'!Z244,'[1]14- All_India_Index_Upto_April2'!AD244)</f>
        <v>289.39999999999998</v>
      </c>
      <c r="J244" s="9">
        <f>SUM('[1]14- All_India_Index_Upto_April2'!AA244)</f>
        <v>126.3</v>
      </c>
      <c r="K244" s="9">
        <f>'[1]14- All_India_Index_Upto_April2'!AC244</f>
        <v>155.4</v>
      </c>
      <c r="L244" s="9">
        <f>SUM('[1]14- All_India_Index_Upto_April2'!AB244,'[1]14- All_India_Index_Upto_April2'!AE244)</f>
        <v>282.7</v>
      </c>
      <c r="M244" s="9">
        <f>'[1]14- All_India_Index_Upto_April2'!AF244</f>
        <v>147.19999999999999</v>
      </c>
    </row>
    <row r="245" spans="1:13" hidden="1">
      <c r="A245" s="9" t="str">
        <f>'[1]14- All_India_Index_Upto_April2'!A245</f>
        <v>Rural</v>
      </c>
      <c r="B245" s="9">
        <f>'[1]14- All_India_Index_Upto_April2'!B245</f>
        <v>2019</v>
      </c>
      <c r="C245" s="9" t="str">
        <f>'[1]14- All_India_Index_Upto_April2'!C245</f>
        <v>November</v>
      </c>
      <c r="D245" s="9" t="str">
        <f t="shared" si="6"/>
        <v>November-2019</v>
      </c>
      <c r="E245" s="46">
        <f t="shared" si="7"/>
        <v>43770</v>
      </c>
      <c r="F245" s="9">
        <f>SUM('[1]14- All_India_Index_Upto_April2'!F245:S245)</f>
        <v>2071.8000000000002</v>
      </c>
      <c r="G245" s="9">
        <f>SUM('[1]14- All_India_Index_Upto_April2'!T245:V245)</f>
        <v>450.8</v>
      </c>
      <c r="H245" s="9" t="e">
        <f>SUM([1]!_14__All_India_Index_Upto_April2[[#This Row],[Housing new]],[1]!_14__All_India_Index_Upto_April2[[#This Row],[Household goods and services]])</f>
        <v>#REF!</v>
      </c>
      <c r="I245" s="9">
        <f>SUM('[1]14- All_India_Index_Upto_April2'!Z245,'[1]14- All_India_Index_Upto_April2'!AD245)</f>
        <v>294.89999999999998</v>
      </c>
      <c r="J245" s="9">
        <f>SUM('[1]14- All_India_Index_Upto_April2'!AA245)</f>
        <v>132.1</v>
      </c>
      <c r="K245" s="9">
        <f>'[1]14- All_India_Index_Upto_April2'!AC245</f>
        <v>160.80000000000001</v>
      </c>
      <c r="L245" s="9">
        <f>SUM('[1]14- All_India_Index_Upto_April2'!AB245,'[1]14- All_India_Index_Upto_April2'!AE245)</f>
        <v>295.2</v>
      </c>
      <c r="M245" s="9">
        <f>'[1]14- All_India_Index_Upto_April2'!AF245</f>
        <v>149.9</v>
      </c>
    </row>
    <row r="246" spans="1:13" hidden="1">
      <c r="A246" s="9" t="str">
        <f>'[1]14- All_India_Index_Upto_April2'!A246</f>
        <v>Urban</v>
      </c>
      <c r="B246" s="9">
        <f>'[1]14- All_India_Index_Upto_April2'!B246</f>
        <v>2019</v>
      </c>
      <c r="C246" s="9" t="str">
        <f>'[1]14- All_India_Index_Upto_April2'!C246</f>
        <v>November</v>
      </c>
      <c r="D246" s="9" t="str">
        <f t="shared" si="6"/>
        <v>November-2019</v>
      </c>
      <c r="E246" s="46">
        <f t="shared" si="7"/>
        <v>43770</v>
      </c>
      <c r="F246" s="9">
        <f>SUM('[1]14- All_India_Index_Upto_April2'!F246:S246)</f>
        <v>2093.8999999999996</v>
      </c>
      <c r="G246" s="9">
        <f>SUM('[1]14- All_India_Index_Upto_April2'!T246:V246)</f>
        <v>423.09999999999997</v>
      </c>
      <c r="H246" s="9" t="e">
        <f>SUM([1]!_14__All_India_Index_Upto_April2[[#This Row],[Housing new]],[1]!_14__All_India_Index_Upto_April2[[#This Row],[Household goods and services]])</f>
        <v>#REF!</v>
      </c>
      <c r="I246" s="9">
        <f>SUM('[1]14- All_India_Index_Upto_April2'!Z246,'[1]14- All_India_Index_Upto_April2'!AD246)</f>
        <v>282.60000000000002</v>
      </c>
      <c r="J246" s="9">
        <f>SUM('[1]14- All_India_Index_Upto_April2'!AA246)</f>
        <v>121.7</v>
      </c>
      <c r="K246" s="9">
        <f>'[1]14- All_India_Index_Upto_April2'!AC246</f>
        <v>151.80000000000001</v>
      </c>
      <c r="L246" s="9">
        <f>SUM('[1]14- All_India_Index_Upto_April2'!AB246,'[1]14- All_India_Index_Upto_April2'!AE246)</f>
        <v>273</v>
      </c>
      <c r="M246" s="9">
        <f>'[1]14- All_India_Index_Upto_April2'!AF246</f>
        <v>147</v>
      </c>
    </row>
    <row r="247" spans="1:13" hidden="1">
      <c r="A247" s="9" t="str">
        <f>'[1]14- All_India_Index_Upto_April2'!A247</f>
        <v>Rural+Urban</v>
      </c>
      <c r="B247" s="9">
        <f>'[1]14- All_India_Index_Upto_April2'!B247</f>
        <v>2019</v>
      </c>
      <c r="C247" s="9" t="str">
        <f>'[1]14- All_India_Index_Upto_April2'!C247</f>
        <v>November</v>
      </c>
      <c r="D247" s="9" t="str">
        <f t="shared" si="6"/>
        <v>November-2019</v>
      </c>
      <c r="E247" s="46">
        <f t="shared" si="7"/>
        <v>43770</v>
      </c>
      <c r="F247" s="9">
        <f>SUM('[1]14- All_India_Index_Upto_April2'!F247:S247)</f>
        <v>2078.8000000000002</v>
      </c>
      <c r="G247" s="9">
        <f>SUM('[1]14- All_India_Index_Upto_April2'!T247:V247)</f>
        <v>439.5</v>
      </c>
      <c r="H247" s="9" t="e">
        <f>SUM([1]!_14__All_India_Index_Upto_April2[[#This Row],[Housing new]],[1]!_14__All_India_Index_Upto_April2[[#This Row],[Household goods and services]])</f>
        <v>#REF!</v>
      </c>
      <c r="I247" s="9">
        <f>SUM('[1]14- All_India_Index_Upto_April2'!Z247,'[1]14- All_India_Index_Upto_April2'!AD247)</f>
        <v>290.20000000000005</v>
      </c>
      <c r="J247" s="9">
        <f>SUM('[1]14- All_India_Index_Upto_April2'!AA247)</f>
        <v>126.6</v>
      </c>
      <c r="K247" s="9">
        <f>'[1]14- All_India_Index_Upto_April2'!AC247</f>
        <v>155.5</v>
      </c>
      <c r="L247" s="9">
        <f>SUM('[1]14- All_India_Index_Upto_April2'!AB247,'[1]14- All_India_Index_Upto_April2'!AE247)</f>
        <v>283.39999999999998</v>
      </c>
      <c r="M247" s="9">
        <f>'[1]14- All_India_Index_Upto_April2'!AF247</f>
        <v>148.6</v>
      </c>
    </row>
    <row r="248" spans="1:13" hidden="1">
      <c r="A248" s="9" t="str">
        <f>'[1]14- All_India_Index_Upto_April2'!A248</f>
        <v>Rural</v>
      </c>
      <c r="B248" s="9">
        <f>'[1]14- All_India_Index_Upto_April2'!B248</f>
        <v>2019</v>
      </c>
      <c r="C248" s="9" t="str">
        <f>'[1]14- All_India_Index_Upto_April2'!C248</f>
        <v>December</v>
      </c>
      <c r="D248" s="9" t="str">
        <f t="shared" si="6"/>
        <v>December-2019</v>
      </c>
      <c r="E248" s="46">
        <f t="shared" si="7"/>
        <v>43800</v>
      </c>
      <c r="F248" s="9">
        <f>SUM('[1]14- All_India_Index_Upto_April2'!F248:S248)</f>
        <v>2108.7999999999997</v>
      </c>
      <c r="G248" s="9">
        <f>SUM('[1]14- All_India_Index_Upto_April2'!T248:V248)</f>
        <v>451.79999999999995</v>
      </c>
      <c r="H248" s="9" t="e">
        <f>SUM([1]!_14__All_India_Index_Upto_April2[[#This Row],[Housing new]],[1]!_14__All_India_Index_Upto_April2[[#This Row],[Household goods and services]])</f>
        <v>#REF!</v>
      </c>
      <c r="I248" s="9">
        <f>SUM('[1]14- All_India_Index_Upto_April2'!Z248,'[1]14- All_India_Index_Upto_April2'!AD248)</f>
        <v>295.39999999999998</v>
      </c>
      <c r="J248" s="9">
        <f>SUM('[1]14- All_India_Index_Upto_April2'!AA248)</f>
        <v>135</v>
      </c>
      <c r="K248" s="9">
        <f>'[1]14- All_India_Index_Upto_April2'!AC248</f>
        <v>161.1</v>
      </c>
      <c r="L248" s="9">
        <f>SUM('[1]14- All_India_Index_Upto_April2'!AB248,'[1]14- All_India_Index_Upto_April2'!AE248)</f>
        <v>296.60000000000002</v>
      </c>
      <c r="M248" s="9">
        <f>'[1]14- All_India_Index_Upto_April2'!AF248</f>
        <v>152.30000000000001</v>
      </c>
    </row>
    <row r="249" spans="1:13" hidden="1">
      <c r="A249" s="9" t="str">
        <f>'[1]14- All_India_Index_Upto_April2'!A249</f>
        <v>Urban</v>
      </c>
      <c r="B249" s="9">
        <f>'[1]14- All_India_Index_Upto_April2'!B249</f>
        <v>2019</v>
      </c>
      <c r="C249" s="9" t="str">
        <f>'[1]14- All_India_Index_Upto_April2'!C249</f>
        <v>December</v>
      </c>
      <c r="D249" s="9" t="str">
        <f t="shared" si="6"/>
        <v>December-2019</v>
      </c>
      <c r="E249" s="46">
        <f t="shared" si="7"/>
        <v>43800</v>
      </c>
      <c r="F249" s="9">
        <f>SUM('[1]14- All_India_Index_Upto_April2'!F249:S249)</f>
        <v>2127.1</v>
      </c>
      <c r="G249" s="9">
        <f>SUM('[1]14- All_India_Index_Upto_April2'!T249:V249)</f>
        <v>424.20000000000005</v>
      </c>
      <c r="H249" s="9" t="e">
        <f>SUM([1]!_14__All_India_Index_Upto_April2[[#This Row],[Housing new]],[1]!_14__All_India_Index_Upto_April2[[#This Row],[Household goods and services]])</f>
        <v>#REF!</v>
      </c>
      <c r="I249" s="9">
        <f>SUM('[1]14- All_India_Index_Upto_April2'!Z249,'[1]14- All_India_Index_Upto_April2'!AD249)</f>
        <v>283.39999999999998</v>
      </c>
      <c r="J249" s="9">
        <f>SUM('[1]14- All_India_Index_Upto_April2'!AA249)</f>
        <v>125.2</v>
      </c>
      <c r="K249" s="9">
        <f>'[1]14- All_India_Index_Upto_April2'!AC249</f>
        <v>151.9</v>
      </c>
      <c r="L249" s="9">
        <f>SUM('[1]14- All_India_Index_Upto_April2'!AB249,'[1]14- All_India_Index_Upto_April2'!AE249)</f>
        <v>274.5</v>
      </c>
      <c r="M249" s="9">
        <f>'[1]14- All_India_Index_Upto_April2'!AF249</f>
        <v>148.30000000000001</v>
      </c>
    </row>
    <row r="250" spans="1:13" hidden="1">
      <c r="A250" s="9" t="str">
        <f>'[1]14- All_India_Index_Upto_April2'!A250</f>
        <v>Rural+Urban</v>
      </c>
      <c r="B250" s="9">
        <f>'[1]14- All_India_Index_Upto_April2'!B250</f>
        <v>2019</v>
      </c>
      <c r="C250" s="9" t="str">
        <f>'[1]14- All_India_Index_Upto_April2'!C250</f>
        <v>December</v>
      </c>
      <c r="D250" s="9" t="str">
        <f t="shared" si="6"/>
        <v>December-2019</v>
      </c>
      <c r="E250" s="46">
        <f t="shared" si="7"/>
        <v>43800</v>
      </c>
      <c r="F250" s="9">
        <f>SUM('[1]14- All_India_Index_Upto_April2'!F250:S250)</f>
        <v>2114.6000000000004</v>
      </c>
      <c r="G250" s="9">
        <f>SUM('[1]14- All_India_Index_Upto_April2'!T250:V250)</f>
        <v>440.6</v>
      </c>
      <c r="H250" s="9" t="e">
        <f>SUM([1]!_14__All_India_Index_Upto_April2[[#This Row],[Housing new]],[1]!_14__All_India_Index_Upto_April2[[#This Row],[Household goods and services]])</f>
        <v>#REF!</v>
      </c>
      <c r="I250" s="9">
        <f>SUM('[1]14- All_India_Index_Upto_April2'!Z250,'[1]14- All_India_Index_Upto_April2'!AD250)</f>
        <v>290.8</v>
      </c>
      <c r="J250" s="9">
        <f>SUM('[1]14- All_India_Index_Upto_April2'!AA250)</f>
        <v>129.80000000000001</v>
      </c>
      <c r="K250" s="9">
        <f>'[1]14- All_India_Index_Upto_April2'!AC250</f>
        <v>155.69999999999999</v>
      </c>
      <c r="L250" s="9">
        <f>SUM('[1]14- All_India_Index_Upto_April2'!AB250,'[1]14- All_India_Index_Upto_April2'!AE250)</f>
        <v>284.8</v>
      </c>
      <c r="M250" s="9">
        <f>'[1]14- All_India_Index_Upto_April2'!AF250</f>
        <v>150.4</v>
      </c>
    </row>
    <row r="251" spans="1:13" hidden="1">
      <c r="A251" s="9" t="str">
        <f>'[1]14- All_India_Index_Upto_April2'!A251</f>
        <v>Rural</v>
      </c>
      <c r="B251" s="9">
        <f>'[1]14- All_India_Index_Upto_April2'!B251</f>
        <v>2020</v>
      </c>
      <c r="C251" s="9" t="str">
        <f>'[1]14- All_India_Index_Upto_April2'!C251</f>
        <v>January</v>
      </c>
      <c r="D251" s="9" t="str">
        <f t="shared" si="6"/>
        <v>January-2020</v>
      </c>
      <c r="E251" s="46">
        <f t="shared" si="7"/>
        <v>43831</v>
      </c>
      <c r="F251" s="9">
        <f>SUM('[1]14- All_India_Index_Upto_April2'!F251:S251)</f>
        <v>2107.1999999999998</v>
      </c>
      <c r="G251" s="9">
        <f>SUM('[1]14- All_India_Index_Upto_April2'!T251:V251)</f>
        <v>452.30000000000007</v>
      </c>
      <c r="H251" s="9" t="e">
        <f>SUM([1]!_14__All_India_Index_Upto_April2[[#This Row],[Housing new]],[1]!_14__All_India_Index_Upto_April2[[#This Row],[Household goods and services]])</f>
        <v>#REF!</v>
      </c>
      <c r="I251" s="9">
        <f>SUM('[1]14- All_India_Index_Upto_April2'!Z251,'[1]14- All_India_Index_Upto_April2'!AD251)</f>
        <v>298.2</v>
      </c>
      <c r="J251" s="9">
        <f>SUM('[1]14- All_India_Index_Upto_April2'!AA251)</f>
        <v>136.30000000000001</v>
      </c>
      <c r="K251" s="9">
        <f>'[1]14- All_India_Index_Upto_April2'!AC251</f>
        <v>161.69999999999999</v>
      </c>
      <c r="L251" s="9">
        <f>SUM('[1]14- All_India_Index_Upto_April2'!AB251,'[1]14- All_India_Index_Upto_April2'!AE251)</f>
        <v>298.2</v>
      </c>
      <c r="M251" s="9">
        <f>'[1]14- All_India_Index_Upto_April2'!AF251</f>
        <v>151.9</v>
      </c>
    </row>
    <row r="252" spans="1:13" hidden="1">
      <c r="A252" s="9" t="str">
        <f>'[1]14- All_India_Index_Upto_April2'!A252</f>
        <v>Urban</v>
      </c>
      <c r="B252" s="9">
        <f>'[1]14- All_India_Index_Upto_April2'!B252</f>
        <v>2020</v>
      </c>
      <c r="C252" s="9" t="str">
        <f>'[1]14- All_India_Index_Upto_April2'!C252</f>
        <v>January</v>
      </c>
      <c r="D252" s="9" t="str">
        <f t="shared" si="6"/>
        <v>January-2020</v>
      </c>
      <c r="E252" s="46">
        <f t="shared" si="7"/>
        <v>43831</v>
      </c>
      <c r="F252" s="9">
        <f>SUM('[1]14- All_India_Index_Upto_April2'!F252:S252)</f>
        <v>2116.1999999999998</v>
      </c>
      <c r="G252" s="9">
        <f>SUM('[1]14- All_India_Index_Upto_April2'!T252:V252)</f>
        <v>425.1</v>
      </c>
      <c r="H252" s="9" t="e">
        <f>SUM([1]!_14__All_India_Index_Upto_April2[[#This Row],[Housing new]],[1]!_14__All_India_Index_Upto_April2[[#This Row],[Household goods and services]])</f>
        <v>#REF!</v>
      </c>
      <c r="I252" s="9">
        <f>SUM('[1]14- All_India_Index_Upto_April2'!Z252,'[1]14- All_India_Index_Upto_April2'!AD252)</f>
        <v>285.89999999999998</v>
      </c>
      <c r="J252" s="9">
        <f>SUM('[1]14- All_India_Index_Upto_April2'!AA252)</f>
        <v>126.1</v>
      </c>
      <c r="K252" s="9">
        <f>'[1]14- All_India_Index_Upto_April2'!AC252</f>
        <v>152.1</v>
      </c>
      <c r="L252" s="9">
        <f>SUM('[1]14- All_India_Index_Upto_April2'!AB252,'[1]14- All_India_Index_Upto_April2'!AE252)</f>
        <v>275.60000000000002</v>
      </c>
      <c r="M252" s="9">
        <f>'[1]14- All_India_Index_Upto_April2'!AF252</f>
        <v>148.19999999999999</v>
      </c>
    </row>
    <row r="253" spans="1:13" hidden="1">
      <c r="A253" s="9" t="str">
        <f>'[1]14- All_India_Index_Upto_April2'!A253</f>
        <v>Rural+Urban</v>
      </c>
      <c r="B253" s="9">
        <f>'[1]14- All_India_Index_Upto_April2'!B253</f>
        <v>2020</v>
      </c>
      <c r="C253" s="9" t="str">
        <f>'[1]14- All_India_Index_Upto_April2'!C253</f>
        <v>January</v>
      </c>
      <c r="D253" s="9" t="str">
        <f t="shared" si="6"/>
        <v>January-2020</v>
      </c>
      <c r="E253" s="46">
        <f t="shared" si="7"/>
        <v>43831</v>
      </c>
      <c r="F253" s="9">
        <f>SUM('[1]14- All_India_Index_Upto_April2'!F253:S253)</f>
        <v>2109.6</v>
      </c>
      <c r="G253" s="9">
        <f>SUM('[1]14- All_India_Index_Upto_April2'!T253:V253)</f>
        <v>441.2</v>
      </c>
      <c r="H253" s="9" t="e">
        <f>SUM([1]!_14__All_India_Index_Upto_April2[[#This Row],[Housing new]],[1]!_14__All_India_Index_Upto_April2[[#This Row],[Household goods and services]])</f>
        <v>#REF!</v>
      </c>
      <c r="I253" s="9">
        <f>SUM('[1]14- All_India_Index_Upto_April2'!Z253,'[1]14- All_India_Index_Upto_April2'!AD253)</f>
        <v>293.5</v>
      </c>
      <c r="J253" s="9">
        <f>SUM('[1]14- All_India_Index_Upto_April2'!AA253)</f>
        <v>130.9</v>
      </c>
      <c r="K253" s="9">
        <f>'[1]14- All_India_Index_Upto_April2'!AC253</f>
        <v>156.1</v>
      </c>
      <c r="L253" s="9">
        <f>SUM('[1]14- All_India_Index_Upto_April2'!AB253,'[1]14- All_India_Index_Upto_April2'!AE253)</f>
        <v>286.20000000000005</v>
      </c>
      <c r="M253" s="9">
        <f>'[1]14- All_India_Index_Upto_April2'!AF253</f>
        <v>150.19999999999999</v>
      </c>
    </row>
    <row r="254" spans="1:13" hidden="1">
      <c r="A254" s="9" t="str">
        <f>'[1]14- All_India_Index_Upto_April2'!A254</f>
        <v>Rural</v>
      </c>
      <c r="B254" s="9">
        <f>'[1]14- All_India_Index_Upto_April2'!B254</f>
        <v>2020</v>
      </c>
      <c r="C254" s="9" t="str">
        <f>'[1]14- All_India_Index_Upto_April2'!C254</f>
        <v>February</v>
      </c>
      <c r="D254" s="9" t="str">
        <f t="shared" si="6"/>
        <v>February-2020</v>
      </c>
      <c r="E254" s="46">
        <f t="shared" si="7"/>
        <v>43862</v>
      </c>
      <c r="F254" s="9">
        <f>SUM('[1]14- All_India_Index_Upto_April2'!F254:S254)</f>
        <v>2079.1999999999998</v>
      </c>
      <c r="G254" s="9">
        <f>SUM('[1]14- All_India_Index_Upto_April2'!T254:V254)</f>
        <v>452.8</v>
      </c>
      <c r="H254" s="9" t="e">
        <f>SUM([1]!_14__All_India_Index_Upto_April2[[#This Row],[Housing new]],[1]!_14__All_India_Index_Upto_April2[[#This Row],[Household goods and services]])</f>
        <v>#REF!</v>
      </c>
      <c r="I254" s="9">
        <f>SUM('[1]14- All_India_Index_Upto_April2'!Z254,'[1]14- All_India_Index_Upto_April2'!AD254)</f>
        <v>299.60000000000002</v>
      </c>
      <c r="J254" s="9">
        <f>SUM('[1]14- All_India_Index_Upto_April2'!AA254)</f>
        <v>136</v>
      </c>
      <c r="K254" s="9">
        <f>'[1]14- All_India_Index_Upto_April2'!AC254</f>
        <v>161.9</v>
      </c>
      <c r="L254" s="9">
        <f>SUM('[1]14- All_India_Index_Upto_April2'!AB254,'[1]14- All_India_Index_Upto_April2'!AE254)</f>
        <v>298.8</v>
      </c>
      <c r="M254" s="9">
        <f>'[1]14- All_India_Index_Upto_April2'!AF254</f>
        <v>150.4</v>
      </c>
    </row>
    <row r="255" spans="1:13" hidden="1">
      <c r="A255" s="9" t="str">
        <f>'[1]14- All_India_Index_Upto_April2'!A255</f>
        <v>Urban</v>
      </c>
      <c r="B255" s="9">
        <f>'[1]14- All_India_Index_Upto_April2'!B255</f>
        <v>2020</v>
      </c>
      <c r="C255" s="9" t="str">
        <f>'[1]14- All_India_Index_Upto_April2'!C255</f>
        <v>February</v>
      </c>
      <c r="D255" s="9" t="str">
        <f t="shared" si="6"/>
        <v>February-2020</v>
      </c>
      <c r="E255" s="46">
        <f t="shared" si="7"/>
        <v>43862</v>
      </c>
      <c r="F255" s="9">
        <f>SUM('[1]14- All_India_Index_Upto_April2'!F255:S255)</f>
        <v>2088.6</v>
      </c>
      <c r="G255" s="9">
        <f>SUM('[1]14- All_India_Index_Upto_April2'!T255:V255)</f>
        <v>426</v>
      </c>
      <c r="H255" s="9" t="e">
        <f>SUM([1]!_14__All_India_Index_Upto_April2[[#This Row],[Housing new]],[1]!_14__All_India_Index_Upto_April2[[#This Row],[Household goods and services]])</f>
        <v>#REF!</v>
      </c>
      <c r="I255" s="9">
        <f>SUM('[1]14- All_India_Index_Upto_April2'!Z255,'[1]14- All_India_Index_Upto_April2'!AD255)</f>
        <v>287.89999999999998</v>
      </c>
      <c r="J255" s="9">
        <f>SUM('[1]14- All_India_Index_Upto_April2'!AA255)</f>
        <v>125.2</v>
      </c>
      <c r="K255" s="9">
        <f>'[1]14- All_India_Index_Upto_April2'!AC255</f>
        <v>152.19999999999999</v>
      </c>
      <c r="L255" s="9">
        <f>SUM('[1]14- All_India_Index_Upto_April2'!AB255,'[1]14- All_India_Index_Upto_April2'!AE255)</f>
        <v>276.10000000000002</v>
      </c>
      <c r="M255" s="9">
        <f>'[1]14- All_India_Index_Upto_April2'!AF255</f>
        <v>147.69999999999999</v>
      </c>
    </row>
    <row r="256" spans="1:13" hidden="1">
      <c r="A256" s="9" t="str">
        <f>'[1]14- All_India_Index_Upto_April2'!A256</f>
        <v>Rural+Urban</v>
      </c>
      <c r="B256" s="9">
        <f>'[1]14- All_India_Index_Upto_April2'!B256</f>
        <v>2020</v>
      </c>
      <c r="C256" s="9" t="str">
        <f>'[1]14- All_India_Index_Upto_April2'!C256</f>
        <v>February</v>
      </c>
      <c r="D256" s="9" t="str">
        <f t="shared" si="6"/>
        <v>February-2020</v>
      </c>
      <c r="E256" s="46">
        <f t="shared" si="7"/>
        <v>43862</v>
      </c>
      <c r="F256" s="9">
        <f>SUM('[1]14- All_India_Index_Upto_April2'!F256:S256)</f>
        <v>2081.6999999999998</v>
      </c>
      <c r="G256" s="9">
        <f>SUM('[1]14- All_India_Index_Upto_April2'!T256:V256)</f>
        <v>442</v>
      </c>
      <c r="H256" s="9" t="e">
        <f>SUM([1]!_14__All_India_Index_Upto_April2[[#This Row],[Housing new]],[1]!_14__All_India_Index_Upto_April2[[#This Row],[Household goods and services]])</f>
        <v>#REF!</v>
      </c>
      <c r="I256" s="9">
        <f>SUM('[1]14- All_India_Index_Upto_April2'!Z256,'[1]14- All_India_Index_Upto_April2'!AD256)</f>
        <v>295.10000000000002</v>
      </c>
      <c r="J256" s="9">
        <f>SUM('[1]14- All_India_Index_Upto_April2'!AA256)</f>
        <v>130.30000000000001</v>
      </c>
      <c r="K256" s="9">
        <f>'[1]14- All_India_Index_Upto_April2'!AC256</f>
        <v>156.19999999999999</v>
      </c>
      <c r="L256" s="9">
        <f>SUM('[1]14- All_India_Index_Upto_April2'!AB256,'[1]14- All_India_Index_Upto_April2'!AE256)</f>
        <v>286.79999999999995</v>
      </c>
      <c r="M256" s="9">
        <f>'[1]14- All_India_Index_Upto_April2'!AF256</f>
        <v>149.1</v>
      </c>
    </row>
    <row r="257" spans="1:13" hidden="1">
      <c r="A257" s="9" t="str">
        <f>'[1]14- All_India_Index_Upto_April2'!A257</f>
        <v>Rural</v>
      </c>
      <c r="B257" s="9">
        <f>'[1]14- All_India_Index_Upto_April2'!B257</f>
        <v>2020</v>
      </c>
      <c r="C257" s="9" t="str">
        <f>'[1]14- All_India_Index_Upto_April2'!C257</f>
        <v>March</v>
      </c>
      <c r="D257" s="9" t="str">
        <f t="shared" si="6"/>
        <v>March-2020</v>
      </c>
      <c r="E257" s="46">
        <f t="shared" si="7"/>
        <v>43891</v>
      </c>
      <c r="F257" s="9">
        <f>SUM('[1]14- All_India_Index_Upto_April2'!F257:S257)</f>
        <v>2065.0999999999995</v>
      </c>
      <c r="G257" s="9">
        <f>SUM('[1]14- All_India_Index_Upto_April2'!T257:V257)</f>
        <v>453.5</v>
      </c>
      <c r="H257" s="9" t="e">
        <f>SUM([1]!_14__All_India_Index_Upto_April2[[#This Row],[Housing new]],[1]!_14__All_India_Index_Upto_April2[[#This Row],[Household goods and services]])</f>
        <v>#REF!</v>
      </c>
      <c r="I257" s="9">
        <f>SUM('[1]14- All_India_Index_Upto_April2'!Z257,'[1]14- All_India_Index_Upto_April2'!AD257)</f>
        <v>301.79999999999995</v>
      </c>
      <c r="J257" s="9">
        <f>SUM('[1]14- All_India_Index_Upto_April2'!AA257)</f>
        <v>135.80000000000001</v>
      </c>
      <c r="K257" s="9">
        <f>'[1]14- All_India_Index_Upto_April2'!AC257</f>
        <v>161.19999999999999</v>
      </c>
      <c r="L257" s="9">
        <f>SUM('[1]14- All_India_Index_Upto_April2'!AB257,'[1]14- All_India_Index_Upto_April2'!AE257)</f>
        <v>299.79999999999995</v>
      </c>
      <c r="M257" s="9">
        <f>'[1]14- All_India_Index_Upto_April2'!AF257</f>
        <v>149.80000000000001</v>
      </c>
    </row>
    <row r="258" spans="1:13" hidden="1">
      <c r="A258" s="9" t="str">
        <f>'[1]14- All_India_Index_Upto_April2'!A258</f>
        <v>Urban</v>
      </c>
      <c r="B258" s="9">
        <f>'[1]14- All_India_Index_Upto_April2'!B258</f>
        <v>2020</v>
      </c>
      <c r="C258" s="9" t="str">
        <f>'[1]14- All_India_Index_Upto_April2'!C258</f>
        <v>March</v>
      </c>
      <c r="D258" s="9" t="str">
        <f t="shared" ref="D258:D321" si="8">_xlfn.TEXTJOIN("-",0,C258,B258)</f>
        <v>March-2020</v>
      </c>
      <c r="E258" s="46">
        <f t="shared" ref="E258:E321" si="9">DATEVALUE("1-" &amp;D258)</f>
        <v>43891</v>
      </c>
      <c r="F258" s="9">
        <f>SUM('[1]14- All_India_Index_Upto_April2'!F258:S258)</f>
        <v>2071.8000000000002</v>
      </c>
      <c r="G258" s="9">
        <f>SUM('[1]14- All_India_Index_Upto_April2'!T258:V258)</f>
        <v>427.1</v>
      </c>
      <c r="H258" s="9" t="e">
        <f>SUM([1]!_14__All_India_Index_Upto_April2[[#This Row],[Housing new]],[1]!_14__All_India_Index_Upto_April2[[#This Row],[Household goods and services]])</f>
        <v>#REF!</v>
      </c>
      <c r="I258" s="9">
        <f>SUM('[1]14- All_India_Index_Upto_April2'!Z258,'[1]14- All_India_Index_Upto_April2'!AD258)</f>
        <v>290.3</v>
      </c>
      <c r="J258" s="9">
        <f>SUM('[1]14- All_India_Index_Upto_April2'!AA258)</f>
        <v>124.6</v>
      </c>
      <c r="K258" s="9">
        <f>'[1]14- All_India_Index_Upto_April2'!AC258</f>
        <v>152.5</v>
      </c>
      <c r="L258" s="9">
        <f>SUM('[1]14- All_India_Index_Upto_April2'!AB258,'[1]14- All_India_Index_Upto_April2'!AE258)</f>
        <v>276.60000000000002</v>
      </c>
      <c r="M258" s="9">
        <f>'[1]14- All_India_Index_Upto_April2'!AF258</f>
        <v>147.30000000000001</v>
      </c>
    </row>
    <row r="259" spans="1:13" hidden="1">
      <c r="A259" s="9" t="str">
        <f>'[1]14- All_India_Index_Upto_April2'!A259</f>
        <v>Rural+Urban</v>
      </c>
      <c r="B259" s="9">
        <f>'[1]14- All_India_Index_Upto_April2'!B259</f>
        <v>2020</v>
      </c>
      <c r="C259" s="9" t="str">
        <f>'[1]14- All_India_Index_Upto_April2'!C259</f>
        <v>March</v>
      </c>
      <c r="D259" s="9" t="str">
        <f t="shared" si="8"/>
        <v>March-2020</v>
      </c>
      <c r="E259" s="46">
        <f t="shared" si="9"/>
        <v>43891</v>
      </c>
      <c r="F259" s="9">
        <f>SUM('[1]14- All_India_Index_Upto_April2'!F259:S259)</f>
        <v>2066.6</v>
      </c>
      <c r="G259" s="9">
        <f>SUM('[1]14- All_India_Index_Upto_April2'!T259:V259)</f>
        <v>442.90000000000003</v>
      </c>
      <c r="H259" s="9" t="e">
        <f>SUM([1]!_14__All_India_Index_Upto_April2[[#This Row],[Housing new]],[1]!_14__All_India_Index_Upto_April2[[#This Row],[Household goods and services]])</f>
        <v>#REF!</v>
      </c>
      <c r="I259" s="9">
        <f>SUM('[1]14- All_India_Index_Upto_April2'!Z259,'[1]14- All_India_Index_Upto_April2'!AD259)</f>
        <v>297.5</v>
      </c>
      <c r="J259" s="9">
        <f>SUM('[1]14- All_India_Index_Upto_April2'!AA259)</f>
        <v>129.9</v>
      </c>
      <c r="K259" s="9">
        <f>'[1]14- All_India_Index_Upto_April2'!AC259</f>
        <v>156.1</v>
      </c>
      <c r="L259" s="9">
        <f>SUM('[1]14- All_India_Index_Upto_April2'!AB259,'[1]14- All_India_Index_Upto_April2'!AE259)</f>
        <v>287.5</v>
      </c>
      <c r="M259" s="9">
        <f>'[1]14- All_India_Index_Upto_April2'!AF259</f>
        <v>148.6</v>
      </c>
    </row>
    <row r="260" spans="1:13" hidden="1">
      <c r="A260" s="9" t="str">
        <f>'[1]14- All_India_Index_Upto_April2'!A260</f>
        <v>Rural</v>
      </c>
      <c r="B260" s="9">
        <f>'[1]14- All_India_Index_Upto_April2'!B260</f>
        <v>2020</v>
      </c>
      <c r="C260" s="9" t="str">
        <f>'[1]14- All_India_Index_Upto_April2'!C260</f>
        <v>June</v>
      </c>
      <c r="D260" s="9" t="str">
        <f t="shared" si="8"/>
        <v>June-2020</v>
      </c>
      <c r="E260" s="46">
        <f t="shared" si="9"/>
        <v>43983</v>
      </c>
      <c r="F260" s="9">
        <f>SUM('[1]14- All_India_Index_Upto_April2'!F260:S260)</f>
        <v>2133.4</v>
      </c>
      <c r="G260" s="9">
        <f>SUM('[1]14- All_India_Index_Upto_April2'!T260:V260)</f>
        <v>458.79999999999995</v>
      </c>
      <c r="H260" s="9" t="e">
        <f>SUM([1]!_14__All_India_Index_Upto_April2[[#This Row],[Housing new]],[1]!_14__All_India_Index_Upto_April2[[#This Row],[Household goods and services]])</f>
        <v>#REF!</v>
      </c>
      <c r="I260" s="9">
        <f>SUM('[1]14- All_India_Index_Upto_April2'!Z260,'[1]14- All_India_Index_Upto_April2'!AD260)</f>
        <v>309.39999999999998</v>
      </c>
      <c r="J260" s="9">
        <f>SUM('[1]14- All_India_Index_Upto_April2'!AA260)</f>
        <v>141.4</v>
      </c>
      <c r="K260" s="9">
        <f>'[1]14- All_India_Index_Upto_April2'!AC260</f>
        <v>161.80000000000001</v>
      </c>
      <c r="L260" s="9">
        <f>SUM('[1]14- All_India_Index_Upto_April2'!AB260,'[1]14- All_India_Index_Upto_April2'!AE260)</f>
        <v>304.89999999999998</v>
      </c>
      <c r="M260" s="9">
        <f>'[1]14- All_India_Index_Upto_April2'!AF260</f>
        <v>152.69999999999999</v>
      </c>
    </row>
    <row r="261" spans="1:13" hidden="1">
      <c r="A261" s="9" t="str">
        <f>'[1]14- All_India_Index_Upto_April2'!A261</f>
        <v>Urban</v>
      </c>
      <c r="B261" s="9">
        <f>'[1]14- All_India_Index_Upto_April2'!B261</f>
        <v>2020</v>
      </c>
      <c r="C261" s="9" t="str">
        <f>'[1]14- All_India_Index_Upto_April2'!C261</f>
        <v>June</v>
      </c>
      <c r="D261" s="9" t="str">
        <f t="shared" si="8"/>
        <v>June-2020</v>
      </c>
      <c r="E261" s="46">
        <f t="shared" si="9"/>
        <v>43983</v>
      </c>
      <c r="F261" s="9">
        <f>SUM('[1]14- All_India_Index_Upto_April2'!F261:S261)</f>
        <v>2181.6999999999998</v>
      </c>
      <c r="G261" s="9">
        <f>SUM('[1]14- All_India_Index_Upto_April2'!T261:V261)</f>
        <v>432.9</v>
      </c>
      <c r="H261" s="9" t="e">
        <f>SUM([1]!_14__All_India_Index_Upto_April2[[#This Row],[Housing new]],[1]!_14__All_India_Index_Upto_April2[[#This Row],[Household goods and services]])</f>
        <v>#REF!</v>
      </c>
      <c r="I261" s="9">
        <f>SUM('[1]14- All_India_Index_Upto_April2'!Z261,'[1]14- All_India_Index_Upto_April2'!AD261)</f>
        <v>300.29999999999995</v>
      </c>
      <c r="J261" s="9">
        <f>SUM('[1]14- All_India_Index_Upto_April2'!AA261)</f>
        <v>129.30000000000001</v>
      </c>
      <c r="K261" s="9">
        <f>'[1]14- All_India_Index_Upto_April2'!AC261</f>
        <v>152.5</v>
      </c>
      <c r="L261" s="9">
        <f>SUM('[1]14- All_India_Index_Upto_April2'!AB261,'[1]14- All_India_Index_Upto_April2'!AE261)</f>
        <v>286.5</v>
      </c>
      <c r="M261" s="9">
        <f>'[1]14- All_India_Index_Upto_April2'!AF261</f>
        <v>150.80000000000001</v>
      </c>
    </row>
    <row r="262" spans="1:13" hidden="1">
      <c r="A262" s="9" t="str">
        <f>'[1]14- All_India_Index_Upto_April2'!A262</f>
        <v>Rural+Urban</v>
      </c>
      <c r="B262" s="9">
        <f>'[1]14- All_India_Index_Upto_April2'!B262</f>
        <v>2020</v>
      </c>
      <c r="C262" s="9" t="str">
        <f>'[1]14- All_India_Index_Upto_April2'!C262</f>
        <v>June</v>
      </c>
      <c r="D262" s="9" t="str">
        <f t="shared" si="8"/>
        <v>June-2020</v>
      </c>
      <c r="E262" s="46">
        <f t="shared" si="9"/>
        <v>43983</v>
      </c>
      <c r="F262" s="9">
        <f>SUM('[1]14- All_India_Index_Upto_April2'!F262:S262)</f>
        <v>2150.3000000000002</v>
      </c>
      <c r="G262" s="9">
        <f>SUM('[1]14- All_India_Index_Upto_April2'!T262:V262)</f>
        <v>448.29999999999995</v>
      </c>
      <c r="H262" s="9" t="e">
        <f>SUM([1]!_14__All_India_Index_Upto_April2[[#This Row],[Housing new]],[1]!_14__All_India_Index_Upto_April2[[#This Row],[Household goods and services]])</f>
        <v>#REF!</v>
      </c>
      <c r="I262" s="9">
        <f>SUM('[1]14- All_India_Index_Upto_April2'!Z262,'[1]14- All_India_Index_Upto_April2'!AD262)</f>
        <v>306</v>
      </c>
      <c r="J262" s="9">
        <f>SUM('[1]14- All_India_Index_Upto_April2'!AA262)</f>
        <v>135</v>
      </c>
      <c r="K262" s="9">
        <f>'[1]14- All_India_Index_Upto_April2'!AC262</f>
        <v>156.4</v>
      </c>
      <c r="L262" s="9">
        <f>SUM('[1]14- All_India_Index_Upto_April2'!AB262,'[1]14- All_India_Index_Upto_April2'!AE262)</f>
        <v>295.3</v>
      </c>
      <c r="M262" s="9">
        <f>'[1]14- All_India_Index_Upto_April2'!AF262</f>
        <v>151.80000000000001</v>
      </c>
    </row>
    <row r="263" spans="1:13" hidden="1">
      <c r="A263" s="9" t="str">
        <f>'[1]14- All_India_Index_Upto_April2'!A263</f>
        <v>Rural</v>
      </c>
      <c r="B263" s="9">
        <f>'[1]14- All_India_Index_Upto_April2'!B263</f>
        <v>2020</v>
      </c>
      <c r="C263" s="9" t="str">
        <f>'[1]14- All_India_Index_Upto_April2'!C263</f>
        <v>July</v>
      </c>
      <c r="D263" s="9" t="str">
        <f t="shared" si="8"/>
        <v>July-2020</v>
      </c>
      <c r="E263" s="46">
        <f t="shared" si="9"/>
        <v>44013</v>
      </c>
      <c r="F263" s="9">
        <f>SUM('[1]14- All_India_Index_Upto_April2'!F263:S263)</f>
        <v>2133.4</v>
      </c>
      <c r="G263" s="9">
        <f>SUM('[1]14- All_India_Index_Upto_April2'!T263:V263)</f>
        <v>458.79999999999995</v>
      </c>
      <c r="H263" s="9" t="e">
        <f>SUM([1]!_14__All_India_Index_Upto_April2[[#This Row],[Housing new]],[1]!_14__All_India_Index_Upto_April2[[#This Row],[Household goods and services]])</f>
        <v>#REF!</v>
      </c>
      <c r="I263" s="9">
        <f>SUM('[1]14- All_India_Index_Upto_April2'!Z263,'[1]14- All_India_Index_Upto_April2'!AD263)</f>
        <v>309.39999999999998</v>
      </c>
      <c r="J263" s="9">
        <f>SUM('[1]14- All_India_Index_Upto_April2'!AA263)</f>
        <v>141.4</v>
      </c>
      <c r="K263" s="9">
        <f>'[1]14- All_India_Index_Upto_April2'!AC263</f>
        <v>161.80000000000001</v>
      </c>
      <c r="L263" s="9">
        <f>SUM('[1]14- All_India_Index_Upto_April2'!AB263,'[1]14- All_India_Index_Upto_April2'!AE263)</f>
        <v>304.89999999999998</v>
      </c>
      <c r="M263" s="9">
        <f>'[1]14- All_India_Index_Upto_April2'!AF263</f>
        <v>152.69999999999999</v>
      </c>
    </row>
    <row r="264" spans="1:13" hidden="1">
      <c r="A264" s="9" t="str">
        <f>'[1]14- All_India_Index_Upto_April2'!A264</f>
        <v>Urban</v>
      </c>
      <c r="B264" s="9">
        <f>'[1]14- All_India_Index_Upto_April2'!B264</f>
        <v>2020</v>
      </c>
      <c r="C264" s="9" t="str">
        <f>'[1]14- All_India_Index_Upto_April2'!C264</f>
        <v>July</v>
      </c>
      <c r="D264" s="9" t="str">
        <f t="shared" si="8"/>
        <v>July-2020</v>
      </c>
      <c r="E264" s="46">
        <f t="shared" si="9"/>
        <v>44013</v>
      </c>
      <c r="F264" s="9">
        <f>SUM('[1]14- All_India_Index_Upto_April2'!F264:S264)</f>
        <v>2181.6999999999998</v>
      </c>
      <c r="G264" s="9">
        <f>SUM('[1]14- All_India_Index_Upto_April2'!T264:V264)</f>
        <v>432.9</v>
      </c>
      <c r="H264" s="9" t="e">
        <f>SUM([1]!_14__All_India_Index_Upto_April2[[#This Row],[Housing new]],[1]!_14__All_India_Index_Upto_April2[[#This Row],[Household goods and services]])</f>
        <v>#REF!</v>
      </c>
      <c r="I264" s="9">
        <f>SUM('[1]14- All_India_Index_Upto_April2'!Z264,'[1]14- All_India_Index_Upto_April2'!AD264)</f>
        <v>300.29999999999995</v>
      </c>
      <c r="J264" s="9">
        <f>SUM('[1]14- All_India_Index_Upto_April2'!AA264)</f>
        <v>129.30000000000001</v>
      </c>
      <c r="K264" s="9">
        <f>'[1]14- All_India_Index_Upto_April2'!AC264</f>
        <v>152.5</v>
      </c>
      <c r="L264" s="9">
        <f>SUM('[1]14- All_India_Index_Upto_April2'!AB264,'[1]14- All_India_Index_Upto_April2'!AE264)</f>
        <v>286.5</v>
      </c>
      <c r="M264" s="9">
        <f>'[1]14- All_India_Index_Upto_April2'!AF264</f>
        <v>150.80000000000001</v>
      </c>
    </row>
    <row r="265" spans="1:13" hidden="1">
      <c r="A265" s="9" t="str">
        <f>'[1]14- All_India_Index_Upto_April2'!A265</f>
        <v>Rural+Urban</v>
      </c>
      <c r="B265" s="9">
        <f>'[1]14- All_India_Index_Upto_April2'!B265</f>
        <v>2020</v>
      </c>
      <c r="C265" s="9" t="str">
        <f>'[1]14- All_India_Index_Upto_April2'!C265</f>
        <v>July</v>
      </c>
      <c r="D265" s="9" t="str">
        <f t="shared" si="8"/>
        <v>July-2020</v>
      </c>
      <c r="E265" s="46">
        <f t="shared" si="9"/>
        <v>44013</v>
      </c>
      <c r="F265" s="9">
        <f>SUM('[1]14- All_India_Index_Upto_April2'!F265:S265)</f>
        <v>2150.3000000000002</v>
      </c>
      <c r="G265" s="9">
        <f>SUM('[1]14- All_India_Index_Upto_April2'!T265:V265)</f>
        <v>448.29999999999995</v>
      </c>
      <c r="H265" s="9" t="e">
        <f>SUM([1]!_14__All_India_Index_Upto_April2[[#This Row],[Housing new]],[1]!_14__All_India_Index_Upto_April2[[#This Row],[Household goods and services]])</f>
        <v>#REF!</v>
      </c>
      <c r="I265" s="9">
        <f>SUM('[1]14- All_India_Index_Upto_April2'!Z265,'[1]14- All_India_Index_Upto_April2'!AD265)</f>
        <v>306</v>
      </c>
      <c r="J265" s="9">
        <f>SUM('[1]14- All_India_Index_Upto_April2'!AA265)</f>
        <v>135</v>
      </c>
      <c r="K265" s="9">
        <f>'[1]14- All_India_Index_Upto_April2'!AC265</f>
        <v>156.4</v>
      </c>
      <c r="L265" s="9">
        <f>SUM('[1]14- All_India_Index_Upto_April2'!AB265,'[1]14- All_India_Index_Upto_April2'!AE265)</f>
        <v>295.3</v>
      </c>
      <c r="M265" s="9">
        <f>'[1]14- All_India_Index_Upto_April2'!AF265</f>
        <v>151.80000000000001</v>
      </c>
    </row>
    <row r="266" spans="1:13" hidden="1">
      <c r="A266" s="9" t="str">
        <f>'[1]14- All_India_Index_Upto_April2'!A266</f>
        <v>Rural</v>
      </c>
      <c r="B266" s="9">
        <f>'[1]14- All_India_Index_Upto_April2'!B266</f>
        <v>2020</v>
      </c>
      <c r="C266" s="9" t="str">
        <f>'[1]14- All_India_Index_Upto_April2'!C266</f>
        <v>August</v>
      </c>
      <c r="D266" s="9" t="str">
        <f t="shared" si="8"/>
        <v>August-2020</v>
      </c>
      <c r="E266" s="46">
        <f t="shared" si="9"/>
        <v>44044</v>
      </c>
      <c r="F266" s="9">
        <f>SUM('[1]14- All_India_Index_Upto_April2'!F266:S266)</f>
        <v>2159.5</v>
      </c>
      <c r="G266" s="9">
        <f>SUM('[1]14- All_India_Index_Upto_April2'!T266:V266)</f>
        <v>458.7</v>
      </c>
      <c r="H266" s="9" t="e">
        <f>SUM([1]!_14__All_India_Index_Upto_April2[[#This Row],[Housing new]],[1]!_14__All_India_Index_Upto_April2[[#This Row],[Household goods and services]])</f>
        <v>#REF!</v>
      </c>
      <c r="I266" s="9">
        <f>SUM('[1]14- All_India_Index_Upto_April2'!Z266,'[1]14- All_India_Index_Upto_April2'!AD266)</f>
        <v>312.39999999999998</v>
      </c>
      <c r="J266" s="9">
        <f>SUM('[1]14- All_India_Index_Upto_April2'!AA266)</f>
        <v>143.6</v>
      </c>
      <c r="K266" s="9">
        <f>'[1]14- All_India_Index_Upto_April2'!AC266</f>
        <v>162.69999999999999</v>
      </c>
      <c r="L266" s="9">
        <f>SUM('[1]14- All_India_Index_Upto_April2'!AB266,'[1]14- All_India_Index_Upto_April2'!AE266)</f>
        <v>305.2</v>
      </c>
      <c r="M266" s="9">
        <f>'[1]14- All_India_Index_Upto_April2'!AF266</f>
        <v>154.69999999999999</v>
      </c>
    </row>
    <row r="267" spans="1:13" hidden="1">
      <c r="A267" s="9" t="str">
        <f>'[1]14- All_India_Index_Upto_April2'!A267</f>
        <v>Urban</v>
      </c>
      <c r="B267" s="9">
        <f>'[1]14- All_India_Index_Upto_April2'!B267</f>
        <v>2020</v>
      </c>
      <c r="C267" s="9" t="str">
        <f>'[1]14- All_India_Index_Upto_April2'!C267</f>
        <v>August</v>
      </c>
      <c r="D267" s="9" t="str">
        <f t="shared" si="8"/>
        <v>August-2020</v>
      </c>
      <c r="E267" s="46">
        <f t="shared" si="9"/>
        <v>44044</v>
      </c>
      <c r="F267" s="9">
        <f>SUM('[1]14- All_India_Index_Upto_April2'!F267:S267)</f>
        <v>2212.1</v>
      </c>
      <c r="G267" s="9">
        <f>SUM('[1]14- All_India_Index_Upto_April2'!T267:V267)</f>
        <v>433</v>
      </c>
      <c r="H267" s="9" t="e">
        <f>SUM([1]!_14__All_India_Index_Upto_April2[[#This Row],[Housing new]],[1]!_14__All_India_Index_Upto_April2[[#This Row],[Household goods and services]])</f>
        <v>#REF!</v>
      </c>
      <c r="I267" s="9">
        <f>SUM('[1]14- All_India_Index_Upto_April2'!Z267,'[1]14- All_India_Index_Upto_April2'!AD267)</f>
        <v>303.89999999999998</v>
      </c>
      <c r="J267" s="9">
        <f>SUM('[1]14- All_India_Index_Upto_April2'!AA267)</f>
        <v>133.9</v>
      </c>
      <c r="K267" s="9">
        <f>'[1]14- All_India_Index_Upto_April2'!AC267</f>
        <v>155.5</v>
      </c>
      <c r="L267" s="9">
        <f>SUM('[1]14- All_India_Index_Upto_April2'!AB267,'[1]14- All_India_Index_Upto_April2'!AE267)</f>
        <v>286</v>
      </c>
      <c r="M267" s="9">
        <f>'[1]14- All_India_Index_Upto_April2'!AF267</f>
        <v>152.9</v>
      </c>
    </row>
    <row r="268" spans="1:13" hidden="1">
      <c r="A268" s="9" t="str">
        <f>'[1]14- All_India_Index_Upto_April2'!A268</f>
        <v>Rural+Urban</v>
      </c>
      <c r="B268" s="9">
        <f>'[1]14- All_India_Index_Upto_April2'!B268</f>
        <v>2020</v>
      </c>
      <c r="C268" s="9" t="str">
        <f>'[1]14- All_India_Index_Upto_April2'!C268</f>
        <v>August</v>
      </c>
      <c r="D268" s="9" t="str">
        <f t="shared" si="8"/>
        <v>August-2020</v>
      </c>
      <c r="E268" s="46">
        <f t="shared" si="9"/>
        <v>44044</v>
      </c>
      <c r="F268" s="9">
        <f>SUM('[1]14- All_India_Index_Upto_April2'!F268:S268)</f>
        <v>2177.7999999999997</v>
      </c>
      <c r="G268" s="9">
        <f>SUM('[1]14- All_India_Index_Upto_April2'!T268:V268)</f>
        <v>448.2</v>
      </c>
      <c r="H268" s="9" t="e">
        <f>SUM([1]!_14__All_India_Index_Upto_April2[[#This Row],[Housing new]],[1]!_14__All_India_Index_Upto_April2[[#This Row],[Household goods and services]])</f>
        <v>#REF!</v>
      </c>
      <c r="I268" s="9">
        <f>SUM('[1]14- All_India_Index_Upto_April2'!Z268,'[1]14- All_India_Index_Upto_April2'!AD268)</f>
        <v>309.3</v>
      </c>
      <c r="J268" s="9">
        <f>SUM('[1]14- All_India_Index_Upto_April2'!AA268)</f>
        <v>138.5</v>
      </c>
      <c r="K268" s="9">
        <f>'[1]14- All_India_Index_Upto_April2'!AC268</f>
        <v>158.5</v>
      </c>
      <c r="L268" s="9">
        <f>SUM('[1]14- All_India_Index_Upto_April2'!AB268,'[1]14- All_India_Index_Upto_April2'!AE268)</f>
        <v>295</v>
      </c>
      <c r="M268" s="9">
        <f>'[1]14- All_India_Index_Upto_April2'!AF268</f>
        <v>153.9</v>
      </c>
    </row>
    <row r="269" spans="1:13" hidden="1">
      <c r="A269" s="9" t="str">
        <f>'[1]14- All_India_Index_Upto_April2'!A269</f>
        <v>Rural</v>
      </c>
      <c r="B269" s="9">
        <f>'[1]14- All_India_Index_Upto_April2'!B269</f>
        <v>2020</v>
      </c>
      <c r="C269" s="9" t="str">
        <f>'[1]14- All_India_Index_Upto_April2'!C269</f>
        <v>September</v>
      </c>
      <c r="D269" s="9" t="str">
        <f t="shared" si="8"/>
        <v>September-2020</v>
      </c>
      <c r="E269" s="46">
        <f t="shared" si="9"/>
        <v>44075</v>
      </c>
      <c r="F269" s="9">
        <f>SUM('[1]14- All_India_Index_Upto_April2'!F269:S269)</f>
        <v>2170.2999999999997</v>
      </c>
      <c r="G269" s="9">
        <f>SUM('[1]14- All_India_Index_Upto_April2'!T269:V269)</f>
        <v>459.9</v>
      </c>
      <c r="H269" s="9" t="e">
        <f>SUM([1]!_14__All_India_Index_Upto_April2[[#This Row],[Housing new]],[1]!_14__All_India_Index_Upto_April2[[#This Row],[Household goods and services]])</f>
        <v>#REF!</v>
      </c>
      <c r="I269" s="9">
        <f>SUM('[1]14- All_India_Index_Upto_April2'!Z269,'[1]14- All_India_Index_Upto_April2'!AD269)</f>
        <v>316.5</v>
      </c>
      <c r="J269" s="9">
        <f>SUM('[1]14- All_India_Index_Upto_April2'!AA269)</f>
        <v>144.6</v>
      </c>
      <c r="K269" s="9">
        <f>'[1]14- All_India_Index_Upto_April2'!AC269</f>
        <v>161.1</v>
      </c>
      <c r="L269" s="9">
        <f>SUM('[1]14- All_India_Index_Upto_April2'!AB269,'[1]14- All_India_Index_Upto_April2'!AE269)</f>
        <v>306.5</v>
      </c>
      <c r="M269" s="9">
        <f>'[1]14- All_India_Index_Upto_April2'!AF269</f>
        <v>155.4</v>
      </c>
    </row>
    <row r="270" spans="1:13" hidden="1">
      <c r="A270" s="9" t="str">
        <f>'[1]14- All_India_Index_Upto_April2'!A270</f>
        <v>Urban</v>
      </c>
      <c r="B270" s="9">
        <f>'[1]14- All_India_Index_Upto_April2'!B270</f>
        <v>2020</v>
      </c>
      <c r="C270" s="9" t="str">
        <f>'[1]14- All_India_Index_Upto_April2'!C270</f>
        <v>September</v>
      </c>
      <c r="D270" s="9" t="str">
        <f t="shared" si="8"/>
        <v>September-2020</v>
      </c>
      <c r="E270" s="46">
        <f t="shared" si="9"/>
        <v>44075</v>
      </c>
      <c r="F270" s="9">
        <f>SUM('[1]14- All_India_Index_Upto_April2'!F270:S270)</f>
        <v>2230.3000000000002</v>
      </c>
      <c r="G270" s="9">
        <f>SUM('[1]14- All_India_Index_Upto_April2'!T270:V270)</f>
        <v>434.6</v>
      </c>
      <c r="H270" s="9" t="e">
        <f>SUM([1]!_14__All_India_Index_Upto_April2[[#This Row],[Housing new]],[1]!_14__All_India_Index_Upto_April2[[#This Row],[Household goods and services]])</f>
        <v>#REF!</v>
      </c>
      <c r="I270" s="9">
        <f>SUM('[1]14- All_India_Index_Upto_April2'!Z270,'[1]14- All_India_Index_Upto_April2'!AD270)</f>
        <v>309.8</v>
      </c>
      <c r="J270" s="9">
        <f>SUM('[1]14- All_India_Index_Upto_April2'!AA270)</f>
        <v>135.1</v>
      </c>
      <c r="K270" s="9">
        <f>'[1]14- All_India_Index_Upto_April2'!AC270</f>
        <v>154.9</v>
      </c>
      <c r="L270" s="9">
        <f>SUM('[1]14- All_India_Index_Upto_April2'!AB270,'[1]14- All_India_Index_Upto_April2'!AE270)</f>
        <v>287.8</v>
      </c>
      <c r="M270" s="9">
        <f>'[1]14- All_India_Index_Upto_April2'!AF270</f>
        <v>154</v>
      </c>
    </row>
    <row r="271" spans="1:13" hidden="1">
      <c r="A271" s="9" t="str">
        <f>'[1]14- All_India_Index_Upto_April2'!A271</f>
        <v>Rural+Urban</v>
      </c>
      <c r="B271" s="9">
        <f>'[1]14- All_India_Index_Upto_April2'!B271</f>
        <v>2020</v>
      </c>
      <c r="C271" s="9" t="str">
        <f>'[1]14- All_India_Index_Upto_April2'!C271</f>
        <v>September</v>
      </c>
      <c r="D271" s="9" t="str">
        <f t="shared" si="8"/>
        <v>September-2020</v>
      </c>
      <c r="E271" s="46">
        <f t="shared" si="9"/>
        <v>44075</v>
      </c>
      <c r="F271" s="9">
        <f>SUM('[1]14- All_India_Index_Upto_April2'!F271:S271)</f>
        <v>2191.4</v>
      </c>
      <c r="G271" s="9">
        <f>SUM('[1]14- All_India_Index_Upto_April2'!T271:V271)</f>
        <v>449.70000000000005</v>
      </c>
      <c r="H271" s="9" t="e">
        <f>SUM([1]!_14__All_India_Index_Upto_April2[[#This Row],[Housing new]],[1]!_14__All_India_Index_Upto_April2[[#This Row],[Household goods and services]])</f>
        <v>#REF!</v>
      </c>
      <c r="I271" s="9">
        <f>SUM('[1]14- All_India_Index_Upto_April2'!Z271,'[1]14- All_India_Index_Upto_April2'!AD271)</f>
        <v>314</v>
      </c>
      <c r="J271" s="9">
        <f>SUM('[1]14- All_India_Index_Upto_April2'!AA271)</f>
        <v>139.6</v>
      </c>
      <c r="K271" s="9">
        <f>'[1]14- All_India_Index_Upto_April2'!AC271</f>
        <v>157.5</v>
      </c>
      <c r="L271" s="9">
        <f>SUM('[1]14- All_India_Index_Upto_April2'!AB271,'[1]14- All_India_Index_Upto_April2'!AE271)</f>
        <v>296.60000000000002</v>
      </c>
      <c r="M271" s="9">
        <f>'[1]14- All_India_Index_Upto_April2'!AF271</f>
        <v>154.69999999999999</v>
      </c>
    </row>
    <row r="272" spans="1:13" hidden="1">
      <c r="A272" s="9" t="str">
        <f>'[1]14- All_India_Index_Upto_April2'!A272</f>
        <v>Rural</v>
      </c>
      <c r="B272" s="9">
        <f>'[1]14- All_India_Index_Upto_April2'!B272</f>
        <v>2020</v>
      </c>
      <c r="C272" s="9" t="str">
        <f>'[1]14- All_India_Index_Upto_April2'!C272</f>
        <v>October</v>
      </c>
      <c r="D272" s="9" t="str">
        <f t="shared" si="8"/>
        <v>October-2020</v>
      </c>
      <c r="E272" s="46">
        <f t="shared" si="9"/>
        <v>44105</v>
      </c>
      <c r="F272" s="9">
        <f>SUM('[1]14- All_India_Index_Upto_April2'!F272:S272)</f>
        <v>2213.6</v>
      </c>
      <c r="G272" s="9">
        <f>SUM('[1]14- All_India_Index_Upto_April2'!T272:V272)</f>
        <v>461.29999999999995</v>
      </c>
      <c r="H272" s="9" t="e">
        <f>SUM([1]!_14__All_India_Index_Upto_April2[[#This Row],[Housing new]],[1]!_14__All_India_Index_Upto_April2[[#This Row],[Household goods and services]])</f>
        <v>#REF!</v>
      </c>
      <c r="I272" s="9">
        <f>SUM('[1]14- All_India_Index_Upto_April2'!Z272,'[1]14- All_India_Index_Upto_April2'!AD272)</f>
        <v>315.7</v>
      </c>
      <c r="J272" s="9">
        <f>SUM('[1]14- All_India_Index_Upto_April2'!AA272)</f>
        <v>146.4</v>
      </c>
      <c r="K272" s="9">
        <f>'[1]14- All_India_Index_Upto_April2'!AC272</f>
        <v>162.5</v>
      </c>
      <c r="L272" s="9">
        <f>SUM('[1]14- All_India_Index_Upto_April2'!AB272,'[1]14- All_India_Index_Upto_April2'!AE272)</f>
        <v>306.70000000000005</v>
      </c>
      <c r="M272" s="9">
        <f>'[1]14- All_India_Index_Upto_April2'!AF272</f>
        <v>157.5</v>
      </c>
    </row>
    <row r="273" spans="1:13" hidden="1">
      <c r="A273" s="9" t="str">
        <f>'[1]14- All_India_Index_Upto_April2'!A273</f>
        <v>Urban</v>
      </c>
      <c r="B273" s="9">
        <f>'[1]14- All_India_Index_Upto_April2'!B273</f>
        <v>2020</v>
      </c>
      <c r="C273" s="9" t="str">
        <f>'[1]14- All_India_Index_Upto_April2'!C273</f>
        <v>October</v>
      </c>
      <c r="D273" s="9" t="str">
        <f t="shared" si="8"/>
        <v>October-2020</v>
      </c>
      <c r="E273" s="46">
        <f t="shared" si="9"/>
        <v>44105</v>
      </c>
      <c r="F273" s="9">
        <f>SUM('[1]14- All_India_Index_Upto_April2'!F273:S273)</f>
        <v>2268.8999999999996</v>
      </c>
      <c r="G273" s="9">
        <f>SUM('[1]14- All_India_Index_Upto_April2'!T273:V273)</f>
        <v>434.90000000000003</v>
      </c>
      <c r="H273" s="9" t="e">
        <f>SUM([1]!_14__All_India_Index_Upto_April2[[#This Row],[Housing new]],[1]!_14__All_India_Index_Upto_April2[[#This Row],[Household goods and services]])</f>
        <v>#REF!</v>
      </c>
      <c r="I273" s="9">
        <f>SUM('[1]14- All_India_Index_Upto_April2'!Z273,'[1]14- All_India_Index_Upto_April2'!AD273)</f>
        <v>309.10000000000002</v>
      </c>
      <c r="J273" s="9">
        <f>SUM('[1]14- All_India_Index_Upto_April2'!AA273)</f>
        <v>135.4</v>
      </c>
      <c r="K273" s="9">
        <f>'[1]14- All_India_Index_Upto_April2'!AC273</f>
        <v>155.69999999999999</v>
      </c>
      <c r="L273" s="9">
        <f>SUM('[1]14- All_India_Index_Upto_April2'!AB273,'[1]14- All_India_Index_Upto_April2'!AE273)</f>
        <v>288.2</v>
      </c>
      <c r="M273" s="9">
        <f>'[1]14- All_India_Index_Upto_April2'!AF273</f>
        <v>155.19999999999999</v>
      </c>
    </row>
    <row r="274" spans="1:13" hidden="1">
      <c r="A274" s="9" t="str">
        <f>'[1]14- All_India_Index_Upto_April2'!A274</f>
        <v>Rural+Urban</v>
      </c>
      <c r="B274" s="9">
        <f>'[1]14- All_India_Index_Upto_April2'!B274</f>
        <v>2020</v>
      </c>
      <c r="C274" s="9" t="str">
        <f>'[1]14- All_India_Index_Upto_April2'!C274</f>
        <v>October</v>
      </c>
      <c r="D274" s="9" t="str">
        <f t="shared" si="8"/>
        <v>October-2020</v>
      </c>
      <c r="E274" s="46">
        <f t="shared" si="9"/>
        <v>44105</v>
      </c>
      <c r="F274" s="9">
        <f>SUM('[1]14- All_India_Index_Upto_April2'!F274:S274)</f>
        <v>2232.9000000000005</v>
      </c>
      <c r="G274" s="9">
        <f>SUM('[1]14- All_India_Index_Upto_April2'!T274:V274)</f>
        <v>450.59999999999997</v>
      </c>
      <c r="H274" s="9" t="e">
        <f>SUM([1]!_14__All_India_Index_Upto_April2[[#This Row],[Housing new]],[1]!_14__All_India_Index_Upto_April2[[#This Row],[Household goods and services]])</f>
        <v>#REF!</v>
      </c>
      <c r="I274" s="9">
        <f>SUM('[1]14- All_India_Index_Upto_April2'!Z274,'[1]14- All_India_Index_Upto_April2'!AD274)</f>
        <v>313.3</v>
      </c>
      <c r="J274" s="9">
        <f>SUM('[1]14- All_India_Index_Upto_April2'!AA274)</f>
        <v>140.6</v>
      </c>
      <c r="K274" s="9">
        <f>'[1]14- All_India_Index_Upto_April2'!AC274</f>
        <v>158.5</v>
      </c>
      <c r="L274" s="9">
        <f>SUM('[1]14- All_India_Index_Upto_April2'!AB274,'[1]14- All_India_Index_Upto_April2'!AE274)</f>
        <v>296.89999999999998</v>
      </c>
      <c r="M274" s="9">
        <f>'[1]14- All_India_Index_Upto_April2'!AF274</f>
        <v>156.4</v>
      </c>
    </row>
    <row r="275" spans="1:13" hidden="1">
      <c r="A275" s="9" t="str">
        <f>'[1]14- All_India_Index_Upto_April2'!A275</f>
        <v>Rural</v>
      </c>
      <c r="B275" s="9">
        <f>'[1]14- All_India_Index_Upto_April2'!B275</f>
        <v>2020</v>
      </c>
      <c r="C275" s="9" t="str">
        <f>'[1]14- All_India_Index_Upto_April2'!C275</f>
        <v>November</v>
      </c>
      <c r="D275" s="9" t="str">
        <f t="shared" si="8"/>
        <v>November-2020</v>
      </c>
      <c r="E275" s="46">
        <f t="shared" si="9"/>
        <v>44136</v>
      </c>
      <c r="F275" s="9">
        <f>SUM('[1]14- All_India_Index_Upto_April2'!F275:S275)</f>
        <v>2265.8000000000002</v>
      </c>
      <c r="G275" s="9">
        <f>SUM('[1]14- All_India_Index_Upto_April2'!T275:V275)</f>
        <v>462.8</v>
      </c>
      <c r="H275" s="9" t="e">
        <f>SUM([1]!_14__All_India_Index_Upto_April2[[#This Row],[Housing new]],[1]!_14__All_India_Index_Upto_April2[[#This Row],[Household goods and services]])</f>
        <v>#REF!</v>
      </c>
      <c r="I275" s="9">
        <f>SUM('[1]14- All_India_Index_Upto_April2'!Z275,'[1]14- All_India_Index_Upto_April2'!AD275)</f>
        <v>316.60000000000002</v>
      </c>
      <c r="J275" s="9">
        <f>SUM('[1]14- All_India_Index_Upto_April2'!AA275)</f>
        <v>146.1</v>
      </c>
      <c r="K275" s="9">
        <f>'[1]14- All_India_Index_Upto_April2'!AC275</f>
        <v>161.6</v>
      </c>
      <c r="L275" s="9">
        <f>SUM('[1]14- All_India_Index_Upto_April2'!AB275,'[1]14- All_India_Index_Upto_April2'!AE275)</f>
        <v>308.10000000000002</v>
      </c>
      <c r="M275" s="9">
        <f>'[1]14- All_India_Index_Upto_April2'!AF275</f>
        <v>159.80000000000001</v>
      </c>
    </row>
    <row r="276" spans="1:13" hidden="1">
      <c r="A276" s="9" t="str">
        <f>'[1]14- All_India_Index_Upto_April2'!A276</f>
        <v>Urban</v>
      </c>
      <c r="B276" s="9">
        <f>'[1]14- All_India_Index_Upto_April2'!B276</f>
        <v>2020</v>
      </c>
      <c r="C276" s="9" t="str">
        <f>'[1]14- All_India_Index_Upto_April2'!C276</f>
        <v>November</v>
      </c>
      <c r="D276" s="9" t="str">
        <f t="shared" si="8"/>
        <v>November-2020</v>
      </c>
      <c r="E276" s="46">
        <f t="shared" si="9"/>
        <v>44136</v>
      </c>
      <c r="F276" s="9">
        <f>SUM('[1]14- All_India_Index_Upto_April2'!F276:S276)</f>
        <v>2309.5</v>
      </c>
      <c r="G276" s="9">
        <f>SUM('[1]14- All_India_Index_Upto_April2'!T276:V276)</f>
        <v>436.3</v>
      </c>
      <c r="H276" s="9" t="e">
        <f>SUM([1]!_14__All_India_Index_Upto_April2[[#This Row],[Housing new]],[1]!_14__All_India_Index_Upto_April2[[#This Row],[Household goods and services]])</f>
        <v>#REF!</v>
      </c>
      <c r="I276" s="9">
        <f>SUM('[1]14- All_India_Index_Upto_April2'!Z276,'[1]14- All_India_Index_Upto_April2'!AD276)</f>
        <v>309.89999999999998</v>
      </c>
      <c r="J276" s="9">
        <f>SUM('[1]14- All_India_Index_Upto_April2'!AA276)</f>
        <v>135.19999999999999</v>
      </c>
      <c r="K276" s="9">
        <f>'[1]14- All_India_Index_Upto_April2'!AC276</f>
        <v>156.4</v>
      </c>
      <c r="L276" s="9">
        <f>SUM('[1]14- All_India_Index_Upto_April2'!AB276,'[1]14- All_India_Index_Upto_April2'!AE276)</f>
        <v>291</v>
      </c>
      <c r="M276" s="9">
        <f>'[1]14- All_India_Index_Upto_April2'!AF276</f>
        <v>156.69999999999999</v>
      </c>
    </row>
    <row r="277" spans="1:13" hidden="1">
      <c r="A277" s="9" t="str">
        <f>'[1]14- All_India_Index_Upto_April2'!A277</f>
        <v>Rural+Urban</v>
      </c>
      <c r="B277" s="9">
        <f>'[1]14- All_India_Index_Upto_April2'!B277</f>
        <v>2020</v>
      </c>
      <c r="C277" s="9" t="str">
        <f>'[1]14- All_India_Index_Upto_April2'!C277</f>
        <v>November</v>
      </c>
      <c r="D277" s="9" t="str">
        <f t="shared" si="8"/>
        <v>November-2020</v>
      </c>
      <c r="E277" s="46">
        <f t="shared" si="9"/>
        <v>44136</v>
      </c>
      <c r="F277" s="9">
        <f>SUM('[1]14- All_India_Index_Upto_April2'!F277:S277)</f>
        <v>2280.4</v>
      </c>
      <c r="G277" s="9">
        <f>SUM('[1]14- All_India_Index_Upto_April2'!T277:V277)</f>
        <v>452.00000000000006</v>
      </c>
      <c r="H277" s="9" t="e">
        <f>SUM([1]!_14__All_India_Index_Upto_April2[[#This Row],[Housing new]],[1]!_14__All_India_Index_Upto_April2[[#This Row],[Household goods and services]])</f>
        <v>#REF!</v>
      </c>
      <c r="I277" s="9">
        <f>SUM('[1]14- All_India_Index_Upto_April2'!Z277,'[1]14- All_India_Index_Upto_April2'!AD277)</f>
        <v>314.10000000000002</v>
      </c>
      <c r="J277" s="9">
        <f>SUM('[1]14- All_India_Index_Upto_April2'!AA277)</f>
        <v>140.4</v>
      </c>
      <c r="K277" s="9">
        <f>'[1]14- All_India_Index_Upto_April2'!AC277</f>
        <v>158.6</v>
      </c>
      <c r="L277" s="9">
        <f>SUM('[1]14- All_India_Index_Upto_April2'!AB277,'[1]14- All_India_Index_Upto_April2'!AE277)</f>
        <v>299.10000000000002</v>
      </c>
      <c r="M277" s="9">
        <f>'[1]14- All_India_Index_Upto_April2'!AF277</f>
        <v>158.4</v>
      </c>
    </row>
    <row r="278" spans="1:13" hidden="1">
      <c r="A278" s="9" t="str">
        <f>'[1]14- All_India_Index_Upto_April2'!A278</f>
        <v>Rural</v>
      </c>
      <c r="B278" s="9">
        <f>'[1]14- All_India_Index_Upto_April2'!B278</f>
        <v>2020</v>
      </c>
      <c r="C278" s="9" t="str">
        <f>'[1]14- All_India_Index_Upto_April2'!C278</f>
        <v>December</v>
      </c>
      <c r="D278" s="9" t="str">
        <f t="shared" si="8"/>
        <v>December-2020</v>
      </c>
      <c r="E278" s="46">
        <f t="shared" si="9"/>
        <v>44166</v>
      </c>
      <c r="F278" s="9">
        <f>SUM('[1]14- All_India_Index_Upto_April2'!F278:S278)</f>
        <v>2284.1</v>
      </c>
      <c r="G278" s="9">
        <f>SUM('[1]14- All_India_Index_Upto_April2'!T278:V278)</f>
        <v>464.90000000000003</v>
      </c>
      <c r="H278" s="9" t="e">
        <f>SUM([1]!_14__All_India_Index_Upto_April2[[#This Row],[Housing new]],[1]!_14__All_India_Index_Upto_April2[[#This Row],[Household goods and services]])</f>
        <v>#REF!</v>
      </c>
      <c r="I278" s="9">
        <f>SUM('[1]14- All_India_Index_Upto_April2'!Z278,'[1]14- All_India_Index_Upto_April2'!AD278)</f>
        <v>318.2</v>
      </c>
      <c r="J278" s="9">
        <f>SUM('[1]14- All_India_Index_Upto_April2'!AA278)</f>
        <v>146.4</v>
      </c>
      <c r="K278" s="9">
        <f>'[1]14- All_India_Index_Upto_April2'!AC278</f>
        <v>162.9</v>
      </c>
      <c r="L278" s="9">
        <f>SUM('[1]14- All_India_Index_Upto_April2'!AB278,'[1]14- All_India_Index_Upto_April2'!AE278)</f>
        <v>309.10000000000002</v>
      </c>
      <c r="M278" s="9">
        <f>'[1]14- All_India_Index_Upto_April2'!AF278</f>
        <v>160.69999999999999</v>
      </c>
    </row>
    <row r="279" spans="1:13" hidden="1">
      <c r="A279" s="9" t="str">
        <f>'[1]14- All_India_Index_Upto_April2'!A279</f>
        <v>Urban</v>
      </c>
      <c r="B279" s="9">
        <f>'[1]14- All_India_Index_Upto_April2'!B279</f>
        <v>2020</v>
      </c>
      <c r="C279" s="9" t="str">
        <f>'[1]14- All_India_Index_Upto_April2'!C279</f>
        <v>December</v>
      </c>
      <c r="D279" s="9" t="str">
        <f t="shared" si="8"/>
        <v>December-2020</v>
      </c>
      <c r="E279" s="46">
        <f t="shared" si="9"/>
        <v>44166</v>
      </c>
      <c r="F279" s="9">
        <f>SUM('[1]14- All_India_Index_Upto_April2'!F279:S279)</f>
        <v>2315.6</v>
      </c>
      <c r="G279" s="9">
        <f>SUM('[1]14- All_India_Index_Upto_April2'!T279:V279)</f>
        <v>438.20000000000005</v>
      </c>
      <c r="H279" s="9" t="e">
        <f>SUM([1]!_14__All_India_Index_Upto_April2[[#This Row],[Housing new]],[1]!_14__All_India_Index_Upto_April2[[#This Row],[Household goods and services]])</f>
        <v>#REF!</v>
      </c>
      <c r="I279" s="9">
        <f>SUM('[1]14- All_India_Index_Upto_April2'!Z279,'[1]14- All_India_Index_Upto_April2'!AD279)</f>
        <v>310.8</v>
      </c>
      <c r="J279" s="9">
        <f>SUM('[1]14- All_India_Index_Upto_April2'!AA279)</f>
        <v>135.5</v>
      </c>
      <c r="K279" s="9">
        <f>'[1]14- All_India_Index_Upto_April2'!AC279</f>
        <v>156.9</v>
      </c>
      <c r="L279" s="9">
        <f>SUM('[1]14- All_India_Index_Upto_April2'!AB279,'[1]14- All_India_Index_Upto_April2'!AE279)</f>
        <v>291.20000000000005</v>
      </c>
      <c r="M279" s="9">
        <f>'[1]14- All_India_Index_Upto_April2'!AF279</f>
        <v>156.9</v>
      </c>
    </row>
    <row r="280" spans="1:13" hidden="1">
      <c r="A280" s="9" t="str">
        <f>'[1]14- All_India_Index_Upto_April2'!A280</f>
        <v>Rural+Urban</v>
      </c>
      <c r="B280" s="9">
        <f>'[1]14- All_India_Index_Upto_April2'!B280</f>
        <v>2020</v>
      </c>
      <c r="C280" s="9" t="str">
        <f>'[1]14- All_India_Index_Upto_April2'!C280</f>
        <v>December</v>
      </c>
      <c r="D280" s="9" t="str">
        <f t="shared" si="8"/>
        <v>December-2020</v>
      </c>
      <c r="E280" s="46">
        <f t="shared" si="9"/>
        <v>44166</v>
      </c>
      <c r="F280" s="9">
        <f>SUM('[1]14- All_India_Index_Upto_April2'!F280:S280)</f>
        <v>2294.5</v>
      </c>
      <c r="G280" s="9">
        <f>SUM('[1]14- All_India_Index_Upto_April2'!T280:V280)</f>
        <v>454</v>
      </c>
      <c r="H280" s="9" t="e">
        <f>SUM([1]!_14__All_India_Index_Upto_April2[[#This Row],[Housing new]],[1]!_14__All_India_Index_Upto_April2[[#This Row],[Household goods and services]])</f>
        <v>#REF!</v>
      </c>
      <c r="I280" s="9">
        <f>SUM('[1]14- All_India_Index_Upto_April2'!Z280,'[1]14- All_India_Index_Upto_April2'!AD280)</f>
        <v>315.39999999999998</v>
      </c>
      <c r="J280" s="9">
        <f>SUM('[1]14- All_India_Index_Upto_April2'!AA280)</f>
        <v>140.69999999999999</v>
      </c>
      <c r="K280" s="9">
        <f>'[1]14- All_India_Index_Upto_April2'!AC280</f>
        <v>159.4</v>
      </c>
      <c r="L280" s="9">
        <f>SUM('[1]14- All_India_Index_Upto_April2'!AB280,'[1]14- All_India_Index_Upto_April2'!AE280)</f>
        <v>299.7</v>
      </c>
      <c r="M280" s="9">
        <f>'[1]14- All_India_Index_Upto_April2'!AF280</f>
        <v>158.9</v>
      </c>
    </row>
    <row r="281" spans="1:13" hidden="1">
      <c r="A281" s="9" t="str">
        <f>'[1]14- All_India_Index_Upto_April2'!A281</f>
        <v>Rural</v>
      </c>
      <c r="B281" s="9">
        <f>'[1]14- All_India_Index_Upto_April2'!B281</f>
        <v>2021</v>
      </c>
      <c r="C281" s="9" t="str">
        <f>'[1]14- All_India_Index_Upto_April2'!C281</f>
        <v>January</v>
      </c>
      <c r="D281" s="9" t="str">
        <f t="shared" si="8"/>
        <v>January-2021</v>
      </c>
      <c r="E281" s="46">
        <f t="shared" si="9"/>
        <v>44197</v>
      </c>
      <c r="F281" s="9">
        <f>SUM('[1]14- All_India_Index_Upto_April2'!F281:S281)</f>
        <v>2250.2999999999997</v>
      </c>
      <c r="G281" s="9">
        <f>SUM('[1]14- All_India_Index_Upto_April2'!T281:V281)</f>
        <v>466.7</v>
      </c>
      <c r="H281" s="9" t="e">
        <f>SUM([1]!_14__All_India_Index_Upto_April2[[#This Row],[Housing new]],[1]!_14__All_India_Index_Upto_April2[[#This Row],[Household goods and services]])</f>
        <v>#REF!</v>
      </c>
      <c r="I281" s="9">
        <f>SUM('[1]14- All_India_Index_Upto_April2'!Z281,'[1]14- All_India_Index_Upto_April2'!AD281)</f>
        <v>318.7</v>
      </c>
      <c r="J281" s="9">
        <f>SUM('[1]14- All_India_Index_Upto_April2'!AA281)</f>
        <v>147.5</v>
      </c>
      <c r="K281" s="9">
        <f>'[1]14- All_India_Index_Upto_April2'!AC281</f>
        <v>163.5</v>
      </c>
      <c r="L281" s="9">
        <f>SUM('[1]14- All_India_Index_Upto_April2'!AB281,'[1]14- All_India_Index_Upto_April2'!AE281)</f>
        <v>311</v>
      </c>
      <c r="M281" s="9">
        <f>'[1]14- All_India_Index_Upto_April2'!AF281</f>
        <v>158.5</v>
      </c>
    </row>
    <row r="282" spans="1:13" hidden="1">
      <c r="A282" s="9" t="str">
        <f>'[1]14- All_India_Index_Upto_April2'!A282</f>
        <v>Urban</v>
      </c>
      <c r="B282" s="9">
        <f>'[1]14- All_India_Index_Upto_April2'!B282</f>
        <v>2021</v>
      </c>
      <c r="C282" s="9" t="str">
        <f>'[1]14- All_India_Index_Upto_April2'!C282</f>
        <v>January</v>
      </c>
      <c r="D282" s="9" t="str">
        <f t="shared" si="8"/>
        <v>January-2021</v>
      </c>
      <c r="E282" s="46">
        <f t="shared" si="9"/>
        <v>44197</v>
      </c>
      <c r="F282" s="9">
        <f>SUM('[1]14- All_India_Index_Upto_April2'!F282:S282)</f>
        <v>2288.8000000000002</v>
      </c>
      <c r="G282" s="9">
        <f>SUM('[1]14- All_India_Index_Upto_April2'!T282:V282)</f>
        <v>440</v>
      </c>
      <c r="H282" s="9" t="e">
        <f>SUM([1]!_14__All_India_Index_Upto_April2[[#This Row],[Housing new]],[1]!_14__All_India_Index_Upto_April2[[#This Row],[Household goods and services]])</f>
        <v>#REF!</v>
      </c>
      <c r="I282" s="9">
        <f>SUM('[1]14- All_India_Index_Upto_April2'!Z282,'[1]14- All_India_Index_Upto_April2'!AD282)</f>
        <v>311.79999999999995</v>
      </c>
      <c r="J282" s="9">
        <f>SUM('[1]14- All_India_Index_Upto_April2'!AA282)</f>
        <v>136.9</v>
      </c>
      <c r="K282" s="9">
        <f>'[1]14- All_India_Index_Upto_April2'!AC282</f>
        <v>156.1</v>
      </c>
      <c r="L282" s="9">
        <f>SUM('[1]14- All_India_Index_Upto_April2'!AB282,'[1]14- All_India_Index_Upto_April2'!AE282)</f>
        <v>293</v>
      </c>
      <c r="M282" s="9">
        <f>'[1]14- All_India_Index_Upto_April2'!AF282</f>
        <v>156</v>
      </c>
    </row>
    <row r="283" spans="1:13">
      <c r="A283" s="9" t="str">
        <f>'[1]14- All_India_Index_Upto_April2'!A283</f>
        <v>Rural+Urban</v>
      </c>
      <c r="B283" s="9">
        <f>'[1]14- All_India_Index_Upto_April2'!B283</f>
        <v>2021</v>
      </c>
      <c r="C283" s="9" t="str">
        <f>'[1]14- All_India_Index_Upto_April2'!C283</f>
        <v>January</v>
      </c>
      <c r="D283" s="9" t="str">
        <f t="shared" si="8"/>
        <v>January-2021</v>
      </c>
      <c r="E283" s="46">
        <f t="shared" si="9"/>
        <v>44197</v>
      </c>
      <c r="F283" s="9">
        <f>SUM('[1]14- All_India_Index_Upto_April2'!F283:S283)</f>
        <v>2263</v>
      </c>
      <c r="G283" s="9">
        <f>SUM('[1]14- All_India_Index_Upto_April2'!T283:V283)</f>
        <v>455.8</v>
      </c>
      <c r="H283" s="9" t="e">
        <f>SUM([1]!_14__All_India_Index_Upto_April2[[#This Row],[Housing new]],[1]!_14__All_India_Index_Upto_April2[[#This Row],[Household goods and services]])</f>
        <v>#REF!</v>
      </c>
      <c r="I283" s="9">
        <f>SUM('[1]14- All_India_Index_Upto_April2'!Z283,'[1]14- All_India_Index_Upto_April2'!AD283)</f>
        <v>316.10000000000002</v>
      </c>
      <c r="J283" s="9">
        <f>SUM('[1]14- All_India_Index_Upto_April2'!AA283)</f>
        <v>141.9</v>
      </c>
      <c r="K283" s="9">
        <f>'[1]14- All_India_Index_Upto_April2'!AC283</f>
        <v>159.19999999999999</v>
      </c>
      <c r="L283" s="9">
        <f>SUM('[1]14- All_India_Index_Upto_April2'!AB283,'[1]14- All_India_Index_Upto_April2'!AE283)</f>
        <v>301.5</v>
      </c>
      <c r="M283" s="9">
        <f>'[1]14- All_India_Index_Upto_April2'!AF283</f>
        <v>157.30000000000001</v>
      </c>
    </row>
    <row r="284" spans="1:13" hidden="1">
      <c r="A284" s="9" t="str">
        <f>'[1]14- All_India_Index_Upto_April2'!A284</f>
        <v>Rural</v>
      </c>
      <c r="B284" s="9">
        <f>'[1]14- All_India_Index_Upto_April2'!B284</f>
        <v>2021</v>
      </c>
      <c r="C284" s="9" t="str">
        <f>'[1]14- All_India_Index_Upto_April2'!C284</f>
        <v>February</v>
      </c>
      <c r="D284" s="9" t="str">
        <f t="shared" si="8"/>
        <v>February-2021</v>
      </c>
      <c r="E284" s="46">
        <f t="shared" si="9"/>
        <v>44228</v>
      </c>
      <c r="F284" s="9">
        <f>SUM('[1]14- All_India_Index_Upto_April2'!F284:S284)</f>
        <v>2211.8000000000002</v>
      </c>
      <c r="G284" s="9">
        <f>SUM('[1]14- All_India_Index_Upto_April2'!T284:V284)</f>
        <v>471.4</v>
      </c>
      <c r="H284" s="9" t="e">
        <f>SUM([1]!_14__All_India_Index_Upto_April2[[#This Row],[Housing new]],[1]!_14__All_India_Index_Upto_April2[[#This Row],[Household goods and services]])</f>
        <v>#REF!</v>
      </c>
      <c r="I284" s="9">
        <f>SUM('[1]14- All_India_Index_Upto_April2'!Z284,'[1]14- All_India_Index_Upto_April2'!AD284)</f>
        <v>319.5</v>
      </c>
      <c r="J284" s="9">
        <f>SUM('[1]14- All_India_Index_Upto_April2'!AA284)</f>
        <v>150.19999999999999</v>
      </c>
      <c r="K284" s="9">
        <f>'[1]14- All_India_Index_Upto_April2'!AC284</f>
        <v>163.6</v>
      </c>
      <c r="L284" s="9">
        <f>SUM('[1]14- All_India_Index_Upto_April2'!AB284,'[1]14- All_India_Index_Upto_April2'!AE284)</f>
        <v>314.2</v>
      </c>
      <c r="M284" s="9">
        <f>'[1]14- All_India_Index_Upto_April2'!AF284</f>
        <v>156.69999999999999</v>
      </c>
    </row>
    <row r="285" spans="1:13" hidden="1">
      <c r="A285" s="9" t="str">
        <f>'[1]14- All_India_Index_Upto_April2'!A285</f>
        <v>Urban</v>
      </c>
      <c r="B285" s="9">
        <f>'[1]14- All_India_Index_Upto_April2'!B285</f>
        <v>2021</v>
      </c>
      <c r="C285" s="9" t="str">
        <f>'[1]14- All_India_Index_Upto_April2'!C285</f>
        <v>February</v>
      </c>
      <c r="D285" s="9" t="str">
        <f t="shared" si="8"/>
        <v>February-2021</v>
      </c>
      <c r="E285" s="46">
        <f t="shared" si="9"/>
        <v>44228</v>
      </c>
      <c r="F285" s="9">
        <f>SUM('[1]14- All_India_Index_Upto_April2'!F285:S285)</f>
        <v>2259.3000000000002</v>
      </c>
      <c r="G285" s="9">
        <f>SUM('[1]14- All_India_Index_Upto_April2'!T285:V285)</f>
        <v>444.2</v>
      </c>
      <c r="H285" s="9" t="e">
        <f>SUM([1]!_14__All_India_Index_Upto_April2[[#This Row],[Housing new]],[1]!_14__All_India_Index_Upto_April2[[#This Row],[Household goods and services]])</f>
        <v>#REF!</v>
      </c>
      <c r="I285" s="9">
        <f>SUM('[1]14- All_India_Index_Upto_April2'!Z285,'[1]14- All_India_Index_Upto_April2'!AD285)</f>
        <v>313</v>
      </c>
      <c r="J285" s="9">
        <f>SUM('[1]14- All_India_Index_Upto_April2'!AA285)</f>
        <v>140.5</v>
      </c>
      <c r="K285" s="9">
        <f>'[1]14- All_India_Index_Upto_April2'!AC285</f>
        <v>156.6</v>
      </c>
      <c r="L285" s="9">
        <f>SUM('[1]14- All_India_Index_Upto_April2'!AB285,'[1]14- All_India_Index_Upto_April2'!AE285)</f>
        <v>296.60000000000002</v>
      </c>
      <c r="M285" s="9">
        <f>'[1]14- All_India_Index_Upto_April2'!AF285</f>
        <v>156.5</v>
      </c>
    </row>
    <row r="286" spans="1:13">
      <c r="A286" s="9" t="str">
        <f>'[1]14- All_India_Index_Upto_April2'!A286</f>
        <v>Rural+Urban</v>
      </c>
      <c r="B286" s="9">
        <f>'[1]14- All_India_Index_Upto_April2'!B286</f>
        <v>2021</v>
      </c>
      <c r="C286" s="9" t="str">
        <f>'[1]14- All_India_Index_Upto_April2'!C286</f>
        <v>February</v>
      </c>
      <c r="D286" s="9" t="str">
        <f t="shared" si="8"/>
        <v>February-2021</v>
      </c>
      <c r="E286" s="46">
        <f t="shared" si="9"/>
        <v>44228</v>
      </c>
      <c r="F286" s="9">
        <f>SUM('[1]14- All_India_Index_Upto_April2'!F286:S286)</f>
        <v>2227.6000000000004</v>
      </c>
      <c r="G286" s="9">
        <f>SUM('[1]14- All_India_Index_Upto_April2'!T286:V286)</f>
        <v>460.40000000000003</v>
      </c>
      <c r="H286" s="9" t="e">
        <f>SUM([1]!_14__All_India_Index_Upto_April2[[#This Row],[Housing new]],[1]!_14__All_India_Index_Upto_April2[[#This Row],[Household goods and services]])</f>
        <v>#REF!</v>
      </c>
      <c r="I286" s="9">
        <f>SUM('[1]14- All_India_Index_Upto_April2'!Z286,'[1]14- All_India_Index_Upto_April2'!AD286)</f>
        <v>317.10000000000002</v>
      </c>
      <c r="J286" s="9">
        <f>SUM('[1]14- All_India_Index_Upto_April2'!AA286)</f>
        <v>145.1</v>
      </c>
      <c r="K286" s="9">
        <f>'[1]14- All_India_Index_Upto_April2'!AC286</f>
        <v>159.5</v>
      </c>
      <c r="L286" s="9">
        <f>SUM('[1]14- All_India_Index_Upto_April2'!AB286,'[1]14- All_India_Index_Upto_April2'!AE286)</f>
        <v>304.89999999999998</v>
      </c>
      <c r="M286" s="9">
        <f>'[1]14- All_India_Index_Upto_April2'!AF286</f>
        <v>156.6</v>
      </c>
    </row>
    <row r="287" spans="1:13" hidden="1">
      <c r="A287" s="9" t="str">
        <f>'[1]14- All_India_Index_Upto_April2'!A287</f>
        <v>Rural</v>
      </c>
      <c r="B287" s="9">
        <f>'[1]14- All_India_Index_Upto_April2'!B287</f>
        <v>2021</v>
      </c>
      <c r="C287" s="9" t="str">
        <f>'[1]14- All_India_Index_Upto_April2'!C287</f>
        <v>March</v>
      </c>
      <c r="D287" s="9" t="str">
        <f t="shared" si="8"/>
        <v>March-2021</v>
      </c>
      <c r="E287" s="46">
        <f t="shared" si="9"/>
        <v>44256</v>
      </c>
      <c r="F287" s="9">
        <f>SUM('[1]14- All_India_Index_Upto_April2'!F287:S287)</f>
        <v>2211.8000000000002</v>
      </c>
      <c r="G287" s="9">
        <f>SUM('[1]14- All_India_Index_Upto_April2'!T287:V287)</f>
        <v>472.9</v>
      </c>
      <c r="H287" s="9" t="e">
        <f>SUM([1]!_14__All_India_Index_Upto_April2[[#This Row],[Housing new]],[1]!_14__All_India_Index_Upto_April2[[#This Row],[Household goods and services]])</f>
        <v>#REF!</v>
      </c>
      <c r="I287" s="9">
        <f>SUM('[1]14- All_India_Index_Upto_April2'!Z287,'[1]14- All_India_Index_Upto_April2'!AD287)</f>
        <v>317.7</v>
      </c>
      <c r="J287" s="9">
        <f>SUM('[1]14- All_India_Index_Upto_April2'!AA287)</f>
        <v>151.30000000000001</v>
      </c>
      <c r="K287" s="9">
        <f>'[1]14- All_India_Index_Upto_April2'!AC287</f>
        <v>163.80000000000001</v>
      </c>
      <c r="L287" s="9">
        <f>SUM('[1]14- All_India_Index_Upto_April2'!AB287,'[1]14- All_India_Index_Upto_April2'!AE287)</f>
        <v>315.10000000000002</v>
      </c>
      <c r="M287" s="9">
        <f>'[1]14- All_India_Index_Upto_April2'!AF287</f>
        <v>156.69999999999999</v>
      </c>
    </row>
    <row r="288" spans="1:13" hidden="1">
      <c r="A288" s="9" t="str">
        <f>'[1]14- All_India_Index_Upto_April2'!A288</f>
        <v>Urban</v>
      </c>
      <c r="B288" s="9">
        <f>'[1]14- All_India_Index_Upto_April2'!B288</f>
        <v>2021</v>
      </c>
      <c r="C288" s="9" t="str">
        <f>'[1]14- All_India_Index_Upto_April2'!C288</f>
        <v>March</v>
      </c>
      <c r="D288" s="9" t="str">
        <f t="shared" si="8"/>
        <v>March-2021</v>
      </c>
      <c r="E288" s="46">
        <f t="shared" si="9"/>
        <v>44256</v>
      </c>
      <c r="F288" s="9">
        <f>SUM('[1]14- All_India_Index_Upto_April2'!F288:S288)</f>
        <v>2257.9999999999995</v>
      </c>
      <c r="G288" s="9">
        <f>SUM('[1]14- All_India_Index_Upto_April2'!T288:V288)</f>
        <v>446.4</v>
      </c>
      <c r="H288" s="9" t="e">
        <f>SUM([1]!_14__All_India_Index_Upto_April2[[#This Row],[Housing new]],[1]!_14__All_India_Index_Upto_April2[[#This Row],[Household goods and services]])</f>
        <v>#REF!</v>
      </c>
      <c r="I288" s="9">
        <f>SUM('[1]14- All_India_Index_Upto_April2'!Z288,'[1]14- All_India_Index_Upto_April2'!AD288)</f>
        <v>311.8</v>
      </c>
      <c r="J288" s="9">
        <f>SUM('[1]14- All_India_Index_Upto_April2'!AA288)</f>
        <v>141.69999999999999</v>
      </c>
      <c r="K288" s="9">
        <f>'[1]14- All_India_Index_Upto_April2'!AC288</f>
        <v>157.6</v>
      </c>
      <c r="L288" s="9">
        <f>SUM('[1]14- All_India_Index_Upto_April2'!AB288,'[1]14- All_India_Index_Upto_April2'!AE288)</f>
        <v>298.60000000000002</v>
      </c>
      <c r="M288" s="9">
        <f>'[1]14- All_India_Index_Upto_April2'!AF288</f>
        <v>156.9</v>
      </c>
    </row>
    <row r="289" spans="1:13">
      <c r="A289" s="9" t="str">
        <f>'[1]14- All_India_Index_Upto_April2'!A289</f>
        <v>Rural+Urban</v>
      </c>
      <c r="B289" s="9">
        <f>'[1]14- All_India_Index_Upto_April2'!B289</f>
        <v>2021</v>
      </c>
      <c r="C289" s="9" t="str">
        <f>'[1]14- All_India_Index_Upto_April2'!C289</f>
        <v>March</v>
      </c>
      <c r="D289" s="9" t="str">
        <f t="shared" si="8"/>
        <v>March-2021</v>
      </c>
      <c r="E289" s="46">
        <f t="shared" si="9"/>
        <v>44256</v>
      </c>
      <c r="F289" s="9">
        <f>SUM('[1]14- All_India_Index_Upto_April2'!F289:S289)</f>
        <v>2227.5</v>
      </c>
      <c r="G289" s="9">
        <f>SUM('[1]14- All_India_Index_Upto_April2'!T289:V289)</f>
        <v>462.1</v>
      </c>
      <c r="H289" s="9" t="e">
        <f>SUM([1]!_14__All_India_Index_Upto_April2[[#This Row],[Housing new]],[1]!_14__All_India_Index_Upto_April2[[#This Row],[Household goods and services]])</f>
        <v>#REF!</v>
      </c>
      <c r="I289" s="9">
        <f>SUM('[1]14- All_India_Index_Upto_April2'!Z289,'[1]14- All_India_Index_Upto_April2'!AD289)</f>
        <v>315.5</v>
      </c>
      <c r="J289" s="9">
        <f>SUM('[1]14- All_India_Index_Upto_April2'!AA289)</f>
        <v>146.19999999999999</v>
      </c>
      <c r="K289" s="9">
        <f>'[1]14- All_India_Index_Upto_April2'!AC289</f>
        <v>160.19999999999999</v>
      </c>
      <c r="L289" s="9">
        <f>SUM('[1]14- All_India_Index_Upto_April2'!AB289,'[1]14- All_India_Index_Upto_April2'!AE289)</f>
        <v>306.39999999999998</v>
      </c>
      <c r="M289" s="9">
        <f>'[1]14- All_India_Index_Upto_April2'!AF289</f>
        <v>156.80000000000001</v>
      </c>
    </row>
    <row r="290" spans="1:13" hidden="1">
      <c r="A290" s="9" t="str">
        <f>'[1]14- All_India_Index_Upto_April2'!A290</f>
        <v>Rural</v>
      </c>
      <c r="B290" s="9">
        <f>'[1]14- All_India_Index_Upto_April2'!B290</f>
        <v>2021</v>
      </c>
      <c r="C290" s="9" t="str">
        <f>'[1]14- All_India_Index_Upto_April2'!C290</f>
        <v>April</v>
      </c>
      <c r="D290" s="9" t="str">
        <f t="shared" si="8"/>
        <v>April-2021</v>
      </c>
      <c r="E290" s="46">
        <f t="shared" si="9"/>
        <v>44287</v>
      </c>
      <c r="F290" s="9">
        <f>SUM('[1]14- All_India_Index_Upto_April2'!F290:S290)</f>
        <v>2236.3000000000002</v>
      </c>
      <c r="G290" s="9">
        <f>SUM('[1]14- All_India_Index_Upto_April2'!T290:V290)</f>
        <v>475.69999999999993</v>
      </c>
      <c r="H290" s="9" t="e">
        <f>SUM([1]!_14__All_India_Index_Upto_April2[[#This Row],[Housing new]],[1]!_14__All_India_Index_Upto_April2[[#This Row],[Household goods and services]])</f>
        <v>#REF!</v>
      </c>
      <c r="I290" s="9">
        <f>SUM('[1]14- All_India_Index_Upto_April2'!Z290,'[1]14- All_India_Index_Upto_April2'!AD290)</f>
        <v>319.89999999999998</v>
      </c>
      <c r="J290" s="9">
        <f>SUM('[1]14- All_India_Index_Upto_April2'!AA290)</f>
        <v>151.69999999999999</v>
      </c>
      <c r="K290" s="9">
        <f>'[1]14- All_India_Index_Upto_April2'!AC290</f>
        <v>164.1</v>
      </c>
      <c r="L290" s="9">
        <f>SUM('[1]14- All_India_Index_Upto_April2'!AB290,'[1]14- All_India_Index_Upto_April2'!AE290)</f>
        <v>316.60000000000002</v>
      </c>
      <c r="M290" s="9">
        <f>'[1]14- All_India_Index_Upto_April2'!AF290</f>
        <v>157.6</v>
      </c>
    </row>
    <row r="291" spans="1:13" hidden="1">
      <c r="A291" s="9" t="str">
        <f>'[1]14- All_India_Index_Upto_April2'!A291</f>
        <v>Urban</v>
      </c>
      <c r="B291" s="9">
        <f>'[1]14- All_India_Index_Upto_April2'!B291</f>
        <v>2021</v>
      </c>
      <c r="C291" s="9" t="str">
        <f>'[1]14- All_India_Index_Upto_April2'!C291</f>
        <v>April</v>
      </c>
      <c r="D291" s="9" t="str">
        <f t="shared" si="8"/>
        <v>April-2021</v>
      </c>
      <c r="E291" s="46">
        <f t="shared" si="9"/>
        <v>44287</v>
      </c>
      <c r="F291" s="9">
        <f>SUM('[1]14- All_India_Index_Upto_April2'!F291:S291)</f>
        <v>2284</v>
      </c>
      <c r="G291" s="9">
        <f>SUM('[1]14- All_India_Index_Upto_April2'!T291:V291)</f>
        <v>448.6</v>
      </c>
      <c r="H291" s="9" t="e">
        <f>SUM([1]!_14__All_India_Index_Upto_April2[[#This Row],[Housing new]],[1]!_14__All_India_Index_Upto_April2[[#This Row],[Household goods and services]])</f>
        <v>#REF!</v>
      </c>
      <c r="I291" s="9">
        <f>SUM('[1]14- All_India_Index_Upto_April2'!Z291,'[1]14- All_India_Index_Upto_April2'!AD291)</f>
        <v>314.10000000000002</v>
      </c>
      <c r="J291" s="9">
        <f>SUM('[1]14- All_India_Index_Upto_April2'!AA291)</f>
        <v>142.1</v>
      </c>
      <c r="K291" s="9">
        <f>'[1]14- All_India_Index_Upto_April2'!AC291</f>
        <v>157.6</v>
      </c>
      <c r="L291" s="9">
        <f>SUM('[1]14- All_India_Index_Upto_April2'!AB291,'[1]14- All_India_Index_Upto_April2'!AE291)</f>
        <v>299.60000000000002</v>
      </c>
      <c r="M291" s="9">
        <f>'[1]14- All_India_Index_Upto_April2'!AF291</f>
        <v>158</v>
      </c>
    </row>
    <row r="292" spans="1:13">
      <c r="A292" s="9" t="str">
        <f>'[1]14- All_India_Index_Upto_April2'!A292</f>
        <v>Rural+Urban</v>
      </c>
      <c r="B292" s="9">
        <f>'[1]14- All_India_Index_Upto_April2'!B292</f>
        <v>2021</v>
      </c>
      <c r="C292" s="9" t="str">
        <f>'[1]14- All_India_Index_Upto_April2'!C292</f>
        <v>April</v>
      </c>
      <c r="D292" s="9" t="str">
        <f t="shared" si="8"/>
        <v>April-2021</v>
      </c>
      <c r="E292" s="46">
        <f t="shared" si="9"/>
        <v>44287</v>
      </c>
      <c r="F292" s="9">
        <f>SUM('[1]14- All_India_Index_Upto_April2'!F292:S292)</f>
        <v>2252.9</v>
      </c>
      <c r="G292" s="9">
        <f>SUM('[1]14- All_India_Index_Upto_April2'!T292:V292)</f>
        <v>464.6</v>
      </c>
      <c r="H292" s="9" t="e">
        <f>SUM([1]!_14__All_India_Index_Upto_April2[[#This Row],[Housing new]],[1]!_14__All_India_Index_Upto_April2[[#This Row],[Household goods and services]])</f>
        <v>#REF!</v>
      </c>
      <c r="I292" s="9">
        <f>SUM('[1]14- All_India_Index_Upto_April2'!Z292,'[1]14- All_India_Index_Upto_April2'!AD292)</f>
        <v>317.70000000000005</v>
      </c>
      <c r="J292" s="9">
        <f>SUM('[1]14- All_India_Index_Upto_April2'!AA292)</f>
        <v>146.6</v>
      </c>
      <c r="K292" s="9">
        <f>'[1]14- All_India_Index_Upto_April2'!AC292</f>
        <v>160.30000000000001</v>
      </c>
      <c r="L292" s="9">
        <f>SUM('[1]14- All_India_Index_Upto_April2'!AB292,'[1]14- All_India_Index_Upto_April2'!AE292)</f>
        <v>307.60000000000002</v>
      </c>
      <c r="M292" s="9">
        <f>'[1]14- All_India_Index_Upto_April2'!AF292</f>
        <v>157.80000000000001</v>
      </c>
    </row>
    <row r="293" spans="1:13" hidden="1">
      <c r="A293" s="9" t="str">
        <f>'[1]14- All_India_Index_Upto_April2'!A293</f>
        <v>Rural</v>
      </c>
      <c r="B293" s="9">
        <f>'[1]14- All_India_Index_Upto_April2'!B293</f>
        <v>2021</v>
      </c>
      <c r="C293" s="9" t="str">
        <f>'[1]14- All_India_Index_Upto_April2'!C293</f>
        <v>May</v>
      </c>
      <c r="D293" s="9" t="str">
        <f t="shared" si="8"/>
        <v>May-2021</v>
      </c>
      <c r="E293" s="46">
        <f t="shared" si="9"/>
        <v>44317</v>
      </c>
      <c r="F293" s="9">
        <f>SUM('[1]14- All_India_Index_Upto_April2'!F293:S293)</f>
        <v>2284.8999999999996</v>
      </c>
      <c r="G293" s="9">
        <f>SUM('[1]14- All_India_Index_Upto_April2'!T293:V293)</f>
        <v>490.4</v>
      </c>
      <c r="H293" s="9" t="e">
        <f>SUM([1]!_14__All_India_Index_Upto_April2[[#This Row],[Housing new]],[1]!_14__All_India_Index_Upto_April2[[#This Row],[Household goods and services]])</f>
        <v>#REF!</v>
      </c>
      <c r="I293" s="9">
        <f>SUM('[1]14- All_India_Index_Upto_April2'!Z293,'[1]14- All_India_Index_Upto_April2'!AD293)</f>
        <v>328.4</v>
      </c>
      <c r="J293" s="9">
        <f>SUM('[1]14- All_India_Index_Upto_April2'!AA293)</f>
        <v>153.19999999999999</v>
      </c>
      <c r="K293" s="9">
        <f>'[1]14- All_India_Index_Upto_April2'!AC293</f>
        <v>167.6</v>
      </c>
      <c r="L293" s="9">
        <f>SUM('[1]14- All_India_Index_Upto_April2'!AB293,'[1]14- All_India_Index_Upto_April2'!AE293)</f>
        <v>321.10000000000002</v>
      </c>
      <c r="M293" s="9">
        <f>'[1]14- All_India_Index_Upto_April2'!AF293</f>
        <v>161.1</v>
      </c>
    </row>
    <row r="294" spans="1:13" hidden="1">
      <c r="A294" s="9" t="str">
        <f>'[1]14- All_India_Index_Upto_April2'!A294</f>
        <v>Urban</v>
      </c>
      <c r="B294" s="9">
        <f>'[1]14- All_India_Index_Upto_April2'!B294</f>
        <v>2021</v>
      </c>
      <c r="C294" s="9" t="str">
        <f>'[1]14- All_India_Index_Upto_April2'!C294</f>
        <v>May</v>
      </c>
      <c r="D294" s="9" t="str">
        <f t="shared" si="8"/>
        <v>May-2021</v>
      </c>
      <c r="E294" s="46">
        <f t="shared" si="9"/>
        <v>44317</v>
      </c>
      <c r="F294" s="9">
        <f>SUM('[1]14- All_India_Index_Upto_April2'!F294:S294)</f>
        <v>2322.9</v>
      </c>
      <c r="G294" s="9">
        <f>SUM('[1]14- All_India_Index_Upto_April2'!T294:V294)</f>
        <v>450.79999999999995</v>
      </c>
      <c r="H294" s="9" t="e">
        <f>SUM([1]!_14__All_India_Index_Upto_April2[[#This Row],[Housing new]],[1]!_14__All_India_Index_Upto_April2[[#This Row],[Household goods and services]])</f>
        <v>#REF!</v>
      </c>
      <c r="I294" s="9">
        <f>SUM('[1]14- All_India_Index_Upto_April2'!Z294,'[1]14- All_India_Index_Upto_April2'!AD294)</f>
        <v>317.89999999999998</v>
      </c>
      <c r="J294" s="9">
        <f>SUM('[1]14- All_India_Index_Upto_April2'!AA294)</f>
        <v>145</v>
      </c>
      <c r="K294" s="9">
        <f>'[1]14- All_India_Index_Upto_April2'!AC294</f>
        <v>156.6</v>
      </c>
      <c r="L294" s="9">
        <f>SUM('[1]14- All_India_Index_Upto_April2'!AB294,'[1]14- All_India_Index_Upto_April2'!AE294)</f>
        <v>304.89999999999998</v>
      </c>
      <c r="M294" s="9">
        <f>'[1]14- All_India_Index_Upto_April2'!AF294</f>
        <v>159.5</v>
      </c>
    </row>
    <row r="295" spans="1:13">
      <c r="A295" s="9" t="str">
        <f>'[1]14- All_India_Index_Upto_April2'!A295</f>
        <v>Rural+Urban</v>
      </c>
      <c r="B295" s="9">
        <f>'[1]14- All_India_Index_Upto_April2'!B295</f>
        <v>2021</v>
      </c>
      <c r="C295" s="9" t="str">
        <f>'[1]14- All_India_Index_Upto_April2'!C295</f>
        <v>May</v>
      </c>
      <c r="D295" s="9" t="str">
        <f t="shared" si="8"/>
        <v>May-2021</v>
      </c>
      <c r="E295" s="46">
        <f t="shared" si="9"/>
        <v>44317</v>
      </c>
      <c r="F295" s="9">
        <f>SUM('[1]14- All_India_Index_Upto_April2'!F295:S295)</f>
        <v>2297.6000000000004</v>
      </c>
      <c r="G295" s="9">
        <f>SUM('[1]14- All_India_Index_Upto_April2'!T295:V295)</f>
        <v>474.29999999999995</v>
      </c>
      <c r="H295" s="9" t="e">
        <f>SUM([1]!_14__All_India_Index_Upto_April2[[#This Row],[Housing new]],[1]!_14__All_India_Index_Upto_April2[[#This Row],[Household goods and services]])</f>
        <v>#REF!</v>
      </c>
      <c r="I295" s="9">
        <f>SUM('[1]14- All_India_Index_Upto_April2'!Z295,'[1]14- All_India_Index_Upto_April2'!AD295)</f>
        <v>324.39999999999998</v>
      </c>
      <c r="J295" s="9">
        <f>SUM('[1]14- All_India_Index_Upto_April2'!AA295)</f>
        <v>148.9</v>
      </c>
      <c r="K295" s="9">
        <f>'[1]14- All_India_Index_Upto_April2'!AC295</f>
        <v>161.19999999999999</v>
      </c>
      <c r="L295" s="9">
        <f>SUM('[1]14- All_India_Index_Upto_April2'!AB295,'[1]14- All_India_Index_Upto_April2'!AE295)</f>
        <v>312.60000000000002</v>
      </c>
      <c r="M295" s="9">
        <f>'[1]14- All_India_Index_Upto_April2'!AF295</f>
        <v>160.4</v>
      </c>
    </row>
    <row r="296" spans="1:13" hidden="1">
      <c r="A296" s="9" t="str">
        <f>'[1]14- All_India_Index_Upto_April2'!A296</f>
        <v>Rural</v>
      </c>
      <c r="B296" s="9">
        <f>'[1]14- All_India_Index_Upto_April2'!B296</f>
        <v>2021</v>
      </c>
      <c r="C296" s="9" t="str">
        <f>'[1]14- All_India_Index_Upto_April2'!C296</f>
        <v>June</v>
      </c>
      <c r="D296" s="9" t="str">
        <f t="shared" si="8"/>
        <v>June-2021</v>
      </c>
      <c r="E296" s="46">
        <f t="shared" si="9"/>
        <v>44348</v>
      </c>
      <c r="F296" s="9">
        <f>SUM('[1]14- All_India_Index_Upto_April2'!F296:S296)</f>
        <v>2311.6999999999998</v>
      </c>
      <c r="G296" s="9">
        <f>SUM('[1]14- All_India_Index_Upto_April2'!T296:V296)</f>
        <v>489.80000000000007</v>
      </c>
      <c r="H296" s="9" t="e">
        <f>SUM([1]!_14__All_India_Index_Upto_April2[[#This Row],[Housing new]],[1]!_14__All_India_Index_Upto_April2[[#This Row],[Household goods and services]])</f>
        <v>#REF!</v>
      </c>
      <c r="I296" s="9">
        <f>SUM('[1]14- All_India_Index_Upto_April2'!Z296,'[1]14- All_India_Index_Upto_April2'!AD296)</f>
        <v>329.1</v>
      </c>
      <c r="J296" s="9">
        <f>SUM('[1]14- All_India_Index_Upto_April2'!AA296)</f>
        <v>154.19999999999999</v>
      </c>
      <c r="K296" s="9">
        <f>'[1]14- All_India_Index_Upto_April2'!AC296</f>
        <v>166.8</v>
      </c>
      <c r="L296" s="9">
        <f>SUM('[1]14- All_India_Index_Upto_April2'!AB296,'[1]14- All_India_Index_Upto_April2'!AE296)</f>
        <v>321.89999999999998</v>
      </c>
      <c r="M296" s="9">
        <f>'[1]14- All_India_Index_Upto_April2'!AF296</f>
        <v>162.1</v>
      </c>
    </row>
    <row r="297" spans="1:13" hidden="1">
      <c r="A297" s="9" t="str">
        <f>'[1]14- All_India_Index_Upto_April2'!A297</f>
        <v>Urban</v>
      </c>
      <c r="B297" s="9">
        <f>'[1]14- All_India_Index_Upto_April2'!B297</f>
        <v>2021</v>
      </c>
      <c r="C297" s="9" t="str">
        <f>'[1]14- All_India_Index_Upto_April2'!C297</f>
        <v>June</v>
      </c>
      <c r="D297" s="9" t="str">
        <f t="shared" si="8"/>
        <v>June-2021</v>
      </c>
      <c r="E297" s="46">
        <f t="shared" si="9"/>
        <v>44348</v>
      </c>
      <c r="F297" s="9">
        <f>SUM('[1]14- All_India_Index_Upto_April2'!F297:S297)</f>
        <v>2349.7999999999997</v>
      </c>
      <c r="G297" s="9">
        <f>SUM('[1]14- All_India_Index_Upto_April2'!T297:V297)</f>
        <v>452.6</v>
      </c>
      <c r="H297" s="9" t="e">
        <f>SUM([1]!_14__All_India_Index_Upto_April2[[#This Row],[Housing new]],[1]!_14__All_India_Index_Upto_April2[[#This Row],[Household goods and services]])</f>
        <v>#REF!</v>
      </c>
      <c r="I297" s="9">
        <f>SUM('[1]14- All_India_Index_Upto_April2'!Z297,'[1]14- All_India_Index_Upto_April2'!AD297)</f>
        <v>318.8</v>
      </c>
      <c r="J297" s="9">
        <f>SUM('[1]14- All_India_Index_Upto_April2'!AA297)</f>
        <v>147.5</v>
      </c>
      <c r="K297" s="9">
        <f>'[1]14- All_India_Index_Upto_April2'!AC297</f>
        <v>158.1</v>
      </c>
      <c r="L297" s="9">
        <f>SUM('[1]14- All_India_Index_Upto_April2'!AB297,'[1]14- All_India_Index_Upto_April2'!AE297)</f>
        <v>304.10000000000002</v>
      </c>
      <c r="M297" s="9">
        <f>'[1]14- All_India_Index_Upto_April2'!AF297</f>
        <v>160.4</v>
      </c>
    </row>
    <row r="298" spans="1:13">
      <c r="A298" s="9" t="str">
        <f>'[1]14- All_India_Index_Upto_April2'!A298</f>
        <v>Rural+Urban</v>
      </c>
      <c r="B298" s="9">
        <f>'[1]14- All_India_Index_Upto_April2'!B298</f>
        <v>2021</v>
      </c>
      <c r="C298" s="9" t="str">
        <f>'[1]14- All_India_Index_Upto_April2'!C298</f>
        <v>June</v>
      </c>
      <c r="D298" s="9" t="str">
        <f t="shared" si="8"/>
        <v>June-2021</v>
      </c>
      <c r="E298" s="46">
        <f t="shared" si="9"/>
        <v>44348</v>
      </c>
      <c r="F298" s="9">
        <f>SUM('[1]14- All_India_Index_Upto_April2'!F298:S298)</f>
        <v>2324.7000000000003</v>
      </c>
      <c r="G298" s="9">
        <f>SUM('[1]14- All_India_Index_Upto_April2'!T298:V298)</f>
        <v>474.7</v>
      </c>
      <c r="H298" s="9" t="e">
        <f>SUM([1]!_14__All_India_Index_Upto_April2[[#This Row],[Housing new]],[1]!_14__All_India_Index_Upto_April2[[#This Row],[Household goods and services]])</f>
        <v>#REF!</v>
      </c>
      <c r="I298" s="9">
        <f>SUM('[1]14- All_India_Index_Upto_April2'!Z298,'[1]14- All_India_Index_Upto_April2'!AD298)</f>
        <v>325.10000000000002</v>
      </c>
      <c r="J298" s="9">
        <f>SUM('[1]14- All_India_Index_Upto_April2'!AA298)</f>
        <v>150.69999999999999</v>
      </c>
      <c r="K298" s="9">
        <f>'[1]14- All_India_Index_Upto_April2'!AC298</f>
        <v>161.69999999999999</v>
      </c>
      <c r="L298" s="9">
        <f>SUM('[1]14- All_India_Index_Upto_April2'!AB298,'[1]14- All_India_Index_Upto_April2'!AE298)</f>
        <v>312.5</v>
      </c>
      <c r="M298" s="9">
        <f>'[1]14- All_India_Index_Upto_April2'!AF298</f>
        <v>161.30000000000001</v>
      </c>
    </row>
    <row r="299" spans="1:13" hidden="1">
      <c r="A299" s="9" t="str">
        <f>'[1]14- All_India_Index_Upto_April2'!A299</f>
        <v>Rural</v>
      </c>
      <c r="B299" s="9">
        <f>'[1]14- All_India_Index_Upto_April2'!B299</f>
        <v>2021</v>
      </c>
      <c r="C299" s="9" t="str">
        <f>'[1]14- All_India_Index_Upto_April2'!C299</f>
        <v>July</v>
      </c>
      <c r="D299" s="9" t="str">
        <f t="shared" si="8"/>
        <v>July-2021</v>
      </c>
      <c r="E299" s="46">
        <f t="shared" si="9"/>
        <v>44378</v>
      </c>
      <c r="F299" s="9">
        <f>SUM('[1]14- All_India_Index_Upto_April2'!F299:S299)</f>
        <v>2322.1</v>
      </c>
      <c r="G299" s="9">
        <f>SUM('[1]14- All_India_Index_Upto_April2'!T299:V299)</f>
        <v>492.40000000000003</v>
      </c>
      <c r="H299" s="9" t="e">
        <f>SUM([1]!_14__All_India_Index_Upto_April2[[#This Row],[Housing new]],[1]!_14__All_India_Index_Upto_April2[[#This Row],[Household goods and services]])</f>
        <v>#REF!</v>
      </c>
      <c r="I299" s="9">
        <f>SUM('[1]14- All_India_Index_Upto_April2'!Z299,'[1]14- All_India_Index_Upto_April2'!AD299)</f>
        <v>330.8</v>
      </c>
      <c r="J299" s="9">
        <f>SUM('[1]14- All_India_Index_Upto_April2'!AA299)</f>
        <v>157.1</v>
      </c>
      <c r="K299" s="9">
        <f>'[1]14- All_India_Index_Upto_April2'!AC299</f>
        <v>167.2</v>
      </c>
      <c r="L299" s="9">
        <f>SUM('[1]14- All_India_Index_Upto_April2'!AB299,'[1]14- All_India_Index_Upto_April2'!AE299)</f>
        <v>323.5</v>
      </c>
      <c r="M299" s="9">
        <f>'[1]14- All_India_Index_Upto_April2'!AF299</f>
        <v>163.19999999999999</v>
      </c>
    </row>
    <row r="300" spans="1:13" hidden="1">
      <c r="A300" s="9" t="str">
        <f>'[1]14- All_India_Index_Upto_April2'!A300</f>
        <v>Urban</v>
      </c>
      <c r="B300" s="9">
        <f>'[1]14- All_India_Index_Upto_April2'!B300</f>
        <v>2021</v>
      </c>
      <c r="C300" s="9" t="str">
        <f>'[1]14- All_India_Index_Upto_April2'!C300</f>
        <v>July</v>
      </c>
      <c r="D300" s="9" t="str">
        <f t="shared" si="8"/>
        <v>July-2021</v>
      </c>
      <c r="E300" s="46">
        <f t="shared" si="9"/>
        <v>44378</v>
      </c>
      <c r="F300" s="9">
        <f>SUM('[1]14- All_India_Index_Upto_April2'!F300:S300)</f>
        <v>2367.3000000000002</v>
      </c>
      <c r="G300" s="9">
        <f>SUM('[1]14- All_India_Index_Upto_April2'!T300:V300)</f>
        <v>455.3</v>
      </c>
      <c r="H300" s="9" t="e">
        <f>SUM([1]!_14__All_India_Index_Upto_April2[[#This Row],[Housing new]],[1]!_14__All_India_Index_Upto_April2[[#This Row],[Household goods and services]])</f>
        <v>#REF!</v>
      </c>
      <c r="I300" s="9">
        <f>SUM('[1]14- All_India_Index_Upto_April2'!Z300,'[1]14- All_India_Index_Upto_April2'!AD300)</f>
        <v>321.10000000000002</v>
      </c>
      <c r="J300" s="9">
        <f>SUM('[1]14- All_India_Index_Upto_April2'!AA300)</f>
        <v>149.5</v>
      </c>
      <c r="K300" s="9">
        <f>'[1]14- All_India_Index_Upto_April2'!AC300</f>
        <v>160.30000000000001</v>
      </c>
      <c r="L300" s="9">
        <f>SUM('[1]14- All_India_Index_Upto_April2'!AB300,'[1]14- All_India_Index_Upto_April2'!AE300)</f>
        <v>306.2</v>
      </c>
      <c r="M300" s="9">
        <f>'[1]14- All_India_Index_Upto_April2'!AF300</f>
        <v>161.80000000000001</v>
      </c>
    </row>
    <row r="301" spans="1:13">
      <c r="A301" s="9" t="str">
        <f>'[1]14- All_India_Index_Upto_April2'!A301</f>
        <v>Rural+Urban</v>
      </c>
      <c r="B301" s="9">
        <f>'[1]14- All_India_Index_Upto_April2'!B301</f>
        <v>2021</v>
      </c>
      <c r="C301" s="9" t="str">
        <f>'[1]14- All_India_Index_Upto_April2'!C301</f>
        <v>July</v>
      </c>
      <c r="D301" s="9" t="str">
        <f t="shared" si="8"/>
        <v>July-2021</v>
      </c>
      <c r="E301" s="46">
        <f t="shared" si="9"/>
        <v>44378</v>
      </c>
      <c r="F301" s="9">
        <f>SUM('[1]14- All_India_Index_Upto_April2'!F301:S301)</f>
        <v>2338.1999999999998</v>
      </c>
      <c r="G301" s="9">
        <f>SUM('[1]14- All_India_Index_Upto_April2'!T301:V301)</f>
        <v>477.29999999999995</v>
      </c>
      <c r="H301" s="9" t="e">
        <f>SUM([1]!_14__All_India_Index_Upto_April2[[#This Row],[Housing new]],[1]!_14__All_India_Index_Upto_April2[[#This Row],[Household goods and services]])</f>
        <v>#REF!</v>
      </c>
      <c r="I301" s="9">
        <f>SUM('[1]14- All_India_Index_Upto_April2'!Z301,'[1]14- All_India_Index_Upto_April2'!AD301)</f>
        <v>327.10000000000002</v>
      </c>
      <c r="J301" s="9">
        <f>SUM('[1]14- All_India_Index_Upto_April2'!AA301)</f>
        <v>153.1</v>
      </c>
      <c r="K301" s="9">
        <f>'[1]14- All_India_Index_Upto_April2'!AC301</f>
        <v>163.19999999999999</v>
      </c>
      <c r="L301" s="9">
        <f>SUM('[1]14- All_India_Index_Upto_April2'!AB301,'[1]14- All_India_Index_Upto_April2'!AE301)</f>
        <v>314.3</v>
      </c>
      <c r="M301" s="9">
        <f>'[1]14- All_India_Index_Upto_April2'!AF301</f>
        <v>162.5</v>
      </c>
    </row>
    <row r="302" spans="1:13" hidden="1">
      <c r="A302" s="9" t="str">
        <f>'[1]14- All_India_Index_Upto_April2'!A302</f>
        <v>Rural</v>
      </c>
      <c r="B302" s="9">
        <f>'[1]14- All_India_Index_Upto_April2'!B302</f>
        <v>2021</v>
      </c>
      <c r="C302" s="9" t="str">
        <f>'[1]14- All_India_Index_Upto_April2'!C302</f>
        <v>August</v>
      </c>
      <c r="D302" s="9" t="str">
        <f t="shared" si="8"/>
        <v>August-2021</v>
      </c>
      <c r="E302" s="46">
        <f t="shared" si="9"/>
        <v>44409</v>
      </c>
      <c r="F302" s="9">
        <f>SUM('[1]14- All_India_Index_Upto_April2'!F302:S302)</f>
        <v>2321</v>
      </c>
      <c r="G302" s="9">
        <f>SUM('[1]14- All_India_Index_Upto_April2'!T302:V302)</f>
        <v>495.90000000000003</v>
      </c>
      <c r="H302" s="9" t="e">
        <f>SUM([1]!_14__All_India_Index_Upto_April2[[#This Row],[Housing new]],[1]!_14__All_India_Index_Upto_April2[[#This Row],[Household goods and services]])</f>
        <v>#REF!</v>
      </c>
      <c r="I302" s="9">
        <f>SUM('[1]14- All_India_Index_Upto_April2'!Z302,'[1]14- All_India_Index_Upto_April2'!AD302)</f>
        <v>331.4</v>
      </c>
      <c r="J302" s="9">
        <f>SUM('[1]14- All_India_Index_Upto_April2'!AA302)</f>
        <v>157.69999999999999</v>
      </c>
      <c r="K302" s="9">
        <f>'[1]14- All_India_Index_Upto_April2'!AC302</f>
        <v>167.5</v>
      </c>
      <c r="L302" s="9">
        <f>SUM('[1]14- All_India_Index_Upto_April2'!AB302,'[1]14- All_India_Index_Upto_April2'!AE302)</f>
        <v>324.39999999999998</v>
      </c>
      <c r="M302" s="9">
        <f>'[1]14- All_India_Index_Upto_April2'!AF302</f>
        <v>163.6</v>
      </c>
    </row>
    <row r="303" spans="1:13" hidden="1">
      <c r="A303" s="9" t="str">
        <f>'[1]14- All_India_Index_Upto_April2'!A303</f>
        <v>Urban</v>
      </c>
      <c r="B303" s="9">
        <f>'[1]14- All_India_Index_Upto_April2'!B303</f>
        <v>2021</v>
      </c>
      <c r="C303" s="9" t="str">
        <f>'[1]14- All_India_Index_Upto_April2'!C303</f>
        <v>August</v>
      </c>
      <c r="D303" s="9" t="str">
        <f t="shared" si="8"/>
        <v>August-2021</v>
      </c>
      <c r="E303" s="46">
        <f t="shared" si="9"/>
        <v>44409</v>
      </c>
      <c r="F303" s="9">
        <f>SUM('[1]14- All_India_Index_Upto_April2'!F303:S303)</f>
        <v>2354.4</v>
      </c>
      <c r="G303" s="9">
        <f>SUM('[1]14- All_India_Index_Upto_April2'!T303:V303)</f>
        <v>460.7</v>
      </c>
      <c r="H303" s="9" t="e">
        <f>SUM([1]!_14__All_India_Index_Upto_April2[[#This Row],[Housing new]],[1]!_14__All_India_Index_Upto_April2[[#This Row],[Household goods and services]])</f>
        <v>#REF!</v>
      </c>
      <c r="I303" s="9">
        <f>SUM('[1]14- All_India_Index_Upto_April2'!Z303,'[1]14- All_India_Index_Upto_April2'!AD303)</f>
        <v>322.39999999999998</v>
      </c>
      <c r="J303" s="9">
        <f>SUM('[1]14- All_India_Index_Upto_April2'!AA303)</f>
        <v>150.4</v>
      </c>
      <c r="K303" s="9">
        <f>'[1]14- All_India_Index_Upto_April2'!AC303</f>
        <v>160.4</v>
      </c>
      <c r="L303" s="9">
        <f>SUM('[1]14- All_India_Index_Upto_April2'!AB303,'[1]14- All_India_Index_Upto_April2'!AE303)</f>
        <v>309.7</v>
      </c>
      <c r="M303" s="9">
        <f>'[1]14- All_India_Index_Upto_April2'!AF303</f>
        <v>162.30000000000001</v>
      </c>
    </row>
    <row r="304" spans="1:13">
      <c r="A304" s="9" t="str">
        <f>'[1]14- All_India_Index_Upto_April2'!A304</f>
        <v>Rural+Urban</v>
      </c>
      <c r="B304" s="9">
        <f>'[1]14- All_India_Index_Upto_April2'!B304</f>
        <v>2021</v>
      </c>
      <c r="C304" s="9" t="str">
        <f>'[1]14- All_India_Index_Upto_April2'!C304</f>
        <v>August</v>
      </c>
      <c r="D304" s="9" t="str">
        <f t="shared" si="8"/>
        <v>August-2021</v>
      </c>
      <c r="E304" s="46">
        <f t="shared" si="9"/>
        <v>44409</v>
      </c>
      <c r="F304" s="9">
        <f>SUM('[1]14- All_India_Index_Upto_April2'!F304:S304)</f>
        <v>2334.1</v>
      </c>
      <c r="G304" s="9">
        <f>SUM('[1]14- All_India_Index_Upto_April2'!T304:V304)</f>
        <v>483</v>
      </c>
      <c r="H304" s="9" t="e">
        <f>SUM([1]!_14__All_India_Index_Upto_April2[[#This Row],[Housing new]],[1]!_14__All_India_Index_Upto_April2[[#This Row],[Household goods and services]])</f>
        <v>#REF!</v>
      </c>
      <c r="I304" s="9">
        <f>SUM('[1]14- All_India_Index_Upto_April2'!Z304,'[1]14- All_India_Index_Upto_April2'!AD304)</f>
        <v>328.4</v>
      </c>
      <c r="J304" s="9">
        <f>SUM('[1]14- All_India_Index_Upto_April2'!AA304)</f>
        <v>154</v>
      </c>
      <c r="K304" s="9">
        <f>'[1]14- All_India_Index_Upto_April2'!AC304</f>
        <v>163.80000000000001</v>
      </c>
      <c r="L304" s="9">
        <f>SUM('[1]14- All_India_Index_Upto_April2'!AB304,'[1]14- All_India_Index_Upto_April2'!AE304)</f>
        <v>317.60000000000002</v>
      </c>
      <c r="M304" s="9">
        <f>'[1]14- All_India_Index_Upto_April2'!AF304</f>
        <v>163.19999999999999</v>
      </c>
    </row>
    <row r="305" spans="1:13" hidden="1">
      <c r="A305" s="9" t="str">
        <f>'[1]14- All_India_Index_Upto_April2'!A305</f>
        <v>Rural</v>
      </c>
      <c r="B305" s="9">
        <f>'[1]14- All_India_Index_Upto_April2'!B305</f>
        <v>2021</v>
      </c>
      <c r="C305" s="9" t="str">
        <f>'[1]14- All_India_Index_Upto_April2'!C305</f>
        <v>September</v>
      </c>
      <c r="D305" s="9" t="str">
        <f t="shared" si="8"/>
        <v>September-2021</v>
      </c>
      <c r="E305" s="46">
        <f t="shared" si="9"/>
        <v>44440</v>
      </c>
      <c r="F305" s="9">
        <f>SUM('[1]14- All_India_Index_Upto_April2'!F305:S305)</f>
        <v>2324.1</v>
      </c>
      <c r="G305" s="9">
        <f>SUM('[1]14- All_India_Index_Upto_April2'!T305:V305)</f>
        <v>498.4</v>
      </c>
      <c r="H305" s="9" t="e">
        <f>SUM([1]!_14__All_India_Index_Upto_April2[[#This Row],[Housing new]],[1]!_14__All_India_Index_Upto_April2[[#This Row],[Household goods and services]])</f>
        <v>#REF!</v>
      </c>
      <c r="I305" s="9">
        <f>SUM('[1]14- All_India_Index_Upto_April2'!Z305,'[1]14- All_India_Index_Upto_April2'!AD305)</f>
        <v>332.1</v>
      </c>
      <c r="J305" s="9">
        <f>SUM('[1]14- All_India_Index_Upto_April2'!AA305)</f>
        <v>157.80000000000001</v>
      </c>
      <c r="K305" s="9">
        <f>'[1]14- All_India_Index_Upto_April2'!AC305</f>
        <v>168.5</v>
      </c>
      <c r="L305" s="9">
        <f>SUM('[1]14- All_India_Index_Upto_April2'!AB305,'[1]14- All_India_Index_Upto_April2'!AE305)</f>
        <v>326.5</v>
      </c>
      <c r="M305" s="9">
        <f>'[1]14- All_India_Index_Upto_April2'!AF305</f>
        <v>164</v>
      </c>
    </row>
    <row r="306" spans="1:13" hidden="1">
      <c r="A306" s="9" t="str">
        <f>'[1]14- All_India_Index_Upto_April2'!A306</f>
        <v>Urban</v>
      </c>
      <c r="B306" s="9">
        <f>'[1]14- All_India_Index_Upto_April2'!B306</f>
        <v>2021</v>
      </c>
      <c r="C306" s="9" t="str">
        <f>'[1]14- All_India_Index_Upto_April2'!C306</f>
        <v>September</v>
      </c>
      <c r="D306" s="9" t="str">
        <f t="shared" si="8"/>
        <v>September-2021</v>
      </c>
      <c r="E306" s="46">
        <f t="shared" si="9"/>
        <v>44440</v>
      </c>
      <c r="F306" s="9">
        <f>SUM('[1]14- All_India_Index_Upto_April2'!F306:S306)</f>
        <v>2354.4</v>
      </c>
      <c r="G306" s="9">
        <f>SUM('[1]14- All_India_Index_Upto_April2'!T306:V306)</f>
        <v>460.79999999999995</v>
      </c>
      <c r="H306" s="9" t="e">
        <f>SUM([1]!_14__All_India_Index_Upto_April2[[#This Row],[Housing new]],[1]!_14__All_India_Index_Upto_April2[[#This Row],[Household goods and services]])</f>
        <v>#REF!</v>
      </c>
      <c r="I306" s="9">
        <f>SUM('[1]14- All_India_Index_Upto_April2'!Z306,'[1]14- All_India_Index_Upto_April2'!AD306)</f>
        <v>322.39999999999998</v>
      </c>
      <c r="J306" s="9">
        <f>SUM('[1]14- All_India_Index_Upto_April2'!AA306)</f>
        <v>150.5</v>
      </c>
      <c r="K306" s="9">
        <f>'[1]14- All_India_Index_Upto_April2'!AC306</f>
        <v>160.30000000000001</v>
      </c>
      <c r="L306" s="9">
        <f>SUM('[1]14- All_India_Index_Upto_April2'!AB306,'[1]14- All_India_Index_Upto_April2'!AE306)</f>
        <v>309.89999999999998</v>
      </c>
      <c r="M306" s="9">
        <f>'[1]14- All_India_Index_Upto_April2'!AF306</f>
        <v>162.30000000000001</v>
      </c>
    </row>
    <row r="307" spans="1:13">
      <c r="A307" s="9" t="str">
        <f>'[1]14- All_India_Index_Upto_April2'!A307</f>
        <v>Rural+Urban</v>
      </c>
      <c r="B307" s="9">
        <f>'[1]14- All_India_Index_Upto_April2'!B307</f>
        <v>2021</v>
      </c>
      <c r="C307" s="9" t="str">
        <f>'[1]14- All_India_Index_Upto_April2'!C307</f>
        <v>September</v>
      </c>
      <c r="D307" s="9" t="str">
        <f t="shared" si="8"/>
        <v>September-2021</v>
      </c>
      <c r="E307" s="46">
        <f t="shared" si="9"/>
        <v>44440</v>
      </c>
      <c r="F307" s="9">
        <f>SUM('[1]14- All_India_Index_Upto_April2'!F307:S307)</f>
        <v>2334.1</v>
      </c>
      <c r="G307" s="9">
        <f>SUM('[1]14- All_India_Index_Upto_April2'!T307:V307)</f>
        <v>483.2</v>
      </c>
      <c r="H307" s="9" t="e">
        <f>SUM([1]!_14__All_India_Index_Upto_April2[[#This Row],[Housing new]],[1]!_14__All_India_Index_Upto_April2[[#This Row],[Household goods and services]])</f>
        <v>#REF!</v>
      </c>
      <c r="I307" s="9">
        <f>SUM('[1]14- All_India_Index_Upto_April2'!Z307,'[1]14- All_India_Index_Upto_April2'!AD307)</f>
        <v>328.4</v>
      </c>
      <c r="J307" s="9">
        <f>SUM('[1]14- All_India_Index_Upto_April2'!AA307)</f>
        <v>154</v>
      </c>
      <c r="K307" s="9">
        <f>'[1]14- All_India_Index_Upto_April2'!AC307</f>
        <v>163.69999999999999</v>
      </c>
      <c r="L307" s="9">
        <f>SUM('[1]14- All_India_Index_Upto_April2'!AB307,'[1]14- All_India_Index_Upto_April2'!AE307)</f>
        <v>317.7</v>
      </c>
      <c r="M307" s="9">
        <f>'[1]14- All_India_Index_Upto_April2'!AF307</f>
        <v>163.19999999999999</v>
      </c>
    </row>
    <row r="308" spans="1:13" hidden="1">
      <c r="A308" s="9" t="str">
        <f>'[1]14- All_India_Index_Upto_April2'!A308</f>
        <v>Rural</v>
      </c>
      <c r="B308" s="9">
        <f>'[1]14- All_India_Index_Upto_April2'!B308</f>
        <v>2021</v>
      </c>
      <c r="C308" s="9" t="str">
        <f>'[1]14- All_India_Index_Upto_April2'!C308</f>
        <v>October</v>
      </c>
      <c r="D308" s="9" t="str">
        <f t="shared" si="8"/>
        <v>October-2021</v>
      </c>
      <c r="E308" s="46">
        <f t="shared" si="9"/>
        <v>44470</v>
      </c>
      <c r="F308" s="9">
        <f>SUM('[1]14- All_India_Index_Upto_April2'!F308:S308)</f>
        <v>2355.3999999999996</v>
      </c>
      <c r="G308" s="9">
        <f>SUM('[1]14- All_India_Index_Upto_April2'!T308:V308)</f>
        <v>502.00000000000006</v>
      </c>
      <c r="H308" s="9" t="e">
        <f>SUM([1]!_14__All_India_Index_Upto_April2[[#This Row],[Housing new]],[1]!_14__All_India_Index_Upto_April2[[#This Row],[Household goods and services]])</f>
        <v>#REF!</v>
      </c>
      <c r="I308" s="9">
        <f>SUM('[1]14- All_India_Index_Upto_April2'!Z308,'[1]14- All_India_Index_Upto_April2'!AD308)</f>
        <v>333.6</v>
      </c>
      <c r="J308" s="9">
        <f>SUM('[1]14- All_India_Index_Upto_April2'!AA308)</f>
        <v>159.5</v>
      </c>
      <c r="K308" s="9">
        <f>'[1]14- All_India_Index_Upto_April2'!AC308</f>
        <v>169</v>
      </c>
      <c r="L308" s="9">
        <f>SUM('[1]14- All_India_Index_Upto_April2'!AB308,'[1]14- All_India_Index_Upto_April2'!AE308)</f>
        <v>327.9</v>
      </c>
      <c r="M308" s="9">
        <f>'[1]14- All_India_Index_Upto_April2'!AF308</f>
        <v>166.3</v>
      </c>
    </row>
    <row r="309" spans="1:13" hidden="1">
      <c r="A309" s="9" t="str">
        <f>'[1]14- All_India_Index_Upto_April2'!A309</f>
        <v>Urban</v>
      </c>
      <c r="B309" s="9">
        <f>'[1]14- All_India_Index_Upto_April2'!B309</f>
        <v>2021</v>
      </c>
      <c r="C309" s="9" t="str">
        <f>'[1]14- All_India_Index_Upto_April2'!C309</f>
        <v>October</v>
      </c>
      <c r="D309" s="9" t="str">
        <f t="shared" si="8"/>
        <v>October-2021</v>
      </c>
      <c r="E309" s="46">
        <f t="shared" si="9"/>
        <v>44470</v>
      </c>
      <c r="F309" s="9">
        <f>SUM('[1]14- All_India_Index_Upto_April2'!F309:S309)</f>
        <v>2395.4000000000005</v>
      </c>
      <c r="G309" s="9">
        <f>SUM('[1]14- All_India_Index_Upto_April2'!T309:V309)</f>
        <v>463.50000000000006</v>
      </c>
      <c r="H309" s="9" t="e">
        <f>SUM([1]!_14__All_India_Index_Upto_April2[[#This Row],[Housing new]],[1]!_14__All_India_Index_Upto_April2[[#This Row],[Household goods and services]])</f>
        <v>#REF!</v>
      </c>
      <c r="I309" s="9">
        <f>SUM('[1]14- All_India_Index_Upto_April2'!Z309,'[1]14- All_India_Index_Upto_April2'!AD309)</f>
        <v>323.8</v>
      </c>
      <c r="J309" s="9">
        <f>SUM('[1]14- All_India_Index_Upto_April2'!AA309)</f>
        <v>152.19999999999999</v>
      </c>
      <c r="K309" s="9">
        <f>'[1]14- All_India_Index_Upto_April2'!AC309</f>
        <v>160.30000000000001</v>
      </c>
      <c r="L309" s="9">
        <f>SUM('[1]14- All_India_Index_Upto_April2'!AB309,'[1]14- All_India_Index_Upto_April2'!AE309)</f>
        <v>312.10000000000002</v>
      </c>
      <c r="M309" s="9">
        <f>'[1]14- All_India_Index_Upto_April2'!AF309</f>
        <v>164.6</v>
      </c>
    </row>
    <row r="310" spans="1:13">
      <c r="A310" s="9" t="str">
        <f>'[1]14- All_India_Index_Upto_April2'!A310</f>
        <v>Rural+Urban</v>
      </c>
      <c r="B310" s="9">
        <f>'[1]14- All_India_Index_Upto_April2'!B310</f>
        <v>2021</v>
      </c>
      <c r="C310" s="9" t="str">
        <f>'[1]14- All_India_Index_Upto_April2'!C310</f>
        <v>October</v>
      </c>
      <c r="D310" s="9" t="str">
        <f t="shared" si="8"/>
        <v>October-2021</v>
      </c>
      <c r="E310" s="46">
        <f t="shared" si="9"/>
        <v>44470</v>
      </c>
      <c r="F310" s="9">
        <f>SUM('[1]14- All_India_Index_Upto_April2'!F310:S310)</f>
        <v>2368.1999999999998</v>
      </c>
      <c r="G310" s="9">
        <f>SUM('[1]14- All_India_Index_Upto_April2'!T310:V310)</f>
        <v>486.3</v>
      </c>
      <c r="H310" s="9" t="e">
        <f>SUM([1]!_14__All_India_Index_Upto_April2[[#This Row],[Housing new]],[1]!_14__All_India_Index_Upto_April2[[#This Row],[Household goods and services]])</f>
        <v>#REF!</v>
      </c>
      <c r="I310" s="9">
        <f>SUM('[1]14- All_India_Index_Upto_April2'!Z310,'[1]14- All_India_Index_Upto_April2'!AD310)</f>
        <v>329.9</v>
      </c>
      <c r="J310" s="9">
        <f>SUM('[1]14- All_India_Index_Upto_April2'!AA310)</f>
        <v>155.69999999999999</v>
      </c>
      <c r="K310" s="9">
        <f>'[1]14- All_India_Index_Upto_April2'!AC310</f>
        <v>163.9</v>
      </c>
      <c r="L310" s="9">
        <f>SUM('[1]14- All_India_Index_Upto_April2'!AB310,'[1]14- All_India_Index_Upto_April2'!AE310)</f>
        <v>319.60000000000002</v>
      </c>
      <c r="M310" s="9">
        <f>'[1]14- All_India_Index_Upto_April2'!AF310</f>
        <v>165.5</v>
      </c>
    </row>
    <row r="311" spans="1:13" hidden="1">
      <c r="A311" s="9" t="str">
        <f>'[1]14- All_India_Index_Upto_April2'!A311</f>
        <v>Rural</v>
      </c>
      <c r="B311" s="9">
        <f>'[1]14- All_India_Index_Upto_April2'!B311</f>
        <v>2021</v>
      </c>
      <c r="C311" s="9" t="str">
        <f>'[1]14- All_India_Index_Upto_April2'!C311</f>
        <v>November</v>
      </c>
      <c r="D311" s="9" t="str">
        <f t="shared" si="8"/>
        <v>November-2021</v>
      </c>
      <c r="E311" s="46">
        <f t="shared" si="9"/>
        <v>44501</v>
      </c>
      <c r="F311" s="9">
        <f>SUM('[1]14- All_India_Index_Upto_April2'!F311:S311)</f>
        <v>2373.4</v>
      </c>
      <c r="G311" s="9">
        <f>SUM('[1]14- All_India_Index_Upto_April2'!T311:V311)</f>
        <v>506.2</v>
      </c>
      <c r="H311" s="9" t="e">
        <f>SUM([1]!_14__All_India_Index_Upto_April2[[#This Row],[Housing new]],[1]!_14__All_India_Index_Upto_April2[[#This Row],[Household goods and services]])</f>
        <v>#REF!</v>
      </c>
      <c r="I311" s="9">
        <f>SUM('[1]14- All_India_Index_Upto_April2'!Z311,'[1]14- All_India_Index_Upto_April2'!AD311)</f>
        <v>335.8</v>
      </c>
      <c r="J311" s="9">
        <f>SUM('[1]14- All_India_Index_Upto_April2'!AA311)</f>
        <v>158.9</v>
      </c>
      <c r="K311" s="9">
        <f>'[1]14- All_India_Index_Upto_April2'!AC311</f>
        <v>169.3</v>
      </c>
      <c r="L311" s="9">
        <f>SUM('[1]14- All_India_Index_Upto_April2'!AB311,'[1]14- All_India_Index_Upto_April2'!AE311)</f>
        <v>329</v>
      </c>
      <c r="M311" s="9">
        <f>'[1]14- All_India_Index_Upto_April2'!AF311</f>
        <v>167.6</v>
      </c>
    </row>
    <row r="312" spans="1:13" hidden="1">
      <c r="A312" s="9" t="str">
        <f>'[1]14- All_India_Index_Upto_April2'!A312</f>
        <v>Urban</v>
      </c>
      <c r="B312" s="9">
        <f>'[1]14- All_India_Index_Upto_April2'!B312</f>
        <v>2021</v>
      </c>
      <c r="C312" s="9" t="str">
        <f>'[1]14- All_India_Index_Upto_April2'!C312</f>
        <v>November</v>
      </c>
      <c r="D312" s="9" t="str">
        <f t="shared" si="8"/>
        <v>November-2021</v>
      </c>
      <c r="E312" s="46">
        <f t="shared" si="9"/>
        <v>44501</v>
      </c>
      <c r="F312" s="9">
        <f>SUM('[1]14- All_India_Index_Upto_April2'!F312:S312)</f>
        <v>2414.8999999999996</v>
      </c>
      <c r="G312" s="9">
        <f>SUM('[1]14- All_India_Index_Upto_April2'!T312:V312)</f>
        <v>467.3</v>
      </c>
      <c r="H312" s="9" t="e">
        <f>SUM([1]!_14__All_India_Index_Upto_April2[[#This Row],[Housing new]],[1]!_14__All_India_Index_Upto_April2[[#This Row],[Household goods and services]])</f>
        <v>#REF!</v>
      </c>
      <c r="I312" s="9">
        <f>SUM('[1]14- All_India_Index_Upto_April2'!Z312,'[1]14- All_India_Index_Upto_April2'!AD312)</f>
        <v>326</v>
      </c>
      <c r="J312" s="9">
        <f>SUM('[1]14- All_India_Index_Upto_April2'!AA312)</f>
        <v>151.19999999999999</v>
      </c>
      <c r="K312" s="9">
        <f>'[1]14- All_India_Index_Upto_April2'!AC312</f>
        <v>160.80000000000001</v>
      </c>
      <c r="L312" s="9">
        <f>SUM('[1]14- All_India_Index_Upto_April2'!AB312,'[1]14- All_India_Index_Upto_April2'!AE312)</f>
        <v>314</v>
      </c>
      <c r="M312" s="9">
        <f>'[1]14- All_India_Index_Upto_April2'!AF312</f>
        <v>165.6</v>
      </c>
    </row>
    <row r="313" spans="1:13">
      <c r="A313" s="9" t="str">
        <f>'[1]14- All_India_Index_Upto_April2'!A313</f>
        <v>Rural+Urban</v>
      </c>
      <c r="B313" s="9">
        <f>'[1]14- All_India_Index_Upto_April2'!B313</f>
        <v>2021</v>
      </c>
      <c r="C313" s="9" t="str">
        <f>'[1]14- All_India_Index_Upto_April2'!C313</f>
        <v>November</v>
      </c>
      <c r="D313" s="9" t="str">
        <f t="shared" si="8"/>
        <v>November-2021</v>
      </c>
      <c r="E313" s="46">
        <f t="shared" si="9"/>
        <v>44501</v>
      </c>
      <c r="F313" s="9">
        <f>SUM('[1]14- All_India_Index_Upto_April2'!F313:S313)</f>
        <v>2387</v>
      </c>
      <c r="G313" s="9">
        <f>SUM('[1]14- All_India_Index_Upto_April2'!T313:V313)</f>
        <v>490.40000000000003</v>
      </c>
      <c r="H313" s="9" t="e">
        <f>SUM([1]!_14__All_India_Index_Upto_April2[[#This Row],[Housing new]],[1]!_14__All_India_Index_Upto_April2[[#This Row],[Household goods and services]])</f>
        <v>#REF!</v>
      </c>
      <c r="I313" s="9">
        <f>SUM('[1]14- All_India_Index_Upto_April2'!Z313,'[1]14- All_India_Index_Upto_April2'!AD313)</f>
        <v>332.1</v>
      </c>
      <c r="J313" s="9">
        <f>SUM('[1]14- All_India_Index_Upto_April2'!AA313)</f>
        <v>154.80000000000001</v>
      </c>
      <c r="K313" s="9">
        <f>'[1]14- All_India_Index_Upto_April2'!AC313</f>
        <v>164.3</v>
      </c>
      <c r="L313" s="9">
        <f>SUM('[1]14- All_India_Index_Upto_April2'!AB313,'[1]14- All_India_Index_Upto_April2'!AE313)</f>
        <v>321.20000000000005</v>
      </c>
      <c r="M313" s="9">
        <f>'[1]14- All_India_Index_Upto_April2'!AF313</f>
        <v>166.7</v>
      </c>
    </row>
    <row r="314" spans="1:13" hidden="1">
      <c r="A314" s="9" t="str">
        <f>'[1]14- All_India_Index_Upto_April2'!A314</f>
        <v>Rural</v>
      </c>
      <c r="B314" s="9">
        <f>'[1]14- All_India_Index_Upto_April2'!B314</f>
        <v>2021</v>
      </c>
      <c r="C314" s="9" t="str">
        <f>'[1]14- All_India_Index_Upto_April2'!C314</f>
        <v>December</v>
      </c>
      <c r="D314" s="9" t="str">
        <f t="shared" si="8"/>
        <v>December-2021</v>
      </c>
      <c r="E314" s="46">
        <f t="shared" si="9"/>
        <v>44531</v>
      </c>
      <c r="F314" s="9">
        <f>SUM('[1]14- All_India_Index_Upto_April2'!F314:S314)</f>
        <v>2359</v>
      </c>
      <c r="G314" s="9">
        <f>SUM('[1]14- All_India_Index_Upto_April2'!T314:V314)</f>
        <v>510.3</v>
      </c>
      <c r="H314" s="9" t="e">
        <f>SUM([1]!_14__All_India_Index_Upto_April2[[#This Row],[Housing new]],[1]!_14__All_India_Index_Upto_April2[[#This Row],[Household goods and services]])</f>
        <v>#REF!</v>
      </c>
      <c r="I314" s="9">
        <f>SUM('[1]14- All_India_Index_Upto_April2'!Z314,'[1]14- All_India_Index_Upto_April2'!AD314)</f>
        <v>336.8</v>
      </c>
      <c r="J314" s="9">
        <f>SUM('[1]14- All_India_Index_Upto_April2'!AA314)</f>
        <v>160.1</v>
      </c>
      <c r="K314" s="9">
        <f>'[1]14- All_India_Index_Upto_April2'!AC314</f>
        <v>169.7</v>
      </c>
      <c r="L314" s="9">
        <f>SUM('[1]14- All_India_Index_Upto_April2'!AB314,'[1]14- All_India_Index_Upto_April2'!AE314)</f>
        <v>330.5</v>
      </c>
      <c r="M314" s="9">
        <f>'[1]14- All_India_Index_Upto_April2'!AF314</f>
        <v>167</v>
      </c>
    </row>
    <row r="315" spans="1:13" hidden="1">
      <c r="A315" s="9" t="str">
        <f>'[1]14- All_India_Index_Upto_April2'!A315</f>
        <v>Urban</v>
      </c>
      <c r="B315" s="9">
        <f>'[1]14- All_India_Index_Upto_April2'!B315</f>
        <v>2021</v>
      </c>
      <c r="C315" s="9" t="str">
        <f>'[1]14- All_India_Index_Upto_April2'!C315</f>
        <v>December</v>
      </c>
      <c r="D315" s="9" t="str">
        <f t="shared" si="8"/>
        <v>December-2021</v>
      </c>
      <c r="E315" s="46">
        <f t="shared" si="9"/>
        <v>44531</v>
      </c>
      <c r="F315" s="9">
        <f>SUM('[1]14- All_India_Index_Upto_April2'!F315:S315)</f>
        <v>2403.1000000000004</v>
      </c>
      <c r="G315" s="9">
        <f>SUM('[1]14- All_India_Index_Upto_April2'!T315:V315)</f>
        <v>470.7</v>
      </c>
      <c r="H315" s="9" t="e">
        <f>SUM([1]!_14__All_India_Index_Upto_April2[[#This Row],[Housing new]],[1]!_14__All_India_Index_Upto_April2[[#This Row],[Household goods and services]])</f>
        <v>#REF!</v>
      </c>
      <c r="I315" s="9">
        <f>SUM('[1]14- All_India_Index_Upto_April2'!Z315,'[1]14- All_India_Index_Upto_April2'!AD315)</f>
        <v>327.5</v>
      </c>
      <c r="J315" s="9">
        <f>SUM('[1]14- All_India_Index_Upto_April2'!AA315)</f>
        <v>151.80000000000001</v>
      </c>
      <c r="K315" s="9">
        <f>'[1]14- All_India_Index_Upto_April2'!AC315</f>
        <v>160.6</v>
      </c>
      <c r="L315" s="9">
        <f>SUM('[1]14- All_India_Index_Upto_April2'!AB315,'[1]14- All_India_Index_Upto_April2'!AE315)</f>
        <v>315.39999999999998</v>
      </c>
      <c r="M315" s="9">
        <f>'[1]14- All_India_Index_Upto_April2'!AF315</f>
        <v>165.2</v>
      </c>
    </row>
    <row r="316" spans="1:13">
      <c r="A316" s="9" t="str">
        <f>'[1]14- All_India_Index_Upto_April2'!A316</f>
        <v>Rural+Urban</v>
      </c>
      <c r="B316" s="9">
        <f>'[1]14- All_India_Index_Upto_April2'!B316</f>
        <v>2021</v>
      </c>
      <c r="C316" s="9" t="str">
        <f>'[1]14- All_India_Index_Upto_April2'!C316</f>
        <v>December</v>
      </c>
      <c r="D316" s="9" t="str">
        <f t="shared" si="8"/>
        <v>December-2021</v>
      </c>
      <c r="E316" s="46">
        <f t="shared" si="9"/>
        <v>44531</v>
      </c>
      <c r="F316" s="9">
        <f>SUM('[1]14- All_India_Index_Upto_April2'!F316:S316)</f>
        <v>2373.3000000000002</v>
      </c>
      <c r="G316" s="9">
        <f>SUM('[1]14- All_India_Index_Upto_April2'!T316:V316)</f>
        <v>494.2</v>
      </c>
      <c r="H316" s="9" t="e">
        <f>SUM([1]!_14__All_India_Index_Upto_April2[[#This Row],[Housing new]],[1]!_14__All_India_Index_Upto_April2[[#This Row],[Household goods and services]])</f>
        <v>#REF!</v>
      </c>
      <c r="I316" s="9">
        <f>SUM('[1]14- All_India_Index_Upto_April2'!Z316,'[1]14- All_India_Index_Upto_April2'!AD316)</f>
        <v>333.2</v>
      </c>
      <c r="J316" s="9">
        <f>SUM('[1]14- All_India_Index_Upto_April2'!AA316)</f>
        <v>155.69999999999999</v>
      </c>
      <c r="K316" s="9">
        <f>'[1]14- All_India_Index_Upto_April2'!AC316</f>
        <v>164.4</v>
      </c>
      <c r="L316" s="9">
        <f>SUM('[1]14- All_India_Index_Upto_April2'!AB316,'[1]14- All_India_Index_Upto_April2'!AE316)</f>
        <v>322.60000000000002</v>
      </c>
      <c r="M316" s="9">
        <f>'[1]14- All_India_Index_Upto_April2'!AF316</f>
        <v>166.2</v>
      </c>
    </row>
    <row r="317" spans="1:13" hidden="1">
      <c r="A317" s="9" t="str">
        <f>'[1]14- All_India_Index_Upto_April2'!A317</f>
        <v>Rural</v>
      </c>
      <c r="B317" s="9">
        <f>'[1]14- All_India_Index_Upto_April2'!B317</f>
        <v>2022</v>
      </c>
      <c r="C317" s="9" t="str">
        <f>'[1]14- All_India_Index_Upto_April2'!C317</f>
        <v>January</v>
      </c>
      <c r="D317" s="9" t="str">
        <f t="shared" si="8"/>
        <v>January-2022</v>
      </c>
      <c r="E317" s="46">
        <f t="shared" si="9"/>
        <v>44562</v>
      </c>
      <c r="F317" s="9">
        <f>SUM('[1]14- All_India_Index_Upto_April2'!F317:S317)</f>
        <v>2343.6999999999998</v>
      </c>
      <c r="G317" s="9">
        <f>SUM('[1]14- All_India_Index_Upto_April2'!T317:V317)</f>
        <v>515.20000000000005</v>
      </c>
      <c r="H317" s="9" t="e">
        <f>SUM([1]!_14__All_India_Index_Upto_April2[[#This Row],[Housing new]],[1]!_14__All_India_Index_Upto_April2[[#This Row],[Household goods and services]])</f>
        <v>#REF!</v>
      </c>
      <c r="I317" s="9">
        <f>SUM('[1]14- All_India_Index_Upto_April2'!Z317,'[1]14- All_India_Index_Upto_April2'!AD317)</f>
        <v>337.9</v>
      </c>
      <c r="J317" s="9">
        <f>SUM('[1]14- All_India_Index_Upto_April2'!AA317)</f>
        <v>160.80000000000001</v>
      </c>
      <c r="K317" s="9">
        <f>'[1]14- All_India_Index_Upto_April2'!AC317</f>
        <v>169.9</v>
      </c>
      <c r="L317" s="9">
        <f>SUM('[1]14- All_India_Index_Upto_April2'!AB317,'[1]14- All_India_Index_Upto_April2'!AE317)</f>
        <v>331.5</v>
      </c>
      <c r="M317" s="9">
        <f>'[1]14- All_India_Index_Upto_April2'!AF317</f>
        <v>166.4</v>
      </c>
    </row>
    <row r="318" spans="1:13" hidden="1">
      <c r="A318" s="9" t="str">
        <f>'[1]14- All_India_Index_Upto_April2'!A318</f>
        <v>Urban</v>
      </c>
      <c r="B318" s="9">
        <f>'[1]14- All_India_Index_Upto_April2'!B318</f>
        <v>2022</v>
      </c>
      <c r="C318" s="9" t="str">
        <f>'[1]14- All_India_Index_Upto_April2'!C318</f>
        <v>January</v>
      </c>
      <c r="D318" s="9" t="str">
        <f t="shared" si="8"/>
        <v>January-2022</v>
      </c>
      <c r="E318" s="46">
        <f t="shared" si="9"/>
        <v>44562</v>
      </c>
      <c r="F318" s="9">
        <f>SUM('[1]14- All_India_Index_Upto_April2'!F318:S318)</f>
        <v>2383.1</v>
      </c>
      <c r="G318" s="9">
        <f>SUM('[1]14- All_India_Index_Upto_April2'!T318:V318)</f>
        <v>475.4</v>
      </c>
      <c r="H318" s="9" t="e">
        <f>SUM([1]!_14__All_India_Index_Upto_April2[[#This Row],[Housing new]],[1]!_14__All_India_Index_Upto_April2[[#This Row],[Household goods and services]])</f>
        <v>#REF!</v>
      </c>
      <c r="I318" s="9">
        <f>SUM('[1]14- All_India_Index_Upto_April2'!Z318,'[1]14- All_India_Index_Upto_April2'!AD318)</f>
        <v>328.9</v>
      </c>
      <c r="J318" s="9">
        <f>SUM('[1]14- All_India_Index_Upto_April2'!AA318)</f>
        <v>152.69999999999999</v>
      </c>
      <c r="K318" s="9">
        <f>'[1]14- All_India_Index_Upto_April2'!AC318</f>
        <v>161</v>
      </c>
      <c r="L318" s="9">
        <f>SUM('[1]14- All_India_Index_Upto_April2'!AB318,'[1]14- All_India_Index_Upto_April2'!AE318)</f>
        <v>317</v>
      </c>
      <c r="M318" s="9">
        <f>'[1]14- All_India_Index_Upto_April2'!AF318</f>
        <v>165</v>
      </c>
    </row>
    <row r="319" spans="1:13">
      <c r="A319" s="9" t="str">
        <f>'[1]14- All_India_Index_Upto_April2'!A319</f>
        <v>Rural+Urban</v>
      </c>
      <c r="B319" s="9">
        <f>'[1]14- All_India_Index_Upto_April2'!B319</f>
        <v>2022</v>
      </c>
      <c r="C319" s="9" t="str">
        <f>'[1]14- All_India_Index_Upto_April2'!C319</f>
        <v>January</v>
      </c>
      <c r="D319" s="9" t="str">
        <f t="shared" si="8"/>
        <v>January-2022</v>
      </c>
      <c r="E319" s="46">
        <f t="shared" si="9"/>
        <v>44562</v>
      </c>
      <c r="F319" s="9">
        <f>SUM('[1]14- All_India_Index_Upto_April2'!F319:S319)</f>
        <v>2356.3999999999996</v>
      </c>
      <c r="G319" s="9">
        <f>SUM('[1]14- All_India_Index_Upto_April2'!T319:V319)</f>
        <v>499.1</v>
      </c>
      <c r="H319" s="9" t="e">
        <f>SUM([1]!_14__All_India_Index_Upto_April2[[#This Row],[Housing new]],[1]!_14__All_India_Index_Upto_April2[[#This Row],[Household goods and services]])</f>
        <v>#REF!</v>
      </c>
      <c r="I319" s="9">
        <f>SUM('[1]14- All_India_Index_Upto_April2'!Z319,'[1]14- All_India_Index_Upto_April2'!AD319)</f>
        <v>334.4</v>
      </c>
      <c r="J319" s="9">
        <f>SUM('[1]14- All_India_Index_Upto_April2'!AA319)</f>
        <v>156.5</v>
      </c>
      <c r="K319" s="9">
        <f>'[1]14- All_India_Index_Upto_April2'!AC319</f>
        <v>164.7</v>
      </c>
      <c r="L319" s="9">
        <f>SUM('[1]14- All_India_Index_Upto_April2'!AB319,'[1]14- All_India_Index_Upto_April2'!AE319)</f>
        <v>323.89999999999998</v>
      </c>
      <c r="M319" s="9">
        <f>'[1]14- All_India_Index_Upto_April2'!AF319</f>
        <v>165.7</v>
      </c>
    </row>
    <row r="320" spans="1:13" hidden="1">
      <c r="A320" s="9" t="str">
        <f>'[1]14- All_India_Index_Upto_April2'!A320</f>
        <v>Rural</v>
      </c>
      <c r="B320" s="9">
        <f>'[1]14- All_India_Index_Upto_April2'!B320</f>
        <v>2022</v>
      </c>
      <c r="C320" s="9" t="str">
        <f>'[1]14- All_India_Index_Upto_April2'!C320</f>
        <v>February</v>
      </c>
      <c r="D320" s="9" t="str">
        <f t="shared" si="8"/>
        <v>February-2022</v>
      </c>
      <c r="E320" s="46">
        <f t="shared" si="9"/>
        <v>44593</v>
      </c>
      <c r="F320" s="9">
        <f>SUM('[1]14- All_India_Index_Upto_April2'!F320:S320)</f>
        <v>2341.9</v>
      </c>
      <c r="G320" s="9">
        <f>SUM('[1]14- All_India_Index_Upto_April2'!T320:V320)</f>
        <v>518.79999999999995</v>
      </c>
      <c r="H320" s="9" t="e">
        <f>SUM([1]!_14__All_India_Index_Upto_April2[[#This Row],[Housing new]],[1]!_14__All_India_Index_Upto_April2[[#This Row],[Household goods and services]])</f>
        <v>#REF!</v>
      </c>
      <c r="I320" s="9">
        <f>SUM('[1]14- All_India_Index_Upto_April2'!Z320,'[1]14- All_India_Index_Upto_April2'!AD320)</f>
        <v>339.8</v>
      </c>
      <c r="J320" s="9">
        <f>SUM('[1]14- All_India_Index_Upto_April2'!AA320)</f>
        <v>161.19999999999999</v>
      </c>
      <c r="K320" s="9">
        <f>'[1]14- All_India_Index_Upto_April2'!AC320</f>
        <v>170.3</v>
      </c>
      <c r="L320" s="9">
        <f>SUM('[1]14- All_India_Index_Upto_April2'!AB320,'[1]14- All_India_Index_Upto_April2'!AE320)</f>
        <v>332.8</v>
      </c>
      <c r="M320" s="9">
        <f>'[1]14- All_India_Index_Upto_April2'!AF320</f>
        <v>166.7</v>
      </c>
    </row>
    <row r="321" spans="1:13" hidden="1">
      <c r="A321" s="9" t="str">
        <f>'[1]14- All_India_Index_Upto_April2'!A321</f>
        <v>Urban</v>
      </c>
      <c r="B321" s="9">
        <f>'[1]14- All_India_Index_Upto_April2'!B321</f>
        <v>2022</v>
      </c>
      <c r="C321" s="9" t="str">
        <f>'[1]14- All_India_Index_Upto_April2'!C321</f>
        <v>February</v>
      </c>
      <c r="D321" s="9" t="str">
        <f t="shared" si="8"/>
        <v>February-2022</v>
      </c>
      <c r="E321" s="46">
        <f t="shared" si="9"/>
        <v>44593</v>
      </c>
      <c r="F321" s="9">
        <f>SUM('[1]14- All_India_Index_Upto_April2'!F321:S321)</f>
        <v>2380</v>
      </c>
      <c r="G321" s="9">
        <f>SUM('[1]14- All_India_Index_Upto_April2'!T321:V321)</f>
        <v>479.5</v>
      </c>
      <c r="H321" s="9" t="e">
        <f>SUM([1]!_14__All_India_Index_Upto_April2[[#This Row],[Housing new]],[1]!_14__All_India_Index_Upto_April2[[#This Row],[Household goods and services]])</f>
        <v>#REF!</v>
      </c>
      <c r="I321" s="9">
        <f>SUM('[1]14- All_India_Index_Upto_April2'!Z321,'[1]14- All_India_Index_Upto_April2'!AD321)</f>
        <v>331.4</v>
      </c>
      <c r="J321" s="9">
        <f>SUM('[1]14- All_India_Index_Upto_April2'!AA321)</f>
        <v>153.1</v>
      </c>
      <c r="K321" s="9">
        <f>'[1]14- All_India_Index_Upto_April2'!AC321</f>
        <v>162</v>
      </c>
      <c r="L321" s="9">
        <f>SUM('[1]14- All_India_Index_Upto_April2'!AB321,'[1]14- All_India_Index_Upto_April2'!AE321)</f>
        <v>318.89999999999998</v>
      </c>
      <c r="M321" s="9">
        <f>'[1]14- All_India_Index_Upto_April2'!AF321</f>
        <v>165.5</v>
      </c>
    </row>
    <row r="322" spans="1:13">
      <c r="A322" s="9" t="str">
        <f>'[1]14- All_India_Index_Upto_April2'!A322</f>
        <v>Rural+Urban</v>
      </c>
      <c r="B322" s="9">
        <f>'[1]14- All_India_Index_Upto_April2'!B322</f>
        <v>2022</v>
      </c>
      <c r="C322" s="9" t="str">
        <f>'[1]14- All_India_Index_Upto_April2'!C322</f>
        <v>February</v>
      </c>
      <c r="D322" s="9" t="str">
        <f t="shared" ref="D322:D367" si="10">_xlfn.TEXTJOIN("-",0,C322,B322)</f>
        <v>February-2022</v>
      </c>
      <c r="E322" s="46">
        <f t="shared" ref="E322:E367" si="11">DATEVALUE("1-" &amp;D322)</f>
        <v>44593</v>
      </c>
      <c r="F322" s="9">
        <f>SUM('[1]14- All_India_Index_Upto_April2'!F322:S322)</f>
        <v>2354.0000000000005</v>
      </c>
      <c r="G322" s="9">
        <f>SUM('[1]14- All_India_Index_Upto_April2'!T322:V322)</f>
        <v>502.80000000000007</v>
      </c>
      <c r="H322" s="9" t="e">
        <f>SUM([1]!_14__All_India_Index_Upto_April2[[#This Row],[Housing new]],[1]!_14__All_India_Index_Upto_April2[[#This Row],[Household goods and services]])</f>
        <v>#REF!</v>
      </c>
      <c r="I322" s="9">
        <f>SUM('[1]14- All_India_Index_Upto_April2'!Z322,'[1]14- All_India_Index_Upto_April2'!AD322)</f>
        <v>336.6</v>
      </c>
      <c r="J322" s="9">
        <f>SUM('[1]14- All_India_Index_Upto_April2'!AA322)</f>
        <v>156.9</v>
      </c>
      <c r="K322" s="9">
        <f>'[1]14- All_India_Index_Upto_April2'!AC322</f>
        <v>165.4</v>
      </c>
      <c r="L322" s="9">
        <f>SUM('[1]14- All_India_Index_Upto_April2'!AB322,'[1]14- All_India_Index_Upto_April2'!AE322)</f>
        <v>325.60000000000002</v>
      </c>
      <c r="M322" s="9">
        <f>'[1]14- All_India_Index_Upto_April2'!AF322</f>
        <v>166.1</v>
      </c>
    </row>
    <row r="323" spans="1:13" hidden="1">
      <c r="A323" s="9" t="str">
        <f>'[1]14- All_India_Index_Upto_April2'!A323</f>
        <v>Rural</v>
      </c>
      <c r="B323" s="9">
        <f>'[1]14- All_India_Index_Upto_April2'!B323</f>
        <v>2022</v>
      </c>
      <c r="C323" s="9" t="str">
        <f>'[1]14- All_India_Index_Upto_April2'!C323</f>
        <v>March</v>
      </c>
      <c r="D323" s="9" t="str">
        <f t="shared" si="10"/>
        <v>March-2022</v>
      </c>
      <c r="E323" s="46">
        <f t="shared" si="11"/>
        <v>44621</v>
      </c>
      <c r="F323" s="9">
        <f>SUM('[1]14- All_India_Index_Upto_April2'!F323:S323)</f>
        <v>2371.4000000000005</v>
      </c>
      <c r="G323" s="9">
        <f>SUM('[1]14- All_India_Index_Upto_April2'!T323:V323)</f>
        <v>523.70000000000005</v>
      </c>
      <c r="H323" s="9" t="e">
        <f>SUM([1]!_14__All_India_Index_Upto_April2[[#This Row],[Housing new]],[1]!_14__All_India_Index_Upto_April2[[#This Row],[Household goods and services]])</f>
        <v>#REF!</v>
      </c>
      <c r="I323" s="9">
        <f>SUM('[1]14- All_India_Index_Upto_April2'!Z323,'[1]14- All_India_Index_Upto_April2'!AD323)</f>
        <v>343.4</v>
      </c>
      <c r="J323" s="9">
        <f>SUM('[1]14- All_India_Index_Upto_April2'!AA323)</f>
        <v>162</v>
      </c>
      <c r="K323" s="9">
        <f>'[1]14- All_India_Index_Upto_April2'!AC323</f>
        <v>170.6</v>
      </c>
      <c r="L323" s="9">
        <f>SUM('[1]14- All_India_Index_Upto_April2'!AB323,'[1]14- All_India_Index_Upto_April2'!AE323)</f>
        <v>334.9</v>
      </c>
      <c r="M323" s="9">
        <f>'[1]14- All_India_Index_Upto_April2'!AF323</f>
        <v>168.7</v>
      </c>
    </row>
    <row r="324" spans="1:13" hidden="1">
      <c r="A324" s="9" t="str">
        <f>'[1]14- All_India_Index_Upto_April2'!A324</f>
        <v>Urban</v>
      </c>
      <c r="B324" s="9">
        <f>'[1]14- All_India_Index_Upto_April2'!B324</f>
        <v>2022</v>
      </c>
      <c r="C324" s="9" t="str">
        <f>'[1]14- All_India_Index_Upto_April2'!C324</f>
        <v>March</v>
      </c>
      <c r="D324" s="9" t="str">
        <f t="shared" si="10"/>
        <v>March-2022</v>
      </c>
      <c r="E324" s="46">
        <f t="shared" si="11"/>
        <v>44621</v>
      </c>
      <c r="F324" s="9">
        <f>SUM('[1]14- All_India_Index_Upto_April2'!F324:S324)</f>
        <v>2393.8000000000002</v>
      </c>
      <c r="G324" s="9">
        <f>SUM('[1]14- All_India_Index_Upto_April2'!T324:V324)</f>
        <v>484.6</v>
      </c>
      <c r="H324" s="9" t="e">
        <f>SUM([1]!_14__All_India_Index_Upto_April2[[#This Row],[Housing new]],[1]!_14__All_India_Index_Upto_April2[[#This Row],[Household goods and services]])</f>
        <v>#REF!</v>
      </c>
      <c r="I324" s="9">
        <f>SUM('[1]14- All_India_Index_Upto_April2'!Z324,'[1]14- All_India_Index_Upto_April2'!AD324)</f>
        <v>335</v>
      </c>
      <c r="J324" s="9">
        <f>SUM('[1]14- All_India_Index_Upto_April2'!AA324)</f>
        <v>154.19999999999999</v>
      </c>
      <c r="K324" s="9">
        <f>'[1]14- All_India_Index_Upto_April2'!AC324</f>
        <v>162.69999999999999</v>
      </c>
      <c r="L324" s="9">
        <f>SUM('[1]14- All_India_Index_Upto_April2'!AB324,'[1]14- All_India_Index_Upto_April2'!AE324)</f>
        <v>321.39999999999998</v>
      </c>
      <c r="M324" s="9">
        <f>'[1]14- All_India_Index_Upto_April2'!AF324</f>
        <v>166.5</v>
      </c>
    </row>
    <row r="325" spans="1:13">
      <c r="A325" s="9" t="str">
        <f>'[1]14- All_India_Index_Upto_April2'!A325</f>
        <v>Rural+Urban</v>
      </c>
      <c r="B325" s="9">
        <f>'[1]14- All_India_Index_Upto_April2'!B325</f>
        <v>2022</v>
      </c>
      <c r="C325" s="9" t="str">
        <f>'[1]14- All_India_Index_Upto_April2'!C325</f>
        <v>March</v>
      </c>
      <c r="D325" s="9" t="str">
        <f t="shared" si="10"/>
        <v>March-2022</v>
      </c>
      <c r="E325" s="46">
        <f t="shared" si="11"/>
        <v>44621</v>
      </c>
      <c r="F325" s="9">
        <f>SUM('[1]14- All_India_Index_Upto_April2'!F325:S325)</f>
        <v>2377.9</v>
      </c>
      <c r="G325" s="9">
        <f>SUM('[1]14- All_India_Index_Upto_April2'!T325:V325)</f>
        <v>507.79999999999995</v>
      </c>
      <c r="H325" s="9" t="e">
        <f>SUM([1]!_14__All_India_Index_Upto_April2[[#This Row],[Housing new]],[1]!_14__All_India_Index_Upto_April2[[#This Row],[Household goods and services]])</f>
        <v>#REF!</v>
      </c>
      <c r="I325" s="9">
        <f>SUM('[1]14- All_India_Index_Upto_April2'!Z325,'[1]14- All_India_Index_Upto_April2'!AD325)</f>
        <v>340.2</v>
      </c>
      <c r="J325" s="9">
        <f>SUM('[1]14- All_India_Index_Upto_April2'!AA325)</f>
        <v>157.9</v>
      </c>
      <c r="K325" s="9">
        <f>'[1]14- All_India_Index_Upto_April2'!AC325</f>
        <v>166</v>
      </c>
      <c r="L325" s="9">
        <f>SUM('[1]14- All_India_Index_Upto_April2'!AB325,'[1]14- All_India_Index_Upto_April2'!AE325)</f>
        <v>327.9</v>
      </c>
      <c r="M325" s="9">
        <f>'[1]14- All_India_Index_Upto_April2'!AF325</f>
        <v>167.7</v>
      </c>
    </row>
    <row r="326" spans="1:13" hidden="1">
      <c r="A326" s="9" t="str">
        <f>'[1]14- All_India_Index_Upto_April2'!A326</f>
        <v>Rural</v>
      </c>
      <c r="B326" s="9">
        <f>'[1]14- All_India_Index_Upto_April2'!B326</f>
        <v>2022</v>
      </c>
      <c r="C326" s="9" t="str">
        <f>'[1]14- All_India_Index_Upto_April2'!C326</f>
        <v>April</v>
      </c>
      <c r="D326" s="9" t="str">
        <f t="shared" si="10"/>
        <v>April-2022</v>
      </c>
      <c r="E326" s="46">
        <f t="shared" si="11"/>
        <v>44652</v>
      </c>
      <c r="F326" s="9">
        <f>SUM('[1]14- All_India_Index_Upto_April2'!F326:S326)</f>
        <v>2399.4</v>
      </c>
      <c r="G326" s="9">
        <f>SUM('[1]14- All_India_Index_Upto_April2'!T326:V326)</f>
        <v>529.70000000000005</v>
      </c>
      <c r="H326" s="9" t="e">
        <f>SUM([1]!_14__All_India_Index_Upto_April2[[#This Row],[Housing new]],[1]!_14__All_India_Index_Upto_April2[[#This Row],[Household goods and services]])</f>
        <v>#REF!</v>
      </c>
      <c r="I326" s="9">
        <f>SUM('[1]14- All_India_Index_Upto_April2'!Z326,'[1]14- All_India_Index_Upto_April2'!AD326)</f>
        <v>346</v>
      </c>
      <c r="J326" s="9">
        <f>SUM('[1]14- All_India_Index_Upto_April2'!AA326)</f>
        <v>166.2</v>
      </c>
      <c r="K326" s="9">
        <f>'[1]14- All_India_Index_Upto_April2'!AC326</f>
        <v>170.9</v>
      </c>
      <c r="L326" s="9">
        <f>SUM('[1]14- All_India_Index_Upto_April2'!AB326,'[1]14- All_India_Index_Upto_April2'!AE326)</f>
        <v>337.4</v>
      </c>
      <c r="M326" s="9">
        <f>'[1]14- All_India_Index_Upto_April2'!AF326</f>
        <v>170.8</v>
      </c>
    </row>
    <row r="327" spans="1:13" hidden="1">
      <c r="A327" s="9" t="str">
        <f>'[1]14- All_India_Index_Upto_April2'!A327</f>
        <v>Urban</v>
      </c>
      <c r="B327" s="9">
        <f>'[1]14- All_India_Index_Upto_April2'!B327</f>
        <v>2022</v>
      </c>
      <c r="C327" s="9" t="str">
        <f>'[1]14- All_India_Index_Upto_April2'!C327</f>
        <v>April</v>
      </c>
      <c r="D327" s="9" t="str">
        <f t="shared" si="10"/>
        <v>April-2022</v>
      </c>
      <c r="E327" s="46">
        <f t="shared" si="11"/>
        <v>44652</v>
      </c>
      <c r="F327" s="9">
        <f>SUM('[1]14- All_India_Index_Upto_April2'!F327:S327)</f>
        <v>2427.5</v>
      </c>
      <c r="G327" s="9">
        <f>SUM('[1]14- All_India_Index_Upto_April2'!T327:V327)</f>
        <v>489.2</v>
      </c>
      <c r="H327" s="9" t="e">
        <f>SUM([1]!_14__All_India_Index_Upto_April2[[#This Row],[Housing new]],[1]!_14__All_India_Index_Upto_April2[[#This Row],[Household goods and services]])</f>
        <v>#REF!</v>
      </c>
      <c r="I327" s="9">
        <f>SUM('[1]14- All_India_Index_Upto_April2'!Z327,'[1]14- All_India_Index_Upto_April2'!AD327)</f>
        <v>337.4</v>
      </c>
      <c r="J327" s="9">
        <f>SUM('[1]14- All_India_Index_Upto_April2'!AA327)</f>
        <v>159.30000000000001</v>
      </c>
      <c r="K327" s="9">
        <f>'[1]14- All_India_Index_Upto_April2'!AC327</f>
        <v>164</v>
      </c>
      <c r="L327" s="9">
        <f>SUM('[1]14- All_India_Index_Upto_April2'!AB327,'[1]14- All_India_Index_Upto_April2'!AE327)</f>
        <v>325.29999999999995</v>
      </c>
      <c r="M327" s="9">
        <f>'[1]14- All_India_Index_Upto_April2'!AF327</f>
        <v>169.2</v>
      </c>
    </row>
    <row r="328" spans="1:13">
      <c r="A328" s="9" t="str">
        <f>'[1]14- All_India_Index_Upto_April2'!A328</f>
        <v>Rural+Urban</v>
      </c>
      <c r="B328" s="9">
        <f>'[1]14- All_India_Index_Upto_April2'!B328</f>
        <v>2022</v>
      </c>
      <c r="C328" s="9" t="str">
        <f>'[1]14- All_India_Index_Upto_April2'!C328</f>
        <v>April</v>
      </c>
      <c r="D328" s="9" t="str">
        <f t="shared" si="10"/>
        <v>April-2022</v>
      </c>
      <c r="E328" s="46">
        <f t="shared" si="11"/>
        <v>44652</v>
      </c>
      <c r="F328" s="9">
        <f>SUM('[1]14- All_India_Index_Upto_April2'!F328:S328)</f>
        <v>2408.2000000000003</v>
      </c>
      <c r="G328" s="9">
        <f>SUM('[1]14- All_India_Index_Upto_April2'!T328:V328)</f>
        <v>513.20000000000005</v>
      </c>
      <c r="H328" s="9" t="e">
        <f>SUM([1]!_14__All_India_Index_Upto_April2[[#This Row],[Housing new]],[1]!_14__All_India_Index_Upto_April2[[#This Row],[Household goods and services]])</f>
        <v>#REF!</v>
      </c>
      <c r="I328" s="9">
        <f>SUM('[1]14- All_India_Index_Upto_April2'!Z328,'[1]14- All_India_Index_Upto_April2'!AD328)</f>
        <v>342.8</v>
      </c>
      <c r="J328" s="9">
        <f>SUM('[1]14- All_India_Index_Upto_April2'!AA328)</f>
        <v>162.6</v>
      </c>
      <c r="K328" s="9">
        <f>'[1]14- All_India_Index_Upto_April2'!AC328</f>
        <v>166.9</v>
      </c>
      <c r="L328" s="9">
        <f>SUM('[1]14- All_India_Index_Upto_April2'!AB328,'[1]14- All_India_Index_Upto_April2'!AE328)</f>
        <v>331.20000000000005</v>
      </c>
      <c r="M328" s="9">
        <f>'[1]14- All_India_Index_Upto_April2'!AF328</f>
        <v>170.1</v>
      </c>
    </row>
    <row r="329" spans="1:13" hidden="1">
      <c r="A329" s="9" t="str">
        <f>'[1]14- All_India_Index_Upto_April2'!A329</f>
        <v>Rural</v>
      </c>
      <c r="B329" s="9">
        <f>'[1]14- All_India_Index_Upto_April2'!B329</f>
        <v>2022</v>
      </c>
      <c r="C329" s="9" t="str">
        <f>'[1]14- All_India_Index_Upto_April2'!C329</f>
        <v>May</v>
      </c>
      <c r="D329" s="9" t="str">
        <f t="shared" si="10"/>
        <v>May-2022</v>
      </c>
      <c r="E329" s="46">
        <f t="shared" si="11"/>
        <v>44682</v>
      </c>
      <c r="F329" s="9">
        <f>SUM('[1]14- All_India_Index_Upto_April2'!F329:S329)</f>
        <v>2419.7000000000003</v>
      </c>
      <c r="G329" s="9">
        <f>SUM('[1]14- All_India_Index_Upto_April2'!T329:V329)</f>
        <v>535.5</v>
      </c>
      <c r="H329" s="9" t="e">
        <f>SUM([1]!_14__All_India_Index_Upto_April2[[#This Row],[Housing new]],[1]!_14__All_India_Index_Upto_April2[[#This Row],[Household goods and services]])</f>
        <v>#REF!</v>
      </c>
      <c r="I329" s="9">
        <f>SUM('[1]14- All_India_Index_Upto_April2'!Z329,'[1]14- All_India_Index_Upto_April2'!AD329)</f>
        <v>346.2</v>
      </c>
      <c r="J329" s="9">
        <f>SUM('[1]14- All_India_Index_Upto_April2'!AA329)</f>
        <v>167.1</v>
      </c>
      <c r="K329" s="9">
        <f>'[1]14- All_India_Index_Upto_April2'!AC329</f>
        <v>171.8</v>
      </c>
      <c r="L329" s="9">
        <f>SUM('[1]14- All_India_Index_Upto_April2'!AB329,'[1]14- All_India_Index_Upto_April2'!AE329)</f>
        <v>338.5</v>
      </c>
      <c r="M329" s="9">
        <f>'[1]14- All_India_Index_Upto_April2'!AF329</f>
        <v>172.5</v>
      </c>
    </row>
    <row r="330" spans="1:13" hidden="1">
      <c r="A330" s="9" t="str">
        <f>'[1]14- All_India_Index_Upto_April2'!A330</f>
        <v>Urban</v>
      </c>
      <c r="B330" s="9">
        <f>'[1]14- All_India_Index_Upto_April2'!B330</f>
        <v>2022</v>
      </c>
      <c r="C330" s="9" t="str">
        <f>'[1]14- All_India_Index_Upto_April2'!C330</f>
        <v>May</v>
      </c>
      <c r="D330" s="9" t="str">
        <f t="shared" si="10"/>
        <v>May-2022</v>
      </c>
      <c r="E330" s="46">
        <f t="shared" si="11"/>
        <v>44682</v>
      </c>
      <c r="F330" s="9">
        <f>SUM('[1]14- All_India_Index_Upto_April2'!F330:S330)</f>
        <v>2459.7000000000003</v>
      </c>
      <c r="G330" s="9">
        <f>SUM('[1]14- All_India_Index_Upto_April2'!T330:V330)</f>
        <v>493.7</v>
      </c>
      <c r="H330" s="9" t="e">
        <f>SUM([1]!_14__All_India_Index_Upto_April2[[#This Row],[Housing new]],[1]!_14__All_India_Index_Upto_April2[[#This Row],[Household goods and services]])</f>
        <v>#REF!</v>
      </c>
      <c r="I330" s="9">
        <f>SUM('[1]14- All_India_Index_Upto_April2'!Z330,'[1]14- All_India_Index_Upto_April2'!AD330)</f>
        <v>338.29999999999995</v>
      </c>
      <c r="J330" s="9">
        <f>SUM('[1]14- All_India_Index_Upto_April2'!AA330)</f>
        <v>159.4</v>
      </c>
      <c r="K330" s="9">
        <f>'[1]14- All_India_Index_Upto_April2'!AC330</f>
        <v>165.2</v>
      </c>
      <c r="L330" s="9">
        <f>SUM('[1]14- All_India_Index_Upto_April2'!AB330,'[1]14- All_India_Index_Upto_April2'!AE330)</f>
        <v>327</v>
      </c>
      <c r="M330" s="9">
        <f>'[1]14- All_India_Index_Upto_April2'!AF330</f>
        <v>170.8</v>
      </c>
    </row>
    <row r="331" spans="1:13">
      <c r="A331" s="9" t="str">
        <f>'[1]14- All_India_Index_Upto_April2'!A331</f>
        <v>Rural+Urban</v>
      </c>
      <c r="B331" s="9">
        <f>'[1]14- All_India_Index_Upto_April2'!B331</f>
        <v>2022</v>
      </c>
      <c r="C331" s="9" t="str">
        <f>'[1]14- All_India_Index_Upto_April2'!C331</f>
        <v>May</v>
      </c>
      <c r="D331" s="9" t="str">
        <f t="shared" si="10"/>
        <v>May-2022</v>
      </c>
      <c r="E331" s="46">
        <f t="shared" si="11"/>
        <v>44682</v>
      </c>
      <c r="F331" s="9">
        <f>SUM('[1]14- All_India_Index_Upto_April2'!F331:S331)</f>
        <v>2433.0000000000005</v>
      </c>
      <c r="G331" s="9">
        <f>SUM('[1]14- All_India_Index_Upto_April2'!T331:V331)</f>
        <v>518.6</v>
      </c>
      <c r="H331" s="9" t="e">
        <f>SUM([1]!_14__All_India_Index_Upto_April2[[#This Row],[Housing new]],[1]!_14__All_India_Index_Upto_April2[[#This Row],[Household goods and services]])</f>
        <v>#REF!</v>
      </c>
      <c r="I331" s="9">
        <f>SUM('[1]14- All_India_Index_Upto_April2'!Z331,'[1]14- All_India_Index_Upto_April2'!AD331)</f>
        <v>343.20000000000005</v>
      </c>
      <c r="J331" s="9">
        <f>SUM('[1]14- All_India_Index_Upto_April2'!AA331)</f>
        <v>163</v>
      </c>
      <c r="K331" s="9">
        <f>'[1]14- All_India_Index_Upto_April2'!AC331</f>
        <v>167.9</v>
      </c>
      <c r="L331" s="9">
        <f>SUM('[1]14- All_India_Index_Upto_April2'!AB331,'[1]14- All_India_Index_Upto_April2'!AE331)</f>
        <v>332.6</v>
      </c>
      <c r="M331" s="9">
        <f>'[1]14- All_India_Index_Upto_April2'!AF331</f>
        <v>171.7</v>
      </c>
    </row>
    <row r="332" spans="1:13" hidden="1">
      <c r="A332" s="9" t="str">
        <f>'[1]14- All_India_Index_Upto_April2'!A332</f>
        <v>Rural</v>
      </c>
      <c r="B332" s="9">
        <f>'[1]14- All_India_Index_Upto_April2'!B332</f>
        <v>2022</v>
      </c>
      <c r="C332" s="9" t="str">
        <f>'[1]14- All_India_Index_Upto_April2'!C332</f>
        <v>June</v>
      </c>
      <c r="D332" s="9" t="str">
        <f t="shared" si="10"/>
        <v>June-2022</v>
      </c>
      <c r="E332" s="46">
        <f t="shared" si="11"/>
        <v>44713</v>
      </c>
      <c r="F332" s="9">
        <f>SUM('[1]14- All_India_Index_Upto_April2'!F332:S332)</f>
        <v>2441.2000000000003</v>
      </c>
      <c r="G332" s="9">
        <f>SUM('[1]14- All_India_Index_Upto_April2'!T332:V332)</f>
        <v>539.79999999999995</v>
      </c>
      <c r="H332" s="9" t="e">
        <f>SUM([1]!_14__All_India_Index_Upto_April2[[#This Row],[Housing new]],[1]!_14__All_India_Index_Upto_April2[[#This Row],[Household goods and services]])</f>
        <v>#REF!</v>
      </c>
      <c r="I332" s="9">
        <f>SUM('[1]14- All_India_Index_Upto_April2'!Z332,'[1]14- All_India_Index_Upto_April2'!AD332)</f>
        <v>347.7</v>
      </c>
      <c r="J332" s="9">
        <f>SUM('[1]14- All_India_Index_Upto_April2'!AA332)</f>
        <v>165.5</v>
      </c>
      <c r="K332" s="9">
        <f>'[1]14- All_India_Index_Upto_April2'!AC332</f>
        <v>172.6</v>
      </c>
      <c r="L332" s="9">
        <f>SUM('[1]14- All_India_Index_Upto_April2'!AB332,'[1]14- All_India_Index_Upto_April2'!AE332)</f>
        <v>339</v>
      </c>
      <c r="M332" s="9">
        <f>'[1]14- All_India_Index_Upto_April2'!AF332</f>
        <v>173.6</v>
      </c>
    </row>
    <row r="333" spans="1:13" hidden="1">
      <c r="A333" s="9" t="str">
        <f>'[1]14- All_India_Index_Upto_April2'!A333</f>
        <v>Urban</v>
      </c>
      <c r="B333" s="9">
        <f>'[1]14- All_India_Index_Upto_April2'!B333</f>
        <v>2022</v>
      </c>
      <c r="C333" s="9" t="str">
        <f>'[1]14- All_India_Index_Upto_April2'!C333</f>
        <v>June</v>
      </c>
      <c r="D333" s="9" t="str">
        <f t="shared" si="10"/>
        <v>June-2022</v>
      </c>
      <c r="E333" s="46">
        <f t="shared" si="11"/>
        <v>44713</v>
      </c>
      <c r="F333" s="9">
        <f>SUM('[1]14- All_India_Index_Upto_April2'!F333:S333)</f>
        <v>2485.8000000000002</v>
      </c>
      <c r="G333" s="9">
        <f>SUM('[1]14- All_India_Index_Upto_April2'!T333:V333)</f>
        <v>498.4</v>
      </c>
      <c r="H333" s="9" t="e">
        <f>SUM([1]!_14__All_India_Index_Upto_April2[[#This Row],[Housing new]],[1]!_14__All_India_Index_Upto_April2[[#This Row],[Household goods and services]])</f>
        <v>#REF!</v>
      </c>
      <c r="I333" s="9">
        <f>SUM('[1]14- All_India_Index_Upto_April2'!Z333,'[1]14- All_India_Index_Upto_April2'!AD333)</f>
        <v>340.1</v>
      </c>
      <c r="J333" s="9">
        <f>SUM('[1]14- All_India_Index_Upto_April2'!AA333)</f>
        <v>157.19999999999999</v>
      </c>
      <c r="K333" s="9">
        <f>'[1]14- All_India_Index_Upto_April2'!AC333</f>
        <v>166.5</v>
      </c>
      <c r="L333" s="9">
        <f>SUM('[1]14- All_India_Index_Upto_April2'!AB333,'[1]14- All_India_Index_Upto_April2'!AE333)</f>
        <v>327.9</v>
      </c>
      <c r="M333" s="9">
        <f>'[1]14- All_India_Index_Upto_April2'!AF333</f>
        <v>171.4</v>
      </c>
    </row>
    <row r="334" spans="1:13">
      <c r="A334" s="9" t="str">
        <f>'[1]14- All_India_Index_Upto_April2'!A334</f>
        <v>Rural+Urban</v>
      </c>
      <c r="B334" s="9">
        <f>'[1]14- All_India_Index_Upto_April2'!B334</f>
        <v>2022</v>
      </c>
      <c r="C334" s="9" t="str">
        <f>'[1]14- All_India_Index_Upto_April2'!C334</f>
        <v>June</v>
      </c>
      <c r="D334" s="9" t="str">
        <f t="shared" si="10"/>
        <v>June-2022</v>
      </c>
      <c r="E334" s="46">
        <f t="shared" si="11"/>
        <v>44713</v>
      </c>
      <c r="F334" s="9">
        <f>SUM('[1]14- All_India_Index_Upto_April2'!F334:S334)</f>
        <v>2456.2000000000003</v>
      </c>
      <c r="G334" s="9">
        <f>SUM('[1]14- All_India_Index_Upto_April2'!T334:V334)</f>
        <v>523</v>
      </c>
      <c r="H334" s="9" t="e">
        <f>SUM([1]!_14__All_India_Index_Upto_April2[[#This Row],[Housing new]],[1]!_14__All_India_Index_Upto_April2[[#This Row],[Household goods and services]])</f>
        <v>#REF!</v>
      </c>
      <c r="I334" s="9">
        <f>SUM('[1]14- All_India_Index_Upto_April2'!Z334,'[1]14- All_India_Index_Upto_April2'!AD334)</f>
        <v>344.8</v>
      </c>
      <c r="J334" s="9">
        <f>SUM('[1]14- All_India_Index_Upto_April2'!AA334)</f>
        <v>161.1</v>
      </c>
      <c r="K334" s="9">
        <f>'[1]14- All_India_Index_Upto_April2'!AC334</f>
        <v>169</v>
      </c>
      <c r="L334" s="9">
        <f>SUM('[1]14- All_India_Index_Upto_April2'!AB334,'[1]14- All_India_Index_Upto_April2'!AE334)</f>
        <v>333.3</v>
      </c>
      <c r="M334" s="9">
        <f>'[1]14- All_India_Index_Upto_April2'!AF334</f>
        <v>172.6</v>
      </c>
    </row>
    <row r="335" spans="1:13" hidden="1">
      <c r="A335" s="9" t="str">
        <f>'[1]14- All_India_Index_Upto_April2'!A335</f>
        <v>Rural</v>
      </c>
      <c r="B335" s="9">
        <f>'[1]14- All_India_Index_Upto_April2'!B335</f>
        <v>2022</v>
      </c>
      <c r="C335" s="9" t="str">
        <f>'[1]14- All_India_Index_Upto_April2'!C335</f>
        <v>July</v>
      </c>
      <c r="D335" s="9" t="str">
        <f t="shared" si="10"/>
        <v>July-2022</v>
      </c>
      <c r="E335" s="46">
        <f t="shared" si="11"/>
        <v>44743</v>
      </c>
      <c r="F335" s="9">
        <f>SUM('[1]14- All_India_Index_Upto_April2'!F335:S335)</f>
        <v>2445.6999999999998</v>
      </c>
      <c r="G335" s="9">
        <f>SUM('[1]14- All_India_Index_Upto_April2'!T335:V335)</f>
        <v>544</v>
      </c>
      <c r="H335" s="9" t="e">
        <f>SUM([1]!_14__All_India_Index_Upto_April2[[#This Row],[Housing new]],[1]!_14__All_India_Index_Upto_April2[[#This Row],[Household goods and services]])</f>
        <v>#REF!</v>
      </c>
      <c r="I335" s="9">
        <f>SUM('[1]14- All_India_Index_Upto_April2'!Z335,'[1]14- All_India_Index_Upto_April2'!AD335)</f>
        <v>348.5</v>
      </c>
      <c r="J335" s="9">
        <f>SUM('[1]14- All_India_Index_Upto_April2'!AA335)</f>
        <v>166.3</v>
      </c>
      <c r="K335" s="9">
        <f>'[1]14- All_India_Index_Upto_April2'!AC335</f>
        <v>174.7</v>
      </c>
      <c r="L335" s="9">
        <f>SUM('[1]14- All_India_Index_Upto_April2'!AB335,'[1]14- All_India_Index_Upto_April2'!AE335)</f>
        <v>340.4</v>
      </c>
      <c r="M335" s="9">
        <f>'[1]14- All_India_Index_Upto_April2'!AF335</f>
        <v>174.3</v>
      </c>
    </row>
    <row r="336" spans="1:13" hidden="1">
      <c r="A336" s="9" t="str">
        <f>'[1]14- All_India_Index_Upto_April2'!A336</f>
        <v>Urban</v>
      </c>
      <c r="B336" s="9">
        <f>'[1]14- All_India_Index_Upto_April2'!B336</f>
        <v>2022</v>
      </c>
      <c r="C336" s="9" t="str">
        <f>'[1]14- All_India_Index_Upto_April2'!C336</f>
        <v>July</v>
      </c>
      <c r="D336" s="9" t="str">
        <f t="shared" si="10"/>
        <v>July-2022</v>
      </c>
      <c r="E336" s="46">
        <f t="shared" si="11"/>
        <v>44743</v>
      </c>
      <c r="F336" s="9">
        <f>SUM('[1]14- All_India_Index_Upto_April2'!F336:S336)</f>
        <v>2490.1999999999998</v>
      </c>
      <c r="G336" s="9">
        <f>SUM('[1]14- All_India_Index_Upto_April2'!T336:V336)</f>
        <v>502</v>
      </c>
      <c r="H336" s="9" t="e">
        <f>SUM([1]!_14__All_India_Index_Upto_April2[[#This Row],[Housing new]],[1]!_14__All_India_Index_Upto_April2[[#This Row],[Household goods and services]])</f>
        <v>#REF!</v>
      </c>
      <c r="I336" s="9">
        <f>SUM('[1]14- All_India_Index_Upto_April2'!Z336,'[1]14- All_India_Index_Upto_April2'!AD336)</f>
        <v>341.5</v>
      </c>
      <c r="J336" s="9">
        <f>SUM('[1]14- All_India_Index_Upto_April2'!AA336)</f>
        <v>157.4</v>
      </c>
      <c r="K336" s="9">
        <f>'[1]14- All_India_Index_Upto_April2'!AC336</f>
        <v>169.1</v>
      </c>
      <c r="L336" s="9">
        <f>SUM('[1]14- All_India_Index_Upto_April2'!AB336,'[1]14- All_India_Index_Upto_April2'!AE336)</f>
        <v>329.29999999999995</v>
      </c>
      <c r="M336" s="9">
        <f>'[1]14- All_India_Index_Upto_April2'!AF336</f>
        <v>172.3</v>
      </c>
    </row>
    <row r="337" spans="1:13">
      <c r="A337" s="9" t="str">
        <f>'[1]14- All_India_Index_Upto_April2'!A337</f>
        <v>Rural+Urban</v>
      </c>
      <c r="B337" s="9">
        <f>'[1]14- All_India_Index_Upto_April2'!B337</f>
        <v>2022</v>
      </c>
      <c r="C337" s="9" t="str">
        <f>'[1]14- All_India_Index_Upto_April2'!C337</f>
        <v>July</v>
      </c>
      <c r="D337" s="9" t="str">
        <f t="shared" si="10"/>
        <v>July-2022</v>
      </c>
      <c r="E337" s="46">
        <f t="shared" si="11"/>
        <v>44743</v>
      </c>
      <c r="F337" s="9">
        <f>SUM('[1]14- All_India_Index_Upto_April2'!F337:S337)</f>
        <v>2460.9</v>
      </c>
      <c r="G337" s="9">
        <f>SUM('[1]14- All_India_Index_Upto_April2'!T337:V337)</f>
        <v>526.90000000000009</v>
      </c>
      <c r="H337" s="9" t="e">
        <f>SUM([1]!_14__All_India_Index_Upto_April2[[#This Row],[Housing new]],[1]!_14__All_India_Index_Upto_April2[[#This Row],[Household goods and services]])</f>
        <v>#REF!</v>
      </c>
      <c r="I337" s="9">
        <f>SUM('[1]14- All_India_Index_Upto_April2'!Z337,'[1]14- All_India_Index_Upto_April2'!AD337)</f>
        <v>345.79999999999995</v>
      </c>
      <c r="J337" s="9">
        <f>SUM('[1]14- All_India_Index_Upto_April2'!AA337)</f>
        <v>161.6</v>
      </c>
      <c r="K337" s="9">
        <f>'[1]14- All_India_Index_Upto_April2'!AC337</f>
        <v>171.4</v>
      </c>
      <c r="L337" s="9">
        <f>SUM('[1]14- All_India_Index_Upto_April2'!AB337,'[1]14- All_India_Index_Upto_April2'!AE337)</f>
        <v>334.70000000000005</v>
      </c>
      <c r="M337" s="9">
        <f>'[1]14- All_India_Index_Upto_April2'!AF337</f>
        <v>173.4</v>
      </c>
    </row>
    <row r="338" spans="1:13" hidden="1">
      <c r="A338" s="9" t="str">
        <f>'[1]14- All_India_Index_Upto_April2'!A338</f>
        <v>Rural</v>
      </c>
      <c r="B338" s="9">
        <f>'[1]14- All_India_Index_Upto_April2'!B338</f>
        <v>2022</v>
      </c>
      <c r="C338" s="9" t="str">
        <f>'[1]14- All_India_Index_Upto_April2'!C338</f>
        <v>August</v>
      </c>
      <c r="D338" s="9" t="str">
        <f t="shared" si="10"/>
        <v>August-2022</v>
      </c>
      <c r="E338" s="46">
        <f t="shared" si="11"/>
        <v>44774</v>
      </c>
      <c r="F338" s="9">
        <f>SUM('[1]14- All_India_Index_Upto_April2'!F338:S338)</f>
        <v>2449.4999999999995</v>
      </c>
      <c r="G338" s="9">
        <f>SUM('[1]14- All_India_Index_Upto_April2'!T338:V338)</f>
        <v>547.9</v>
      </c>
      <c r="H338" s="9" t="e">
        <f>SUM([1]!_14__All_India_Index_Upto_April2[[#This Row],[Housing new]],[1]!_14__All_India_Index_Upto_April2[[#This Row],[Household goods and services]])</f>
        <v>#REF!</v>
      </c>
      <c r="I338" s="9">
        <f>SUM('[1]14- All_India_Index_Upto_April2'!Z338,'[1]14- All_India_Index_Upto_April2'!AD338)</f>
        <v>350.5</v>
      </c>
      <c r="J338" s="9">
        <f>SUM('[1]14- All_India_Index_Upto_April2'!AA338)</f>
        <v>166.6</v>
      </c>
      <c r="K338" s="9">
        <f>'[1]14- All_India_Index_Upto_April2'!AC338</f>
        <v>175.7</v>
      </c>
      <c r="L338" s="9">
        <f>SUM('[1]14- All_India_Index_Upto_April2'!AB338,'[1]14- All_India_Index_Upto_April2'!AE338)</f>
        <v>341.9</v>
      </c>
      <c r="M338" s="9">
        <f>'[1]14- All_India_Index_Upto_April2'!AF338</f>
        <v>175.3</v>
      </c>
    </row>
    <row r="339" spans="1:13" hidden="1">
      <c r="A339" s="9" t="str">
        <f>'[1]14- All_India_Index_Upto_April2'!A339</f>
        <v>Urban</v>
      </c>
      <c r="B339" s="9">
        <f>'[1]14- All_India_Index_Upto_April2'!B339</f>
        <v>2022</v>
      </c>
      <c r="C339" s="9" t="str">
        <f>'[1]14- All_India_Index_Upto_April2'!C339</f>
        <v>August</v>
      </c>
      <c r="D339" s="9" t="str">
        <f t="shared" si="10"/>
        <v>August-2022</v>
      </c>
      <c r="E339" s="46">
        <f t="shared" si="11"/>
        <v>44774</v>
      </c>
      <c r="F339" s="9">
        <f>SUM('[1]14- All_India_Index_Upto_April2'!F339:S339)</f>
        <v>2492.3999999999996</v>
      </c>
      <c r="G339" s="9">
        <f>SUM('[1]14- All_India_Index_Upto_April2'!T339:V339)</f>
        <v>505.29999999999995</v>
      </c>
      <c r="H339" s="9" t="e">
        <f>SUM([1]!_14__All_India_Index_Upto_April2[[#This Row],[Housing new]],[1]!_14__All_India_Index_Upto_April2[[#This Row],[Household goods and services]])</f>
        <v>#REF!</v>
      </c>
      <c r="I339" s="9">
        <f>SUM('[1]14- All_India_Index_Upto_April2'!Z339,'[1]14- All_India_Index_Upto_April2'!AD339)</f>
        <v>344</v>
      </c>
      <c r="J339" s="9">
        <f>SUM('[1]14- All_India_Index_Upto_April2'!AA339)</f>
        <v>157.69999999999999</v>
      </c>
      <c r="K339" s="9">
        <f>'[1]14- All_India_Index_Upto_April2'!AC339</f>
        <v>169.9</v>
      </c>
      <c r="L339" s="9">
        <f>SUM('[1]14- All_India_Index_Upto_April2'!AB339,'[1]14- All_India_Index_Upto_April2'!AE339)</f>
        <v>330.5</v>
      </c>
      <c r="M339" s="9">
        <f>'[1]14- All_India_Index_Upto_April2'!AF339</f>
        <v>173.1</v>
      </c>
    </row>
    <row r="340" spans="1:13">
      <c r="A340" s="9" t="str">
        <f>'[1]14- All_India_Index_Upto_April2'!A340</f>
        <v>Rural+Urban</v>
      </c>
      <c r="B340" s="9">
        <f>'[1]14- All_India_Index_Upto_April2'!B340</f>
        <v>2022</v>
      </c>
      <c r="C340" s="9" t="str">
        <f>'[1]14- All_India_Index_Upto_April2'!C340</f>
        <v>August</v>
      </c>
      <c r="D340" s="9" t="str">
        <f t="shared" si="10"/>
        <v>August-2022</v>
      </c>
      <c r="E340" s="46">
        <f t="shared" si="11"/>
        <v>44774</v>
      </c>
      <c r="F340" s="9">
        <f>SUM('[1]14- All_India_Index_Upto_April2'!F340:S340)</f>
        <v>2464.2000000000003</v>
      </c>
      <c r="G340" s="9">
        <f>SUM('[1]14- All_India_Index_Upto_April2'!T340:V340)</f>
        <v>530.70000000000005</v>
      </c>
      <c r="H340" s="9" t="e">
        <f>SUM([1]!_14__All_India_Index_Upto_April2[[#This Row],[Housing new]],[1]!_14__All_India_Index_Upto_April2[[#This Row],[Household goods and services]])</f>
        <v>#REF!</v>
      </c>
      <c r="I340" s="9">
        <f>SUM('[1]14- All_India_Index_Upto_April2'!Z340,'[1]14- All_India_Index_Upto_April2'!AD340)</f>
        <v>348</v>
      </c>
      <c r="J340" s="9">
        <f>SUM('[1]14- All_India_Index_Upto_April2'!AA340)</f>
        <v>161.9</v>
      </c>
      <c r="K340" s="9">
        <f>'[1]14- All_India_Index_Upto_April2'!AC340</f>
        <v>172.3</v>
      </c>
      <c r="L340" s="9">
        <f>SUM('[1]14- All_India_Index_Upto_April2'!AB340,'[1]14- All_India_Index_Upto_April2'!AE340)</f>
        <v>336</v>
      </c>
      <c r="M340" s="9">
        <f>'[1]14- All_India_Index_Upto_April2'!AF340</f>
        <v>174.3</v>
      </c>
    </row>
    <row r="341" spans="1:13" hidden="1">
      <c r="A341" s="9" t="str">
        <f>'[1]14- All_India_Index_Upto_April2'!A341</f>
        <v>Rural</v>
      </c>
      <c r="B341" s="9">
        <f>'[1]14- All_India_Index_Upto_April2'!B341</f>
        <v>2022</v>
      </c>
      <c r="C341" s="9" t="str">
        <f>'[1]14- All_India_Index_Upto_April2'!C341</f>
        <v>September</v>
      </c>
      <c r="D341" s="9" t="str">
        <f t="shared" si="10"/>
        <v>September-2022</v>
      </c>
      <c r="E341" s="46">
        <f t="shared" si="11"/>
        <v>44805</v>
      </c>
      <c r="F341" s="9">
        <f>SUM('[1]14- All_India_Index_Upto_April2'!F341:S341)</f>
        <v>2462.3000000000002</v>
      </c>
      <c r="G341" s="9">
        <f>SUM('[1]14- All_India_Index_Upto_April2'!T341:V341)</f>
        <v>552.5</v>
      </c>
      <c r="H341" s="9" t="e">
        <f>SUM([1]!_14__All_India_Index_Upto_April2[[#This Row],[Housing new]],[1]!_14__All_India_Index_Upto_April2[[#This Row],[Household goods and services]])</f>
        <v>#REF!</v>
      </c>
      <c r="I341" s="9">
        <f>SUM('[1]14- All_India_Index_Upto_April2'!Z341,'[1]14- All_India_Index_Upto_April2'!AD341)</f>
        <v>351</v>
      </c>
      <c r="J341" s="9">
        <f>SUM('[1]14- All_India_Index_Upto_April2'!AA341)</f>
        <v>166.9</v>
      </c>
      <c r="K341" s="9">
        <f>'[1]14- All_India_Index_Upto_April2'!AC341</f>
        <v>176.2</v>
      </c>
      <c r="L341" s="9">
        <f>SUM('[1]14- All_India_Index_Upto_April2'!AB341,'[1]14- All_India_Index_Upto_April2'!AE341)</f>
        <v>343.1</v>
      </c>
      <c r="M341" s="9">
        <f>'[1]14- All_India_Index_Upto_April2'!AF341</f>
        <v>176.4</v>
      </c>
    </row>
    <row r="342" spans="1:13" hidden="1">
      <c r="A342" s="9" t="str">
        <f>'[1]14- All_India_Index_Upto_April2'!A342</f>
        <v>Urban</v>
      </c>
      <c r="B342" s="9">
        <f>'[1]14- All_India_Index_Upto_April2'!B342</f>
        <v>2022</v>
      </c>
      <c r="C342" s="9" t="str">
        <f>'[1]14- All_India_Index_Upto_April2'!C342</f>
        <v>September</v>
      </c>
      <c r="D342" s="9" t="str">
        <f t="shared" si="10"/>
        <v>September-2022</v>
      </c>
      <c r="E342" s="46">
        <f t="shared" si="11"/>
        <v>44805</v>
      </c>
      <c r="F342" s="9">
        <f>SUM('[1]14- All_India_Index_Upto_April2'!F342:S342)</f>
        <v>2506.1</v>
      </c>
      <c r="G342" s="9">
        <f>SUM('[1]14- All_India_Index_Upto_April2'!T342:V342)</f>
        <v>509.7</v>
      </c>
      <c r="H342" s="9" t="e">
        <f>SUM([1]!_14__All_India_Index_Upto_April2[[#This Row],[Housing new]],[1]!_14__All_India_Index_Upto_April2[[#This Row],[Household goods and services]])</f>
        <v>#REF!</v>
      </c>
      <c r="I342" s="9">
        <f>SUM('[1]14- All_India_Index_Upto_April2'!Z342,'[1]14- All_India_Index_Upto_April2'!AD342)</f>
        <v>344.9</v>
      </c>
      <c r="J342" s="9">
        <f>SUM('[1]14- All_India_Index_Upto_April2'!AA342)</f>
        <v>158.19999999999999</v>
      </c>
      <c r="K342" s="9">
        <f>'[1]14- All_India_Index_Upto_April2'!AC342</f>
        <v>170.9</v>
      </c>
      <c r="L342" s="9">
        <f>SUM('[1]14- All_India_Index_Upto_April2'!AB342,'[1]14- All_India_Index_Upto_April2'!AE342)</f>
        <v>331.9</v>
      </c>
      <c r="M342" s="9">
        <f>'[1]14- All_India_Index_Upto_April2'!AF342</f>
        <v>174.1</v>
      </c>
    </row>
    <row r="343" spans="1:13">
      <c r="A343" s="9" t="str">
        <f>'[1]14- All_India_Index_Upto_April2'!A343</f>
        <v>Rural+Urban</v>
      </c>
      <c r="B343" s="9">
        <f>'[1]14- All_India_Index_Upto_April2'!B343</f>
        <v>2022</v>
      </c>
      <c r="C343" s="9" t="str">
        <f>'[1]14- All_India_Index_Upto_April2'!C343</f>
        <v>September</v>
      </c>
      <c r="D343" s="9" t="str">
        <f t="shared" si="10"/>
        <v>September-2022</v>
      </c>
      <c r="E343" s="46">
        <f t="shared" si="11"/>
        <v>44805</v>
      </c>
      <c r="F343" s="9">
        <f>SUM('[1]14- All_India_Index_Upto_April2'!F343:S343)</f>
        <v>2476.8000000000002</v>
      </c>
      <c r="G343" s="9">
        <f>SUM('[1]14- All_India_Index_Upto_April2'!T343:V343)</f>
        <v>535.1</v>
      </c>
      <c r="H343" s="9" t="e">
        <f>SUM([1]!_14__All_India_Index_Upto_April2[[#This Row],[Housing new]],[1]!_14__All_India_Index_Upto_April2[[#This Row],[Household goods and services]])</f>
        <v>#REF!</v>
      </c>
      <c r="I343" s="9">
        <f>SUM('[1]14- All_India_Index_Upto_April2'!Z343,'[1]14- All_India_Index_Upto_April2'!AD343)</f>
        <v>348.70000000000005</v>
      </c>
      <c r="J343" s="9">
        <f>SUM('[1]14- All_India_Index_Upto_April2'!AA343)</f>
        <v>162.30000000000001</v>
      </c>
      <c r="K343" s="9">
        <f>'[1]14- All_India_Index_Upto_April2'!AC343</f>
        <v>173.1</v>
      </c>
      <c r="L343" s="9">
        <f>SUM('[1]14- All_India_Index_Upto_April2'!AB343,'[1]14- All_India_Index_Upto_April2'!AE343)</f>
        <v>337.29999999999995</v>
      </c>
      <c r="M343" s="9">
        <f>'[1]14- All_India_Index_Upto_April2'!AF343</f>
        <v>175.3</v>
      </c>
    </row>
    <row r="344" spans="1:13" hidden="1">
      <c r="A344" s="9" t="str">
        <f>'[1]14- All_India_Index_Upto_April2'!A344</f>
        <v>Rural</v>
      </c>
      <c r="B344" s="9">
        <f>'[1]14- All_India_Index_Upto_April2'!B344</f>
        <v>2022</v>
      </c>
      <c r="C344" s="9" t="str">
        <f>'[1]14- All_India_Index_Upto_April2'!C344</f>
        <v>October</v>
      </c>
      <c r="D344" s="9" t="str">
        <f t="shared" si="10"/>
        <v>October-2022</v>
      </c>
      <c r="E344" s="46">
        <f t="shared" si="11"/>
        <v>44835</v>
      </c>
      <c r="F344" s="9">
        <f>SUM('[1]14- All_India_Index_Upto_April2'!F344:S344)</f>
        <v>2479.4</v>
      </c>
      <c r="G344" s="9">
        <f>SUM('[1]14- All_India_Index_Upto_April2'!T344:V344)</f>
        <v>556.4</v>
      </c>
      <c r="H344" s="9" t="e">
        <f>SUM([1]!_14__All_India_Index_Upto_April2[[#This Row],[Housing new]],[1]!_14__All_India_Index_Upto_April2[[#This Row],[Household goods and services]])</f>
        <v>#REF!</v>
      </c>
      <c r="I344" s="9">
        <f>SUM('[1]14- All_India_Index_Upto_April2'!Z344,'[1]14- All_India_Index_Upto_April2'!AD344)</f>
        <v>353.2</v>
      </c>
      <c r="J344" s="9">
        <f>SUM('[1]14- All_India_Index_Upto_April2'!AA344)</f>
        <v>167.4</v>
      </c>
      <c r="K344" s="9">
        <f>'[1]14- All_India_Index_Upto_April2'!AC344</f>
        <v>176.5</v>
      </c>
      <c r="L344" s="9">
        <f>SUM('[1]14- All_India_Index_Upto_April2'!AB344,'[1]14- All_India_Index_Upto_April2'!AE344)</f>
        <v>344.5</v>
      </c>
      <c r="M344" s="9">
        <f>'[1]14- All_India_Index_Upto_April2'!AF344</f>
        <v>177.9</v>
      </c>
    </row>
    <row r="345" spans="1:13" hidden="1">
      <c r="A345" s="9" t="str">
        <f>'[1]14- All_India_Index_Upto_April2'!A345</f>
        <v>Urban</v>
      </c>
      <c r="B345" s="9">
        <f>'[1]14- All_India_Index_Upto_April2'!B345</f>
        <v>2022</v>
      </c>
      <c r="C345" s="9" t="str">
        <f>'[1]14- All_India_Index_Upto_April2'!C345</f>
        <v>October</v>
      </c>
      <c r="D345" s="9" t="str">
        <f t="shared" si="10"/>
        <v>October-2022</v>
      </c>
      <c r="E345" s="46">
        <f t="shared" si="11"/>
        <v>44835</v>
      </c>
      <c r="F345" s="9">
        <f>SUM('[1]14- All_India_Index_Upto_April2'!F345:S345)</f>
        <v>2522.4</v>
      </c>
      <c r="G345" s="9">
        <f>SUM('[1]14- All_India_Index_Upto_April2'!T345:V345)</f>
        <v>511.70000000000005</v>
      </c>
      <c r="H345" s="9" t="e">
        <f>SUM([1]!_14__All_India_Index_Upto_April2[[#This Row],[Housing new]],[1]!_14__All_India_Index_Upto_April2[[#This Row],[Household goods and services]])</f>
        <v>#REF!</v>
      </c>
      <c r="I345" s="9">
        <f>SUM('[1]14- All_India_Index_Upto_April2'!Z345,'[1]14- All_India_Index_Upto_April2'!AD345)</f>
        <v>347</v>
      </c>
      <c r="J345" s="9">
        <f>SUM('[1]14- All_India_Index_Upto_April2'!AA345)</f>
        <v>158.80000000000001</v>
      </c>
      <c r="K345" s="9">
        <f>'[1]14- All_India_Index_Upto_April2'!AC345</f>
        <v>171.2</v>
      </c>
      <c r="L345" s="9">
        <f>SUM('[1]14- All_India_Index_Upto_April2'!AB345,'[1]14- All_India_Index_Upto_April2'!AE345)</f>
        <v>333.1</v>
      </c>
      <c r="M345" s="9">
        <f>'[1]14- All_India_Index_Upto_April2'!AF345</f>
        <v>175.3</v>
      </c>
    </row>
    <row r="346" spans="1:13">
      <c r="A346" s="9" t="str">
        <f>'[1]14- All_India_Index_Upto_April2'!A346</f>
        <v>Rural+Urban</v>
      </c>
      <c r="B346" s="9">
        <f>'[1]14- All_India_Index_Upto_April2'!B346</f>
        <v>2022</v>
      </c>
      <c r="C346" s="9" t="str">
        <f>'[1]14- All_India_Index_Upto_April2'!C346</f>
        <v>October</v>
      </c>
      <c r="D346" s="9" t="str">
        <f t="shared" si="10"/>
        <v>October-2022</v>
      </c>
      <c r="E346" s="46">
        <f t="shared" si="11"/>
        <v>44835</v>
      </c>
      <c r="F346" s="9">
        <f>SUM('[1]14- All_India_Index_Upto_April2'!F346:S346)</f>
        <v>2493.6000000000004</v>
      </c>
      <c r="G346" s="9">
        <f>SUM('[1]14- All_India_Index_Upto_April2'!T346:V346)</f>
        <v>538.20000000000005</v>
      </c>
      <c r="H346" s="9" t="e">
        <f>SUM([1]!_14__All_India_Index_Upto_April2[[#This Row],[Housing new]],[1]!_14__All_India_Index_Upto_April2[[#This Row],[Household goods and services]])</f>
        <v>#REF!</v>
      </c>
      <c r="I346" s="9">
        <f>SUM('[1]14- All_India_Index_Upto_April2'!Z346,'[1]14- All_India_Index_Upto_April2'!AD346)</f>
        <v>350.79999999999995</v>
      </c>
      <c r="J346" s="9">
        <f>SUM('[1]14- All_India_Index_Upto_April2'!AA346)</f>
        <v>162.9</v>
      </c>
      <c r="K346" s="9">
        <f>'[1]14- All_India_Index_Upto_April2'!AC346</f>
        <v>173.4</v>
      </c>
      <c r="L346" s="9">
        <f>SUM('[1]14- All_India_Index_Upto_April2'!AB346,'[1]14- All_India_Index_Upto_April2'!AE346)</f>
        <v>338.7</v>
      </c>
      <c r="M346" s="9">
        <f>'[1]14- All_India_Index_Upto_April2'!AF346</f>
        <v>176.7</v>
      </c>
    </row>
    <row r="347" spans="1:13" hidden="1">
      <c r="A347" s="9" t="str">
        <f>'[1]14- All_India_Index_Upto_April2'!A347</f>
        <v>Rural</v>
      </c>
      <c r="B347" s="9">
        <f>'[1]14- All_India_Index_Upto_April2'!B347</f>
        <v>2022</v>
      </c>
      <c r="C347" s="9" t="str">
        <f>'[1]14- All_India_Index_Upto_April2'!C347</f>
        <v>November</v>
      </c>
      <c r="D347" s="9" t="str">
        <f t="shared" si="10"/>
        <v>November-2022</v>
      </c>
      <c r="E347" s="46">
        <f t="shared" si="11"/>
        <v>44866</v>
      </c>
      <c r="F347" s="9">
        <f>SUM('[1]14- All_India_Index_Upto_April2'!F347:S347)</f>
        <v>2483.1999999999998</v>
      </c>
      <c r="G347" s="9">
        <f>SUM('[1]14- All_India_Index_Upto_April2'!T347:V347)</f>
        <v>559.29999999999995</v>
      </c>
      <c r="H347" s="9" t="e">
        <f>SUM([1]!_14__All_India_Index_Upto_April2[[#This Row],[Housing new]],[1]!_14__All_India_Index_Upto_April2[[#This Row],[Household goods and services]])</f>
        <v>#REF!</v>
      </c>
      <c r="I347" s="9">
        <f>SUM('[1]14- All_India_Index_Upto_April2'!Z347,'[1]14- All_India_Index_Upto_April2'!AD347)</f>
        <v>355.70000000000005</v>
      </c>
      <c r="J347" s="9">
        <f>SUM('[1]14- All_India_Index_Upto_April2'!AA347)</f>
        <v>167.5</v>
      </c>
      <c r="K347" s="9">
        <f>'[1]14- All_India_Index_Upto_April2'!AC347</f>
        <v>176.9</v>
      </c>
      <c r="L347" s="9">
        <f>SUM('[1]14- All_India_Index_Upto_April2'!AB347,'[1]14- All_India_Index_Upto_April2'!AE347)</f>
        <v>345.4</v>
      </c>
      <c r="M347" s="9">
        <f>'[1]14- All_India_Index_Upto_April2'!AF347</f>
        <v>177.8</v>
      </c>
    </row>
    <row r="348" spans="1:13" hidden="1">
      <c r="A348" s="9" t="str">
        <f>'[1]14- All_India_Index_Upto_April2'!A348</f>
        <v>Urban</v>
      </c>
      <c r="B348" s="9">
        <f>'[1]14- All_India_Index_Upto_April2'!B348</f>
        <v>2022</v>
      </c>
      <c r="C348" s="9" t="str">
        <f>'[1]14- All_India_Index_Upto_April2'!C348</f>
        <v>November</v>
      </c>
      <c r="D348" s="9" t="str">
        <f t="shared" si="10"/>
        <v>November-2022</v>
      </c>
      <c r="E348" s="46">
        <f t="shared" si="11"/>
        <v>44866</v>
      </c>
      <c r="F348" s="9">
        <f>SUM('[1]14- All_India_Index_Upto_April2'!F348:S348)</f>
        <v>2515</v>
      </c>
      <c r="G348" s="9">
        <f>SUM('[1]14- All_India_Index_Upto_April2'!T348:V348)</f>
        <v>514.9</v>
      </c>
      <c r="H348" s="9" t="e">
        <f>SUM([1]!_14__All_India_Index_Upto_April2[[#This Row],[Housing new]],[1]!_14__All_India_Index_Upto_April2[[#This Row],[Household goods and services]])</f>
        <v>#REF!</v>
      </c>
      <c r="I348" s="9">
        <f>SUM('[1]14- All_India_Index_Upto_April2'!Z348,'[1]14- All_India_Index_Upto_April2'!AD348)</f>
        <v>349.6</v>
      </c>
      <c r="J348" s="9">
        <f>SUM('[1]14- All_India_Index_Upto_April2'!AA348)</f>
        <v>158.9</v>
      </c>
      <c r="K348" s="9">
        <f>'[1]14- All_India_Index_Upto_April2'!AC348</f>
        <v>171.5</v>
      </c>
      <c r="L348" s="9">
        <f>SUM('[1]14- All_India_Index_Upto_April2'!AB348,'[1]14- All_India_Index_Upto_April2'!AE348)</f>
        <v>334.1</v>
      </c>
      <c r="M348" s="9">
        <f>'[1]14- All_India_Index_Upto_April2'!AF348</f>
        <v>174.1</v>
      </c>
    </row>
    <row r="349" spans="1:13">
      <c r="A349" s="9" t="str">
        <f>'[1]14- All_India_Index_Upto_April2'!A349</f>
        <v>Rural+Urban</v>
      </c>
      <c r="B349" s="9">
        <f>'[1]14- All_India_Index_Upto_April2'!B349</f>
        <v>2022</v>
      </c>
      <c r="C349" s="9" t="str">
        <f>'[1]14- All_India_Index_Upto_April2'!C349</f>
        <v>November</v>
      </c>
      <c r="D349" s="9" t="str">
        <f t="shared" si="10"/>
        <v>November-2022</v>
      </c>
      <c r="E349" s="46">
        <f t="shared" si="11"/>
        <v>44866</v>
      </c>
      <c r="F349" s="9">
        <f>SUM('[1]14- All_India_Index_Upto_April2'!F349:S349)</f>
        <v>2493.7000000000003</v>
      </c>
      <c r="G349" s="9">
        <f>SUM('[1]14- All_India_Index_Upto_April2'!T349:V349)</f>
        <v>541.4</v>
      </c>
      <c r="H349" s="9" t="e">
        <f>SUM([1]!_14__All_India_Index_Upto_April2[[#This Row],[Housing new]],[1]!_14__All_India_Index_Upto_April2[[#This Row],[Household goods and services]])</f>
        <v>#REF!</v>
      </c>
      <c r="I349" s="9">
        <f>SUM('[1]14- All_India_Index_Upto_April2'!Z349,'[1]14- All_India_Index_Upto_April2'!AD349)</f>
        <v>353.4</v>
      </c>
      <c r="J349" s="9">
        <f>SUM('[1]14- All_India_Index_Upto_April2'!AA349)</f>
        <v>163</v>
      </c>
      <c r="K349" s="9">
        <f>'[1]14- All_India_Index_Upto_April2'!AC349</f>
        <v>173.7</v>
      </c>
      <c r="L349" s="9">
        <f>SUM('[1]14- All_India_Index_Upto_April2'!AB349,'[1]14- All_India_Index_Upto_April2'!AE349)</f>
        <v>339.6</v>
      </c>
      <c r="M349" s="9">
        <f>'[1]14- All_India_Index_Upto_April2'!AF349</f>
        <v>176.5</v>
      </c>
    </row>
    <row r="350" spans="1:13" hidden="1">
      <c r="A350" s="9" t="str">
        <f>'[1]14- All_India_Index_Upto_April2'!A350</f>
        <v>Rural</v>
      </c>
      <c r="B350" s="9">
        <f>'[1]14- All_India_Index_Upto_April2'!B350</f>
        <v>2022</v>
      </c>
      <c r="C350" s="9" t="str">
        <f>'[1]14- All_India_Index_Upto_April2'!C350</f>
        <v>December</v>
      </c>
      <c r="D350" s="9" t="str">
        <f t="shared" si="10"/>
        <v>December-2022</v>
      </c>
      <c r="E350" s="46">
        <f t="shared" si="11"/>
        <v>44896</v>
      </c>
      <c r="F350" s="9">
        <f>SUM('[1]14- All_India_Index_Upto_April2'!F350:S350)</f>
        <v>2473</v>
      </c>
      <c r="G350" s="9">
        <f>SUM('[1]14- All_India_Index_Upto_April2'!T350:V350)</f>
        <v>561.79999999999995</v>
      </c>
      <c r="H350" s="9" t="e">
        <f>SUM([1]!_14__All_India_Index_Upto_April2[[#This Row],[Housing new]],[1]!_14__All_India_Index_Upto_April2[[#This Row],[Household goods and services]])</f>
        <v>#REF!</v>
      </c>
      <c r="I350" s="9">
        <f>SUM('[1]14- All_India_Index_Upto_April2'!Z350,'[1]14- All_India_Index_Upto_April2'!AD350)</f>
        <v>359.2</v>
      </c>
      <c r="J350" s="9">
        <f>SUM('[1]14- All_India_Index_Upto_April2'!AA350)</f>
        <v>167.8</v>
      </c>
      <c r="K350" s="9">
        <f>'[1]14- All_India_Index_Upto_April2'!AC350</f>
        <v>177.3</v>
      </c>
      <c r="L350" s="9">
        <f>SUM('[1]14- All_India_Index_Upto_April2'!AB350,'[1]14- All_India_Index_Upto_April2'!AE350)</f>
        <v>346.7</v>
      </c>
      <c r="M350" s="9">
        <f>'[1]14- All_India_Index_Upto_April2'!AF350</f>
        <v>177.1</v>
      </c>
    </row>
    <row r="351" spans="1:13" hidden="1">
      <c r="A351" s="9" t="str">
        <f>'[1]14- All_India_Index_Upto_April2'!A351</f>
        <v>Urban</v>
      </c>
      <c r="B351" s="9">
        <f>'[1]14- All_India_Index_Upto_April2'!B351</f>
        <v>2022</v>
      </c>
      <c r="C351" s="9" t="str">
        <f>'[1]14- All_India_Index_Upto_April2'!C351</f>
        <v>December</v>
      </c>
      <c r="D351" s="9" t="str">
        <f t="shared" si="10"/>
        <v>December-2022</v>
      </c>
      <c r="E351" s="46">
        <f t="shared" si="11"/>
        <v>44896</v>
      </c>
      <c r="F351" s="9">
        <f>SUM('[1]14- All_India_Index_Upto_April2'!F351:S351)</f>
        <v>2496.8999999999996</v>
      </c>
      <c r="G351" s="9">
        <f>SUM('[1]14- All_India_Index_Upto_April2'!T351:V351)</f>
        <v>517.9</v>
      </c>
      <c r="H351" s="9" t="e">
        <f>SUM([1]!_14__All_India_Index_Upto_April2[[#This Row],[Housing new]],[1]!_14__All_India_Index_Upto_April2[[#This Row],[Household goods and services]])</f>
        <v>#REF!</v>
      </c>
      <c r="I351" s="9">
        <f>SUM('[1]14- All_India_Index_Upto_April2'!Z351,'[1]14- All_India_Index_Upto_April2'!AD351)</f>
        <v>353.2</v>
      </c>
      <c r="J351" s="9">
        <f>SUM('[1]14- All_India_Index_Upto_April2'!AA351)</f>
        <v>159.4</v>
      </c>
      <c r="K351" s="9">
        <f>'[1]14- All_India_Index_Upto_April2'!AC351</f>
        <v>171.8</v>
      </c>
      <c r="L351" s="9">
        <f>SUM('[1]14- All_India_Index_Upto_April2'!AB351,'[1]14- All_India_Index_Upto_April2'!AE351)</f>
        <v>335.29999999999995</v>
      </c>
      <c r="M351" s="9">
        <f>'[1]14- All_India_Index_Upto_April2'!AF351</f>
        <v>174.1</v>
      </c>
    </row>
    <row r="352" spans="1:13">
      <c r="A352" s="9" t="str">
        <f>'[1]14- All_India_Index_Upto_April2'!A352</f>
        <v>Rural+Urban</v>
      </c>
      <c r="B352" s="9">
        <f>'[1]14- All_India_Index_Upto_April2'!B352</f>
        <v>2022</v>
      </c>
      <c r="C352" s="9" t="str">
        <f>'[1]14- All_India_Index_Upto_April2'!C352</f>
        <v>December</v>
      </c>
      <c r="D352" s="9" t="str">
        <f t="shared" si="10"/>
        <v>December-2022</v>
      </c>
      <c r="E352" s="46">
        <f t="shared" si="11"/>
        <v>44896</v>
      </c>
      <c r="F352" s="9">
        <f>SUM('[1]14- All_India_Index_Upto_April2'!F352:S352)</f>
        <v>2480.7000000000003</v>
      </c>
      <c r="G352" s="9">
        <f>SUM('[1]14- All_India_Index_Upto_April2'!T352:V352)</f>
        <v>544</v>
      </c>
      <c r="H352" s="9" t="e">
        <f>SUM([1]!_14__All_India_Index_Upto_April2[[#This Row],[Housing new]],[1]!_14__All_India_Index_Upto_April2[[#This Row],[Household goods and services]])</f>
        <v>#REF!</v>
      </c>
      <c r="I352" s="9">
        <f>SUM('[1]14- All_India_Index_Upto_April2'!Z352,'[1]14- All_India_Index_Upto_April2'!AD352)</f>
        <v>356.9</v>
      </c>
      <c r="J352" s="9">
        <f>SUM('[1]14- All_India_Index_Upto_April2'!AA352)</f>
        <v>163.4</v>
      </c>
      <c r="K352" s="9">
        <f>'[1]14- All_India_Index_Upto_April2'!AC352</f>
        <v>174.1</v>
      </c>
      <c r="L352" s="9">
        <f>SUM('[1]14- All_India_Index_Upto_April2'!AB352,'[1]14- All_India_Index_Upto_April2'!AE352)</f>
        <v>340.9</v>
      </c>
      <c r="M352" s="9">
        <f>'[1]14- All_India_Index_Upto_April2'!AF352</f>
        <v>175.7</v>
      </c>
    </row>
    <row r="353" spans="1:13" hidden="1">
      <c r="A353" s="9" t="str">
        <f>'[1]14- All_India_Index_Upto_April2'!A353</f>
        <v>Rural</v>
      </c>
      <c r="B353" s="9">
        <f>'[1]14- All_India_Index_Upto_April2'!B353</f>
        <v>2023</v>
      </c>
      <c r="C353" s="9" t="str">
        <f>'[1]14- All_India_Index_Upto_April2'!C353</f>
        <v>January</v>
      </c>
      <c r="D353" s="9" t="str">
        <f t="shared" si="10"/>
        <v>January-2023</v>
      </c>
      <c r="E353" s="46">
        <f t="shared" si="11"/>
        <v>44927</v>
      </c>
      <c r="F353" s="9">
        <f>SUM('[1]14- All_India_Index_Upto_April2'!F353:S353)</f>
        <v>2480.1000000000004</v>
      </c>
      <c r="G353" s="9">
        <f>SUM('[1]14- All_India_Index_Upto_April2'!T353:V353)</f>
        <v>563.9</v>
      </c>
      <c r="H353" s="9" t="e">
        <f>SUM([1]!_14__All_India_Index_Upto_April2[[#This Row],[Housing new]],[1]!_14__All_India_Index_Upto_April2[[#This Row],[Household goods and services]])</f>
        <v>#REF!</v>
      </c>
      <c r="I353" s="9">
        <f>SUM('[1]14- All_India_Index_Upto_April2'!Z353,'[1]14- All_India_Index_Upto_April2'!AD353)</f>
        <v>363.1</v>
      </c>
      <c r="J353" s="9">
        <f>SUM('[1]14- All_India_Index_Upto_April2'!AA353)</f>
        <v>168.2</v>
      </c>
      <c r="K353" s="9">
        <f>'[1]14- All_India_Index_Upto_April2'!AC353</f>
        <v>177.8</v>
      </c>
      <c r="L353" s="9">
        <f>SUM('[1]14- All_India_Index_Upto_April2'!AB353,'[1]14- All_India_Index_Upto_April2'!AE353)</f>
        <v>348.3</v>
      </c>
      <c r="M353" s="9">
        <f>'[1]14- All_India_Index_Upto_April2'!AF353</f>
        <v>177.8</v>
      </c>
    </row>
    <row r="354" spans="1:13" hidden="1">
      <c r="A354" s="9" t="str">
        <f>'[1]14- All_India_Index_Upto_April2'!A354</f>
        <v>Urban</v>
      </c>
      <c r="B354" s="9">
        <f>'[1]14- All_India_Index_Upto_April2'!B354</f>
        <v>2023</v>
      </c>
      <c r="C354" s="9" t="str">
        <f>'[1]14- All_India_Index_Upto_April2'!C354</f>
        <v>January</v>
      </c>
      <c r="D354" s="9" t="str">
        <f t="shared" si="10"/>
        <v>January-2023</v>
      </c>
      <c r="E354" s="46">
        <f t="shared" si="11"/>
        <v>44927</v>
      </c>
      <c r="F354" s="9">
        <f>SUM('[1]14- All_India_Index_Upto_April2'!F354:S354)</f>
        <v>2511.8000000000002</v>
      </c>
      <c r="G354" s="9">
        <f>SUM('[1]14- All_India_Index_Upto_April2'!T354:V354)</f>
        <v>520.6</v>
      </c>
      <c r="H354" s="9" t="e">
        <f>SUM([1]!_14__All_India_Index_Upto_April2[[#This Row],[Housing new]],[1]!_14__All_India_Index_Upto_April2[[#This Row],[Household goods and services]])</f>
        <v>#REF!</v>
      </c>
      <c r="I354" s="9">
        <f>SUM('[1]14- All_India_Index_Upto_April2'!Z354,'[1]14- All_India_Index_Upto_April2'!AD354)</f>
        <v>357.3</v>
      </c>
      <c r="J354" s="9">
        <f>SUM('[1]14- All_India_Index_Upto_April2'!AA354)</f>
        <v>159.5</v>
      </c>
      <c r="K354" s="9">
        <f>'[1]14- All_India_Index_Upto_April2'!AC354</f>
        <v>171.8</v>
      </c>
      <c r="L354" s="9">
        <f>SUM('[1]14- All_India_Index_Upto_April2'!AB354,'[1]14- All_India_Index_Upto_April2'!AE354)</f>
        <v>336.70000000000005</v>
      </c>
      <c r="M354" s="9">
        <f>'[1]14- All_India_Index_Upto_April2'!AF354</f>
        <v>174.9</v>
      </c>
    </row>
    <row r="355" spans="1:13">
      <c r="A355" s="9" t="str">
        <f>'[1]14- All_India_Index_Upto_April2'!A355</f>
        <v>Rural+Urban</v>
      </c>
      <c r="B355" s="9">
        <f>'[1]14- All_India_Index_Upto_April2'!B355</f>
        <v>2023</v>
      </c>
      <c r="C355" s="9" t="str">
        <f>'[1]14- All_India_Index_Upto_April2'!C355</f>
        <v>January</v>
      </c>
      <c r="D355" s="9" t="str">
        <f t="shared" si="10"/>
        <v>January-2023</v>
      </c>
      <c r="E355" s="46">
        <f t="shared" si="11"/>
        <v>44927</v>
      </c>
      <c r="F355" s="9">
        <f>SUM('[1]14- All_India_Index_Upto_April2'!F355:S355)</f>
        <v>2490.8999999999996</v>
      </c>
      <c r="G355" s="9">
        <f>SUM('[1]14- All_India_Index_Upto_April2'!T355:V355)</f>
        <v>546.29999999999995</v>
      </c>
      <c r="H355" s="9" t="e">
        <f>SUM([1]!_14__All_India_Index_Upto_April2[[#This Row],[Housing new]],[1]!_14__All_India_Index_Upto_April2[[#This Row],[Household goods and services]])</f>
        <v>#REF!</v>
      </c>
      <c r="I355" s="9">
        <f>SUM('[1]14- All_India_Index_Upto_April2'!Z355,'[1]14- All_India_Index_Upto_April2'!AD355)</f>
        <v>360.9</v>
      </c>
      <c r="J355" s="9">
        <f>SUM('[1]14- All_India_Index_Upto_April2'!AA355)</f>
        <v>163.6</v>
      </c>
      <c r="K355" s="9">
        <f>'[1]14- All_India_Index_Upto_April2'!AC355</f>
        <v>174.3</v>
      </c>
      <c r="L355" s="9">
        <f>SUM('[1]14- All_India_Index_Upto_April2'!AB355,'[1]14- All_India_Index_Upto_April2'!AE355)</f>
        <v>342.3</v>
      </c>
      <c r="M355" s="9">
        <f>'[1]14- All_India_Index_Upto_April2'!AF355</f>
        <v>176.5</v>
      </c>
    </row>
    <row r="356" spans="1:13" hidden="1">
      <c r="A356" s="9" t="str">
        <f>'[1]14- All_India_Index_Upto_April2'!A356</f>
        <v>Rural</v>
      </c>
      <c r="B356" s="9">
        <f>'[1]14- All_India_Index_Upto_April2'!B356</f>
        <v>2023</v>
      </c>
      <c r="C356" s="9" t="str">
        <f>'[1]14- All_India_Index_Upto_April2'!C356</f>
        <v>February</v>
      </c>
      <c r="D356" s="9" t="str">
        <f t="shared" si="10"/>
        <v>February-2023</v>
      </c>
      <c r="E356" s="46">
        <f t="shared" si="11"/>
        <v>44958</v>
      </c>
      <c r="F356" s="9">
        <f>SUM('[1]14- All_India_Index_Upto_April2'!F356:S356)</f>
        <v>2464</v>
      </c>
      <c r="G356" s="9">
        <f>SUM('[1]14- All_India_Index_Upto_April2'!T356:V356)</f>
        <v>566.6</v>
      </c>
      <c r="H356" s="9" t="e">
        <f>SUM([1]!_14__All_India_Index_Upto_April2[[#This Row],[Housing new]],[1]!_14__All_India_Index_Upto_April2[[#This Row],[Household goods and services]])</f>
        <v>#REF!</v>
      </c>
      <c r="I356" s="9">
        <f>SUM('[1]14- All_India_Index_Upto_April2'!Z356,'[1]14- All_India_Index_Upto_April2'!AD356)</f>
        <v>367.29999999999995</v>
      </c>
      <c r="J356" s="9">
        <f>SUM('[1]14- All_India_Index_Upto_April2'!AA356)</f>
        <v>169</v>
      </c>
      <c r="K356" s="9">
        <f>'[1]14- All_India_Index_Upto_April2'!AC356</f>
        <v>178.5</v>
      </c>
      <c r="L356" s="9">
        <f>SUM('[1]14- All_India_Index_Upto_April2'!AB356,'[1]14- All_India_Index_Upto_April2'!AE356)</f>
        <v>350.70000000000005</v>
      </c>
      <c r="M356" s="9">
        <f>'[1]14- All_India_Index_Upto_April2'!AF356</f>
        <v>178</v>
      </c>
    </row>
    <row r="357" spans="1:13" hidden="1">
      <c r="A357" s="9" t="str">
        <f>'[1]14- All_India_Index_Upto_April2'!A357</f>
        <v>Urban</v>
      </c>
      <c r="B357" s="9">
        <f>'[1]14- All_India_Index_Upto_April2'!B357</f>
        <v>2023</v>
      </c>
      <c r="C357" s="9" t="str">
        <f>'[1]14- All_India_Index_Upto_April2'!C357</f>
        <v>February</v>
      </c>
      <c r="D357" s="9" t="str">
        <f t="shared" si="10"/>
        <v>February-2023</v>
      </c>
      <c r="E357" s="46">
        <f t="shared" si="11"/>
        <v>44958</v>
      </c>
      <c r="F357" s="9">
        <f>SUM('[1]14- All_India_Index_Upto_April2'!F357:S357)</f>
        <v>2505.8999999999996</v>
      </c>
      <c r="G357" s="9">
        <f>SUM('[1]14- All_India_Index_Upto_April2'!T357:V357)</f>
        <v>525.5</v>
      </c>
      <c r="H357" s="9" t="e">
        <f>SUM([1]!_14__All_India_Index_Upto_April2[[#This Row],[Housing new]],[1]!_14__All_India_Index_Upto_April2[[#This Row],[Household goods and services]])</f>
        <v>#REF!</v>
      </c>
      <c r="I357" s="9">
        <f>SUM('[1]14- All_India_Index_Upto_April2'!Z357,'[1]14- All_India_Index_Upto_April2'!AD357)</f>
        <v>362.20000000000005</v>
      </c>
      <c r="J357" s="9">
        <f>SUM('[1]14- All_India_Index_Upto_April2'!AA357)</f>
        <v>159.80000000000001</v>
      </c>
      <c r="K357" s="9">
        <f>'[1]14- All_India_Index_Upto_April2'!AC357</f>
        <v>172.5</v>
      </c>
      <c r="L357" s="9">
        <f>SUM('[1]14- All_India_Index_Upto_April2'!AB357,'[1]14- All_India_Index_Upto_April2'!AE357)</f>
        <v>338.4</v>
      </c>
      <c r="M357" s="9">
        <f>'[1]14- All_India_Index_Upto_April2'!AF357</f>
        <v>176.3</v>
      </c>
    </row>
    <row r="358" spans="1:13">
      <c r="A358" s="9" t="str">
        <f>'[1]14- All_India_Index_Upto_April2'!A358</f>
        <v>Rural+Urban</v>
      </c>
      <c r="B358" s="9">
        <f>'[1]14- All_India_Index_Upto_April2'!B358</f>
        <v>2023</v>
      </c>
      <c r="C358" s="9" t="str">
        <f>'[1]14- All_India_Index_Upto_April2'!C358</f>
        <v>February</v>
      </c>
      <c r="D358" s="9" t="str">
        <f t="shared" si="10"/>
        <v>February-2023</v>
      </c>
      <c r="E358" s="46">
        <f t="shared" si="11"/>
        <v>44958</v>
      </c>
      <c r="F358" s="9">
        <f>SUM('[1]14- All_India_Index_Upto_April2'!F358:S358)</f>
        <v>2478.6</v>
      </c>
      <c r="G358" s="9">
        <f>SUM('[1]14- All_India_Index_Upto_April2'!T358:V358)</f>
        <v>550</v>
      </c>
      <c r="H358" s="9" t="e">
        <f>SUM([1]!_14__All_India_Index_Upto_April2[[#This Row],[Housing new]],[1]!_14__All_India_Index_Upto_April2[[#This Row],[Household goods and services]])</f>
        <v>#REF!</v>
      </c>
      <c r="I358" s="9">
        <f>SUM('[1]14- All_India_Index_Upto_April2'!Z358,'[1]14- All_India_Index_Upto_April2'!AD358)</f>
        <v>365.4</v>
      </c>
      <c r="J358" s="9">
        <f>SUM('[1]14- All_India_Index_Upto_April2'!AA358)</f>
        <v>164.2</v>
      </c>
      <c r="K358" s="9">
        <f>'[1]14- All_India_Index_Upto_April2'!AC358</f>
        <v>175</v>
      </c>
      <c r="L358" s="9">
        <f>SUM('[1]14- All_India_Index_Upto_April2'!AB358,'[1]14- All_India_Index_Upto_April2'!AE358)</f>
        <v>344.4</v>
      </c>
      <c r="M358" s="9">
        <f>'[1]14- All_India_Index_Upto_April2'!AF358</f>
        <v>177.2</v>
      </c>
    </row>
    <row r="359" spans="1:13" hidden="1">
      <c r="A359" s="9" t="str">
        <f>'[1]14- All_India_Index_Upto_April2'!A359</f>
        <v>Rural</v>
      </c>
      <c r="B359" s="9">
        <f>'[1]14- All_India_Index_Upto_April2'!B359</f>
        <v>2023</v>
      </c>
      <c r="C359" s="9" t="str">
        <f>'[1]14- All_India_Index_Upto_April2'!C359</f>
        <v>March</v>
      </c>
      <c r="D359" s="9" t="str">
        <f t="shared" si="10"/>
        <v>March-2023</v>
      </c>
      <c r="E359" s="46">
        <f t="shared" si="11"/>
        <v>44986</v>
      </c>
      <c r="F359" s="9">
        <f>SUM('[1]14- All_India_Index_Upto_April2'!F359:S359)</f>
        <v>2464.2000000000003</v>
      </c>
      <c r="G359" s="9">
        <f>SUM('[1]14- All_India_Index_Upto_April2'!T359:V359)</f>
        <v>566.6</v>
      </c>
      <c r="H359" s="9" t="e">
        <f>SUM([1]!_14__All_India_Index_Upto_April2[[#This Row],[Housing new]],[1]!_14__All_India_Index_Upto_April2[[#This Row],[Household goods and services]])</f>
        <v>#REF!</v>
      </c>
      <c r="I359" s="9">
        <f>SUM('[1]14- All_India_Index_Upto_April2'!Z359,'[1]14- All_India_Index_Upto_April2'!AD359)</f>
        <v>367.29999999999995</v>
      </c>
      <c r="J359" s="9">
        <f>SUM('[1]14- All_India_Index_Upto_April2'!AA359)</f>
        <v>169</v>
      </c>
      <c r="K359" s="9">
        <f>'[1]14- All_India_Index_Upto_April2'!AC359</f>
        <v>178.5</v>
      </c>
      <c r="L359" s="9">
        <f>SUM('[1]14- All_India_Index_Upto_April2'!AB359,'[1]14- All_India_Index_Upto_April2'!AE359)</f>
        <v>350.70000000000005</v>
      </c>
      <c r="M359" s="9">
        <f>'[1]14- All_India_Index_Upto_April2'!AF359</f>
        <v>178</v>
      </c>
    </row>
    <row r="360" spans="1:13" hidden="1">
      <c r="A360" s="9" t="str">
        <f>'[1]14- All_India_Index_Upto_April2'!A360</f>
        <v>Urban</v>
      </c>
      <c r="B360" s="9">
        <f>'[1]14- All_India_Index_Upto_April2'!B360</f>
        <v>2023</v>
      </c>
      <c r="C360" s="9" t="str">
        <f>'[1]14- All_India_Index_Upto_April2'!C360</f>
        <v>March</v>
      </c>
      <c r="D360" s="9" t="str">
        <f t="shared" si="10"/>
        <v>March-2023</v>
      </c>
      <c r="E360" s="46">
        <f t="shared" si="11"/>
        <v>44986</v>
      </c>
      <c r="F360" s="9">
        <f>SUM('[1]14- All_India_Index_Upto_April2'!F360:S360)</f>
        <v>2506.1</v>
      </c>
      <c r="G360" s="9">
        <f>SUM('[1]14- All_India_Index_Upto_April2'!T360:V360)</f>
        <v>525.4</v>
      </c>
      <c r="H360" s="9" t="e">
        <f>SUM([1]!_14__All_India_Index_Upto_April2[[#This Row],[Housing new]],[1]!_14__All_India_Index_Upto_April2[[#This Row],[Household goods and services]])</f>
        <v>#REF!</v>
      </c>
      <c r="I360" s="9">
        <f>SUM('[1]14- All_India_Index_Upto_April2'!Z360,'[1]14- All_India_Index_Upto_April2'!AD360)</f>
        <v>362.3</v>
      </c>
      <c r="J360" s="9">
        <f>SUM('[1]14- All_India_Index_Upto_April2'!AA360)</f>
        <v>159.80000000000001</v>
      </c>
      <c r="K360" s="9">
        <f>'[1]14- All_India_Index_Upto_April2'!AC360</f>
        <v>172.5</v>
      </c>
      <c r="L360" s="9">
        <f>SUM('[1]14- All_India_Index_Upto_April2'!AB360,'[1]14- All_India_Index_Upto_April2'!AE360)</f>
        <v>338.4</v>
      </c>
      <c r="M360" s="9">
        <f>'[1]14- All_India_Index_Upto_April2'!AF360</f>
        <v>176.3</v>
      </c>
    </row>
    <row r="361" spans="1:13">
      <c r="A361" s="9" t="str">
        <f>'[1]14- All_India_Index_Upto_April2'!A361</f>
        <v>Rural+Urban</v>
      </c>
      <c r="B361" s="9">
        <f>'[1]14- All_India_Index_Upto_April2'!B361</f>
        <v>2023</v>
      </c>
      <c r="C361" s="9" t="str">
        <f>'[1]14- All_India_Index_Upto_April2'!C361</f>
        <v>March</v>
      </c>
      <c r="D361" s="9" t="str">
        <f t="shared" si="10"/>
        <v>March-2023</v>
      </c>
      <c r="E361" s="46">
        <f t="shared" si="11"/>
        <v>44986</v>
      </c>
      <c r="F361" s="9">
        <f>SUM('[1]14- All_India_Index_Upto_April2'!F361:S361)</f>
        <v>2478.6999999999998</v>
      </c>
      <c r="G361" s="9">
        <f>SUM('[1]14- All_India_Index_Upto_April2'!T361:V361)</f>
        <v>549.9</v>
      </c>
      <c r="H361" s="9" t="e">
        <f>SUM([1]!_14__All_India_Index_Upto_April2[[#This Row],[Housing new]],[1]!_14__All_India_Index_Upto_April2[[#This Row],[Household goods and services]])</f>
        <v>#REF!</v>
      </c>
      <c r="I361" s="9">
        <f>SUM('[1]14- All_India_Index_Upto_April2'!Z361,'[1]14- All_India_Index_Upto_April2'!AD361)</f>
        <v>365.4</v>
      </c>
      <c r="J361" s="9">
        <f>SUM('[1]14- All_India_Index_Upto_April2'!AA361)</f>
        <v>164.2</v>
      </c>
      <c r="K361" s="9">
        <f>'[1]14- All_India_Index_Upto_April2'!AC361</f>
        <v>175</v>
      </c>
      <c r="L361" s="9">
        <f>SUM('[1]14- All_India_Index_Upto_April2'!AB361,'[1]14- All_India_Index_Upto_April2'!AE361)</f>
        <v>344.4</v>
      </c>
      <c r="M361" s="9">
        <f>'[1]14- All_India_Index_Upto_April2'!AF361</f>
        <v>177.2</v>
      </c>
    </row>
    <row r="362" spans="1:13" hidden="1">
      <c r="A362" s="9" t="str">
        <f>'[1]14- All_India_Index_Upto_April2'!A362</f>
        <v>Rural</v>
      </c>
      <c r="B362" s="9">
        <f>'[1]14- All_India_Index_Upto_April2'!B362</f>
        <v>2023</v>
      </c>
      <c r="C362" s="9" t="str">
        <f>'[1]14- All_India_Index_Upto_April2'!C362</f>
        <v>April</v>
      </c>
      <c r="D362" s="9" t="str">
        <f t="shared" si="10"/>
        <v>April-2023</v>
      </c>
      <c r="E362" s="46">
        <f t="shared" si="11"/>
        <v>45017</v>
      </c>
      <c r="F362" s="9">
        <f>SUM('[1]14- All_India_Index_Upto_April2'!F362:S362)</f>
        <v>2473.6999999999998</v>
      </c>
      <c r="G362" s="9">
        <f>SUM('[1]14- All_India_Index_Upto_April2'!T362:V362)</f>
        <v>568.20000000000005</v>
      </c>
      <c r="H362" s="9" t="e">
        <f>SUM([1]!_14__All_India_Index_Upto_April2[[#This Row],[Housing new]],[1]!_14__All_India_Index_Upto_April2[[#This Row],[Household goods and services]])</f>
        <v>#REF!</v>
      </c>
      <c r="I362" s="9">
        <f>SUM('[1]14- All_India_Index_Upto_April2'!Z362,'[1]14- All_India_Index_Upto_April2'!AD362)</f>
        <v>371</v>
      </c>
      <c r="J362" s="9">
        <f>SUM('[1]14- All_India_Index_Upto_April2'!AA362)</f>
        <v>169.4</v>
      </c>
      <c r="K362" s="9">
        <f>'[1]14- All_India_Index_Upto_April2'!AC362</f>
        <v>179.4</v>
      </c>
      <c r="L362" s="9">
        <f>SUM('[1]14- All_India_Index_Upto_April2'!AB362,'[1]14- All_India_Index_Upto_April2'!AE362)</f>
        <v>352.1</v>
      </c>
      <c r="M362" s="9">
        <f>'[1]14- All_India_Index_Upto_April2'!AF362</f>
        <v>178.8</v>
      </c>
    </row>
    <row r="363" spans="1:13" hidden="1">
      <c r="A363" s="9" t="str">
        <f>'[1]14- All_India_Index_Upto_April2'!A363</f>
        <v>Urban</v>
      </c>
      <c r="B363" s="9">
        <f>'[1]14- All_India_Index_Upto_April2'!B363</f>
        <v>2023</v>
      </c>
      <c r="C363" s="9" t="str">
        <f>'[1]14- All_India_Index_Upto_April2'!C363</f>
        <v>April</v>
      </c>
      <c r="D363" s="9" t="str">
        <f t="shared" si="10"/>
        <v>April-2023</v>
      </c>
      <c r="E363" s="46">
        <f t="shared" si="11"/>
        <v>45017</v>
      </c>
      <c r="F363" s="9">
        <f>SUM('[1]14- All_India_Index_Upto_April2'!F363:S363)</f>
        <v>2521.2000000000003</v>
      </c>
      <c r="G363" s="9">
        <f>SUM('[1]14- All_India_Index_Upto_April2'!T363:V363)</f>
        <v>527.6</v>
      </c>
      <c r="H363" s="9" t="e">
        <f>SUM([1]!_14__All_India_Index_Upto_April2[[#This Row],[Housing new]],[1]!_14__All_India_Index_Upto_April2[[#This Row],[Household goods and services]])</f>
        <v>#REF!</v>
      </c>
      <c r="I363" s="9">
        <f>SUM('[1]14- All_India_Index_Upto_April2'!Z363,'[1]14- All_India_Index_Upto_April2'!AD363)</f>
        <v>365.9</v>
      </c>
      <c r="J363" s="9">
        <f>SUM('[1]14- All_India_Index_Upto_April2'!AA363)</f>
        <v>160.1</v>
      </c>
      <c r="K363" s="9">
        <f>'[1]14- All_India_Index_Upto_April2'!AC363</f>
        <v>174.2</v>
      </c>
      <c r="L363" s="9">
        <f>SUM('[1]14- All_India_Index_Upto_April2'!AB363,'[1]14- All_India_Index_Upto_April2'!AE363)</f>
        <v>339.70000000000005</v>
      </c>
      <c r="M363" s="9">
        <f>'[1]14- All_India_Index_Upto_April2'!AF363</f>
        <v>177.4</v>
      </c>
    </row>
    <row r="364" spans="1:13">
      <c r="A364" s="9" t="str">
        <f>'[1]14- All_India_Index_Upto_April2'!A364</f>
        <v>Rural+Urban</v>
      </c>
      <c r="B364" s="9">
        <f>'[1]14- All_India_Index_Upto_April2'!B364</f>
        <v>2023</v>
      </c>
      <c r="C364" s="9" t="str">
        <f>'[1]14- All_India_Index_Upto_April2'!C364</f>
        <v>April</v>
      </c>
      <c r="D364" s="9" t="str">
        <f t="shared" si="10"/>
        <v>April-2023</v>
      </c>
      <c r="E364" s="46">
        <f t="shared" si="11"/>
        <v>45017</v>
      </c>
      <c r="F364" s="9">
        <f>SUM('[1]14- All_India_Index_Upto_April2'!F364:S364)</f>
        <v>2490.2000000000003</v>
      </c>
      <c r="G364" s="9">
        <f>SUM('[1]14- All_India_Index_Upto_April2'!T364:V364)</f>
        <v>551.79999999999995</v>
      </c>
      <c r="H364" s="9" t="e">
        <f>SUM([1]!_14__All_India_Index_Upto_April2[[#This Row],[Housing new]],[1]!_14__All_India_Index_Upto_April2[[#This Row],[Household goods and services]])</f>
        <v>#REF!</v>
      </c>
      <c r="I364" s="9">
        <f>SUM('[1]14- All_India_Index_Upto_April2'!Z364,'[1]14- All_India_Index_Upto_April2'!AD364)</f>
        <v>369</v>
      </c>
      <c r="J364" s="9">
        <f>SUM('[1]14- All_India_Index_Upto_April2'!AA364)</f>
        <v>164.5</v>
      </c>
      <c r="K364" s="9">
        <f>'[1]14- All_India_Index_Upto_April2'!AC364</f>
        <v>176.4</v>
      </c>
      <c r="L364" s="9">
        <f>SUM('[1]14- All_India_Index_Upto_April2'!AB364,'[1]14- All_India_Index_Upto_April2'!AE364)</f>
        <v>345.7</v>
      </c>
      <c r="M364" s="9">
        <f>'[1]14- All_India_Index_Upto_April2'!AF364</f>
        <v>178.1</v>
      </c>
    </row>
    <row r="365" spans="1:13" hidden="1">
      <c r="A365" s="9" t="str">
        <f>'[1]14- All_India_Index_Upto_April2'!A365</f>
        <v>Rural</v>
      </c>
      <c r="B365" s="9">
        <f>'[1]14- All_India_Index_Upto_April2'!B365</f>
        <v>2023</v>
      </c>
      <c r="C365" s="9" t="str">
        <f>'[1]14- All_India_Index_Upto_April2'!C365</f>
        <v>May</v>
      </c>
      <c r="D365" s="9" t="str">
        <f t="shared" si="10"/>
        <v>May-2023</v>
      </c>
      <c r="E365" s="46">
        <f t="shared" si="11"/>
        <v>45047</v>
      </c>
      <c r="F365" s="9">
        <f>SUM('[1]14- All_India_Index_Upto_April2'!F365:S365)</f>
        <v>2490.6000000000008</v>
      </c>
      <c r="G365" s="9">
        <f>SUM('[1]14- All_India_Index_Upto_April2'!T365:V365)</f>
        <v>569.90000000000009</v>
      </c>
      <c r="H365" s="9" t="e">
        <f>SUM([1]!_14__All_India_Index_Upto_April2[[#This Row],[Housing new]],[1]!_14__All_India_Index_Upto_April2[[#This Row],[Household goods and services]])</f>
        <v>#REF!</v>
      </c>
      <c r="I365" s="9">
        <f>SUM('[1]14- All_India_Index_Upto_April2'!Z365,'[1]14- All_India_Index_Upto_April2'!AD365)</f>
        <v>372.70000000000005</v>
      </c>
      <c r="J365" s="9">
        <f>SUM('[1]14- All_India_Index_Upto_April2'!AA365)</f>
        <v>169.7</v>
      </c>
      <c r="K365" s="9">
        <f>'[1]14- All_India_Index_Upto_April2'!AC365</f>
        <v>180.3</v>
      </c>
      <c r="L365" s="9">
        <f>SUM('[1]14- All_India_Index_Upto_April2'!AB365,'[1]14- All_India_Index_Upto_April2'!AE365)</f>
        <v>353.3</v>
      </c>
      <c r="M365" s="9">
        <f>'[1]14- All_India_Index_Upto_April2'!AF365</f>
        <v>179.8</v>
      </c>
    </row>
    <row r="366" spans="1:13" hidden="1">
      <c r="A366" s="9" t="str">
        <f>'[1]14- All_India_Index_Upto_April2'!A366</f>
        <v>Urban</v>
      </c>
      <c r="B366" s="9">
        <f>'[1]14- All_India_Index_Upto_April2'!B366</f>
        <v>2023</v>
      </c>
      <c r="C366" s="9" t="str">
        <f>'[1]14- All_India_Index_Upto_April2'!C366</f>
        <v>May</v>
      </c>
      <c r="D366" s="9" t="str">
        <f t="shared" si="10"/>
        <v>May-2023</v>
      </c>
      <c r="E366" s="46">
        <f t="shared" si="11"/>
        <v>45047</v>
      </c>
      <c r="F366" s="9">
        <f>SUM('[1]14- All_India_Index_Upto_April2'!F366:S366)</f>
        <v>2539.2999999999997</v>
      </c>
      <c r="G366" s="9">
        <f>SUM('[1]14- All_India_Index_Upto_April2'!T366:V366)</f>
        <v>528.70000000000005</v>
      </c>
      <c r="H366" s="9" t="e">
        <f>SUM([1]!_14__All_India_Index_Upto_April2[[#This Row],[Housing new]],[1]!_14__All_India_Index_Upto_April2[[#This Row],[Household goods and services]])</f>
        <v>#REF!</v>
      </c>
      <c r="I366" s="9">
        <f>SUM('[1]14- All_India_Index_Upto_April2'!Z366,'[1]14- All_India_Index_Upto_April2'!AD366)</f>
        <v>367.79999999999995</v>
      </c>
      <c r="J366" s="9">
        <f>SUM('[1]14- All_India_Index_Upto_April2'!AA366)</f>
        <v>160.4</v>
      </c>
      <c r="K366" s="9">
        <f>'[1]14- All_India_Index_Upto_April2'!AC366</f>
        <v>174.8</v>
      </c>
      <c r="L366" s="9">
        <f>SUM('[1]14- All_India_Index_Upto_April2'!AB366,'[1]14- All_India_Index_Upto_April2'!AE366)</f>
        <v>340.79999999999995</v>
      </c>
      <c r="M366" s="9">
        <f>'[1]14- All_India_Index_Upto_April2'!AF366</f>
        <v>178.2</v>
      </c>
    </row>
    <row r="367" spans="1:13">
      <c r="A367" s="9" t="str">
        <f>'[1]14- All_India_Index_Upto_April2'!A367</f>
        <v>Rural+Urban</v>
      </c>
      <c r="B367" s="9">
        <f>'[1]14- All_India_Index_Upto_April2'!B367</f>
        <v>2023</v>
      </c>
      <c r="C367" s="9" t="str">
        <f>'[1]14- All_India_Index_Upto_April2'!C367</f>
        <v>May</v>
      </c>
      <c r="D367" s="9" t="str">
        <f t="shared" si="10"/>
        <v>May-2023</v>
      </c>
      <c r="E367" s="46">
        <f t="shared" si="11"/>
        <v>45047</v>
      </c>
      <c r="F367" s="9">
        <f>SUM('[1]14- All_India_Index_Upto_April2'!F367:S367)</f>
        <v>2507.9</v>
      </c>
      <c r="G367" s="9">
        <f>SUM('[1]14- All_India_Index_Upto_April2'!T367:V367)</f>
        <v>553.20000000000005</v>
      </c>
      <c r="H367" s="9" t="e">
        <f>SUM([1]!_14__All_India_Index_Upto_April2[[#This Row],[Housing new]],[1]!_14__All_India_Index_Upto_April2[[#This Row],[Household goods and services]])</f>
        <v>#REF!</v>
      </c>
      <c r="I367" s="9">
        <f>SUM('[1]14- All_India_Index_Upto_April2'!Z367,'[1]14- All_India_Index_Upto_April2'!AD367)</f>
        <v>370.9</v>
      </c>
      <c r="J367" s="9">
        <f>SUM('[1]14- All_India_Index_Upto_April2'!AA367)</f>
        <v>164.8</v>
      </c>
      <c r="K367" s="9">
        <f>'[1]14- All_India_Index_Upto_April2'!AC367</f>
        <v>177.1</v>
      </c>
      <c r="L367" s="9">
        <f>SUM('[1]14- All_India_Index_Upto_April2'!AB367,'[1]14- All_India_Index_Upto_April2'!AE367)</f>
        <v>346.9</v>
      </c>
      <c r="M367" s="9">
        <f>'[1]14- All_India_Index_Upto_April2'!AF367</f>
        <v>179.1</v>
      </c>
    </row>
  </sheetData>
  <autoFilter ref="A1:M367" xr:uid="{17F60510-0BE0-4647-8A96-99D9C3DD0F83}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0BE1-7475-4841-B713-CBE3DD400554}">
  <dimension ref="B1:O38"/>
  <sheetViews>
    <sheetView view="pageBreakPreview" topLeftCell="A24" zoomScale="60" zoomScaleNormal="100" workbookViewId="0">
      <selection activeCell="B1" sqref="B1"/>
    </sheetView>
  </sheetViews>
  <sheetFormatPr defaultRowHeight="14.45"/>
  <cols>
    <col min="2" max="2" width="28.28515625" bestFit="1" customWidth="1"/>
    <col min="3" max="3" width="11" customWidth="1"/>
    <col min="4" max="4" width="11.28515625" bestFit="1" customWidth="1"/>
    <col min="6" max="8" width="11.28515625" bestFit="1" customWidth="1"/>
  </cols>
  <sheetData>
    <row r="1" spans="2:15">
      <c r="B1" s="126" t="s">
        <v>183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8"/>
    </row>
    <row r="2" spans="2:15">
      <c r="B2" s="55"/>
      <c r="O2" s="79"/>
    </row>
    <row r="3" spans="2:15">
      <c r="B3" s="80" t="s">
        <v>184</v>
      </c>
      <c r="O3" s="79"/>
    </row>
    <row r="4" spans="2:15">
      <c r="B4" s="55"/>
      <c r="O4" s="79"/>
    </row>
    <row r="5" spans="2:15">
      <c r="B5" s="55"/>
      <c r="O5" s="79"/>
    </row>
    <row r="6" spans="2:15" ht="15" thickBot="1">
      <c r="B6" s="55"/>
      <c r="O6" s="79"/>
    </row>
    <row r="7" spans="2:15">
      <c r="B7" s="81" t="s">
        <v>185</v>
      </c>
      <c r="C7" s="14" t="s">
        <v>30</v>
      </c>
      <c r="D7" s="14" t="s">
        <v>186</v>
      </c>
      <c r="E7" s="19" t="s">
        <v>33</v>
      </c>
      <c r="F7" s="19" t="s">
        <v>186</v>
      </c>
      <c r="G7" s="11" t="s">
        <v>35</v>
      </c>
      <c r="H7" s="24" t="s">
        <v>186</v>
      </c>
      <c r="O7" s="79"/>
    </row>
    <row r="8" spans="2:15">
      <c r="B8" s="82" t="s">
        <v>178</v>
      </c>
      <c r="C8" s="15">
        <f>SUM('India CPI Inflation -CSV'!D371:Q371)</f>
        <v>2490.6000000000008</v>
      </c>
      <c r="D8" s="16">
        <f t="shared" ref="D8:D14" si="0">$C8/$C$15*100</f>
        <v>55.361429714590557</v>
      </c>
      <c r="E8" s="20">
        <f>SUM('India CPI Inflation -CSV'!D372:Q372)</f>
        <v>2539.2999999999997</v>
      </c>
      <c r="F8" s="21">
        <f t="shared" ref="F8:F15" si="1">$E8/$E$15*100</f>
        <v>57.347726913435245</v>
      </c>
      <c r="G8" s="12">
        <f>SUM('India CPI Inflation -CSV'!D373:Q373)</f>
        <v>2507.9</v>
      </c>
      <c r="H8" s="25">
        <f t="shared" ref="H8:H15" si="2">$G8/$G$15*100</f>
        <v>56.510962392122408</v>
      </c>
      <c r="O8" s="79"/>
    </row>
    <row r="9" spans="2:15">
      <c r="B9" s="82" t="s">
        <v>167</v>
      </c>
      <c r="C9" s="15">
        <f>SUM('India CPI Inflation -CSV'!R371:T371)</f>
        <v>569.90000000000009</v>
      </c>
      <c r="D9" s="16">
        <f t="shared" si="0"/>
        <v>12.667822530452563</v>
      </c>
      <c r="E9" s="20">
        <f>SUM('India CPI Inflation -CSV'!R372:T372)</f>
        <v>528.70000000000005</v>
      </c>
      <c r="F9" s="21">
        <f t="shared" si="1"/>
        <v>11.940197384764787</v>
      </c>
      <c r="G9" s="12">
        <f>SUM('India CPI Inflation -CSV'!R373:T373)</f>
        <v>553.20000000000005</v>
      </c>
      <c r="H9" s="25">
        <f t="shared" si="2"/>
        <v>12.465355235584399</v>
      </c>
      <c r="O9" s="79"/>
    </row>
    <row r="10" spans="2:15">
      <c r="B10" s="82" t="s">
        <v>179</v>
      </c>
      <c r="C10" s="15">
        <f>SUM('India CPI Inflation -CSV'!U371,'India CPI Inflation -CSV'!W371)</f>
        <v>179.8</v>
      </c>
      <c r="D10" s="16">
        <f t="shared" si="0"/>
        <v>3.9966213212412192</v>
      </c>
      <c r="E10" s="20">
        <f>SUM('India CPI Inflation -CSV'!U372,'India CPI Inflation -CSV'!W372)</f>
        <v>170.1</v>
      </c>
      <c r="F10" s="21">
        <f t="shared" si="1"/>
        <v>3.8415501705097221</v>
      </c>
      <c r="G10" s="12">
        <f>SUM('India CPI Inflation -CSV'!U373,'India CPI Inflation -CSV'!W373)</f>
        <v>175.2</v>
      </c>
      <c r="H10" s="25">
        <f t="shared" si="2"/>
        <v>3.9478131548705471</v>
      </c>
      <c r="O10" s="79"/>
    </row>
    <row r="11" spans="2:15">
      <c r="B11" s="82" t="s">
        <v>23</v>
      </c>
      <c r="C11" s="15">
        <f>SUM('India CPI Inflation -CSV'!X371,'India CPI Inflation -CSV'!AB371)</f>
        <v>372.70000000000005</v>
      </c>
      <c r="D11" s="16">
        <f t="shared" si="0"/>
        <v>8.2844314039299363</v>
      </c>
      <c r="E11" s="20">
        <f>SUM('India CPI Inflation -CSV'!X261,'India CPI Inflation -CSV'!AB372)</f>
        <v>330.4</v>
      </c>
      <c r="F11" s="21">
        <f t="shared" si="1"/>
        <v>7.4617764628830807</v>
      </c>
      <c r="G11" s="12">
        <f>SUM('India CPI Inflation -CSV'!X261,'India CPI Inflation -CSV'!AB373)</f>
        <v>330</v>
      </c>
      <c r="H11" s="25">
        <f t="shared" si="2"/>
        <v>7.4359494355438382</v>
      </c>
      <c r="O11" s="79"/>
    </row>
    <row r="12" spans="2:15">
      <c r="B12" s="82" t="s">
        <v>180</v>
      </c>
      <c r="C12" s="15">
        <f>SUM('India CPI Inflation -CSV'!V371,'India CPI Inflation -CSV'!Y371)</f>
        <v>352.2</v>
      </c>
      <c r="D12" s="16">
        <f t="shared" si="0"/>
        <v>7.8287543344891946</v>
      </c>
      <c r="E12" s="20">
        <f>SUM('India CPI Inflation -CSV'!V372,'India CPI Inflation -CSV'!Y372)</f>
        <v>343.8</v>
      </c>
      <c r="F12" s="21">
        <f t="shared" si="1"/>
        <v>7.7644029901307619</v>
      </c>
      <c r="G12" s="12">
        <f>SUM('India CPI Inflation -CSV'!V373,'India CPI Inflation -CSV'!Y373)</f>
        <v>347.6</v>
      </c>
      <c r="H12" s="25">
        <f t="shared" si="2"/>
        <v>7.832533405439511</v>
      </c>
      <c r="O12" s="79"/>
    </row>
    <row r="13" spans="2:15">
      <c r="B13" s="82" t="s">
        <v>181</v>
      </c>
      <c r="C13" s="15">
        <f>SUM('India CPI Inflation -CSV'!AA371)</f>
        <v>180.3</v>
      </c>
      <c r="D13" s="16">
        <f t="shared" si="0"/>
        <v>4.0077353961056268</v>
      </c>
      <c r="E13" s="20">
        <f>SUM('India CPI Inflation -CSV'!AA372)</f>
        <v>174.8</v>
      </c>
      <c r="F13" s="21">
        <f t="shared" si="1"/>
        <v>3.9476952957383862</v>
      </c>
      <c r="G13" s="12">
        <f>SUM('India CPI Inflation -CSV'!AA373)</f>
        <v>177.1</v>
      </c>
      <c r="H13" s="25">
        <f t="shared" si="2"/>
        <v>3.9906261970751937</v>
      </c>
      <c r="O13" s="79"/>
    </row>
    <row r="14" spans="2:15">
      <c r="B14" s="82" t="s">
        <v>171</v>
      </c>
      <c r="C14" s="15">
        <f>SUM('India CPI Inflation -CSV'!Z371,'India CPI Inflation -CSV'!AC371)</f>
        <v>353.3</v>
      </c>
      <c r="D14" s="16">
        <f t="shared" si="0"/>
        <v>7.8532052991908934</v>
      </c>
      <c r="E14" s="20">
        <f>SUM('India CPI Inflation -CSV'!Z372,'India CPI Inflation -CSV'!AC372)</f>
        <v>340.79999999999995</v>
      </c>
      <c r="F14" s="21">
        <f t="shared" si="1"/>
        <v>7.6966507825379962</v>
      </c>
      <c r="G14" s="12">
        <f>SUM('India CPI Inflation -CSV'!Z373,'India CPI Inflation -CSV'!AC373)</f>
        <v>346.9</v>
      </c>
      <c r="H14" s="25">
        <f t="shared" si="2"/>
        <v>7.8167601793641142</v>
      </c>
      <c r="O14" s="79"/>
    </row>
    <row r="15" spans="2:15" ht="15" thickBot="1">
      <c r="B15" s="83" t="s">
        <v>187</v>
      </c>
      <c r="C15" s="17">
        <f>SUM(C8:C14)</f>
        <v>4498.8000000000011</v>
      </c>
      <c r="D15" s="18">
        <f>SUM(D8:D14)</f>
        <v>99.999999999999986</v>
      </c>
      <c r="E15" s="22">
        <f>SUM(E8:E14)</f>
        <v>4427.9000000000005</v>
      </c>
      <c r="F15" s="23">
        <f t="shared" si="1"/>
        <v>100</v>
      </c>
      <c r="G15" s="13">
        <f>SUM(G8:G14)</f>
        <v>4437.8999999999996</v>
      </c>
      <c r="H15" s="26">
        <f t="shared" si="2"/>
        <v>100</v>
      </c>
      <c r="O15" s="79"/>
    </row>
    <row r="16" spans="2:15">
      <c r="B16" s="55"/>
      <c r="O16" s="79"/>
    </row>
    <row r="17" spans="2:15">
      <c r="B17" s="55"/>
      <c r="O17" s="79"/>
    </row>
    <row r="18" spans="2:15">
      <c r="B18" s="55"/>
      <c r="O18" s="79"/>
    </row>
    <row r="19" spans="2:15">
      <c r="B19" s="55"/>
      <c r="O19" s="79"/>
    </row>
    <row r="20" spans="2:15">
      <c r="B20" s="55"/>
      <c r="O20" s="79"/>
    </row>
    <row r="21" spans="2:15">
      <c r="B21" s="55"/>
      <c r="O21" s="79"/>
    </row>
    <row r="22" spans="2:15">
      <c r="B22" s="55"/>
      <c r="O22" s="79"/>
    </row>
    <row r="23" spans="2:15">
      <c r="B23" s="55"/>
      <c r="O23" s="79"/>
    </row>
    <row r="24" spans="2:15">
      <c r="B24" s="55"/>
      <c r="O24" s="79"/>
    </row>
    <row r="25" spans="2:15">
      <c r="B25" s="55"/>
      <c r="O25" s="79"/>
    </row>
    <row r="26" spans="2:15">
      <c r="B26" s="55"/>
      <c r="O26" s="79"/>
    </row>
    <row r="27" spans="2:15">
      <c r="B27" s="55"/>
      <c r="O27" s="79"/>
    </row>
    <row r="28" spans="2:15">
      <c r="B28" s="55"/>
      <c r="O28" s="79"/>
    </row>
    <row r="29" spans="2:15">
      <c r="B29" s="55"/>
      <c r="O29" s="79"/>
    </row>
    <row r="30" spans="2:15">
      <c r="B30" s="55"/>
      <c r="O30" s="79"/>
    </row>
    <row r="31" spans="2:15">
      <c r="B31" s="55"/>
      <c r="O31" s="79"/>
    </row>
    <row r="32" spans="2:15">
      <c r="B32" s="55"/>
      <c r="O32" s="79"/>
    </row>
    <row r="33" spans="2:15">
      <c r="B33" s="55"/>
      <c r="O33" s="79"/>
    </row>
    <row r="34" spans="2:15">
      <c r="B34" s="55"/>
      <c r="O34" s="79"/>
    </row>
    <row r="35" spans="2:15">
      <c r="B35" s="80" t="s">
        <v>188</v>
      </c>
      <c r="O35" s="79"/>
    </row>
    <row r="36" spans="2:15">
      <c r="B36" s="55" t="s">
        <v>189</v>
      </c>
      <c r="O36" s="79"/>
    </row>
    <row r="37" spans="2:15">
      <c r="B37" s="55" t="s">
        <v>190</v>
      </c>
      <c r="O37" s="79"/>
    </row>
    <row r="38" spans="2:15" ht="15" thickBot="1">
      <c r="B38" s="84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6"/>
    </row>
  </sheetData>
  <mergeCells count="1">
    <mergeCell ref="B1:O1"/>
  </mergeCells>
  <pageMargins left="0.25" right="0.25" top="0.75" bottom="0.75" header="0.3" footer="0.3"/>
  <pageSetup paperSize="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5BED-956E-43CE-BDA6-6A60BAA8D43C}">
  <dimension ref="B1:P26"/>
  <sheetViews>
    <sheetView view="pageBreakPreview" zoomScale="60" zoomScaleNormal="90" workbookViewId="0">
      <selection activeCell="B1" sqref="B1"/>
    </sheetView>
  </sheetViews>
  <sheetFormatPr defaultRowHeight="14.45"/>
  <cols>
    <col min="2" max="2" width="14" bestFit="1" customWidth="1"/>
    <col min="3" max="3" width="16.140625" bestFit="1" customWidth="1"/>
    <col min="5" max="5" width="14.28515625" customWidth="1"/>
    <col min="6" max="6" width="17.140625" customWidth="1"/>
  </cols>
  <sheetData>
    <row r="1" spans="2:16">
      <c r="B1" s="126" t="s">
        <v>191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8"/>
    </row>
    <row r="2" spans="2:16">
      <c r="B2" s="55"/>
      <c r="P2" s="79"/>
    </row>
    <row r="3" spans="2:16">
      <c r="B3" s="55"/>
      <c r="P3" s="79"/>
    </row>
    <row r="4" spans="2:16">
      <c r="B4" s="55" t="s">
        <v>192</v>
      </c>
      <c r="P4" s="79"/>
    </row>
    <row r="5" spans="2:16">
      <c r="B5" s="55" t="s">
        <v>193</v>
      </c>
      <c r="P5" s="79"/>
    </row>
    <row r="6" spans="2:16">
      <c r="B6" s="55" t="s">
        <v>194</v>
      </c>
      <c r="P6" s="79"/>
    </row>
    <row r="7" spans="2:16">
      <c r="B7" s="55"/>
      <c r="P7" s="79"/>
    </row>
    <row r="8" spans="2:16">
      <c r="B8" s="55"/>
      <c r="P8" s="79"/>
    </row>
    <row r="9" spans="2:16">
      <c r="B9" s="87" t="s">
        <v>0</v>
      </c>
      <c r="C9" s="1" t="s">
        <v>1</v>
      </c>
      <c r="D9" s="1" t="s">
        <v>2</v>
      </c>
      <c r="E9" s="4" t="s">
        <v>29</v>
      </c>
      <c r="F9" s="88" t="s">
        <v>195</v>
      </c>
      <c r="G9" s="88" t="s">
        <v>196</v>
      </c>
      <c r="P9" s="79"/>
    </row>
    <row r="10" spans="2:16">
      <c r="B10" s="89" t="s">
        <v>35</v>
      </c>
      <c r="C10" s="2">
        <v>2016</v>
      </c>
      <c r="D10" s="2" t="s">
        <v>41</v>
      </c>
      <c r="E10" s="5">
        <v>128.6</v>
      </c>
      <c r="P10" s="79"/>
    </row>
    <row r="11" spans="2:16">
      <c r="B11" s="90" t="s">
        <v>35</v>
      </c>
      <c r="C11" s="3">
        <v>2017</v>
      </c>
      <c r="D11" s="3" t="s">
        <v>41</v>
      </c>
      <c r="E11" s="6">
        <v>131.4</v>
      </c>
      <c r="F11">
        <f t="shared" ref="F11:G17" si="0">($E11-$E10)/$E10</f>
        <v>2.1772939346811911E-2</v>
      </c>
      <c r="G11" s="91">
        <f t="shared" si="0"/>
        <v>2.1772939346811911E-2</v>
      </c>
      <c r="P11" s="79"/>
    </row>
    <row r="12" spans="2:16">
      <c r="B12" s="89" t="s">
        <v>35</v>
      </c>
      <c r="C12" s="2">
        <v>2018</v>
      </c>
      <c r="D12" s="2" t="s">
        <v>41</v>
      </c>
      <c r="E12" s="5">
        <v>137.80000000000001</v>
      </c>
      <c r="F12">
        <f t="shared" si="0"/>
        <v>4.8706240487062444E-2</v>
      </c>
      <c r="G12" s="91">
        <f t="shared" si="0"/>
        <v>4.8706240487062444E-2</v>
      </c>
      <c r="P12" s="79"/>
    </row>
    <row r="13" spans="2:16">
      <c r="B13" s="90" t="s">
        <v>35</v>
      </c>
      <c r="C13" s="3">
        <v>2019</v>
      </c>
      <c r="D13" s="3" t="s">
        <v>41</v>
      </c>
      <c r="E13" s="6">
        <v>142</v>
      </c>
      <c r="F13">
        <f t="shared" si="0"/>
        <v>3.0478955007256808E-2</v>
      </c>
      <c r="G13" s="91">
        <f t="shared" si="0"/>
        <v>3.0478955007256808E-2</v>
      </c>
      <c r="P13" s="79"/>
    </row>
    <row r="14" spans="2:16">
      <c r="B14" s="89" t="s">
        <v>35</v>
      </c>
      <c r="C14" s="2">
        <v>2020</v>
      </c>
      <c r="D14" s="2" t="s">
        <v>41</v>
      </c>
      <c r="E14" s="28">
        <v>151.14166666666668</v>
      </c>
      <c r="F14">
        <f t="shared" si="0"/>
        <v>6.4377934272300569E-2</v>
      </c>
      <c r="G14" s="91">
        <f t="shared" si="0"/>
        <v>6.4377934272300569E-2</v>
      </c>
      <c r="P14" s="79"/>
    </row>
    <row r="15" spans="2:16">
      <c r="B15" s="90" t="s">
        <v>35</v>
      </c>
      <c r="C15" s="3">
        <v>2021</v>
      </c>
      <c r="D15" s="3" t="s">
        <v>41</v>
      </c>
      <c r="E15" s="6">
        <v>160.4</v>
      </c>
      <c r="F15">
        <f t="shared" si="0"/>
        <v>6.1255996030214421E-2</v>
      </c>
      <c r="G15" s="91">
        <f t="shared" si="0"/>
        <v>6.1255996030214421E-2</v>
      </c>
      <c r="P15" s="79"/>
    </row>
    <row r="16" spans="2:16">
      <c r="B16" s="89" t="s">
        <v>35</v>
      </c>
      <c r="C16" s="2">
        <v>2022</v>
      </c>
      <c r="D16" s="2" t="s">
        <v>41</v>
      </c>
      <c r="E16" s="5">
        <v>171.7</v>
      </c>
      <c r="F16">
        <f t="shared" si="0"/>
        <v>7.0448877805486171E-2</v>
      </c>
      <c r="G16" s="91">
        <f t="shared" si="0"/>
        <v>7.0448877805486171E-2</v>
      </c>
      <c r="P16" s="79"/>
    </row>
    <row r="17" spans="2:16">
      <c r="B17" s="90" t="s">
        <v>35</v>
      </c>
      <c r="C17" s="3">
        <v>2023</v>
      </c>
      <c r="D17" s="3" t="s">
        <v>41</v>
      </c>
      <c r="E17" s="6">
        <v>179.1</v>
      </c>
      <c r="F17">
        <f t="shared" si="0"/>
        <v>4.3098427489807842E-2</v>
      </c>
      <c r="G17" s="91">
        <f t="shared" si="0"/>
        <v>4.3098427489807842E-2</v>
      </c>
      <c r="P17" s="79"/>
    </row>
    <row r="18" spans="2:16">
      <c r="B18" s="55"/>
      <c r="P18" s="79"/>
    </row>
    <row r="19" spans="2:16">
      <c r="B19" s="55"/>
      <c r="P19" s="79"/>
    </row>
    <row r="20" spans="2:16">
      <c r="B20" s="80" t="s">
        <v>197</v>
      </c>
      <c r="P20" s="79"/>
    </row>
    <row r="21" spans="2:16">
      <c r="B21" s="55"/>
      <c r="P21" s="79"/>
    </row>
    <row r="22" spans="2:16">
      <c r="B22" s="80" t="s">
        <v>198</v>
      </c>
      <c r="P22" s="79"/>
    </row>
    <row r="23" spans="2:16">
      <c r="B23" s="80" t="s">
        <v>199</v>
      </c>
      <c r="P23" s="79"/>
    </row>
    <row r="24" spans="2:16">
      <c r="B24" s="55"/>
      <c r="P24" s="79"/>
    </row>
    <row r="25" spans="2:16">
      <c r="B25" s="55"/>
      <c r="P25" s="79"/>
    </row>
    <row r="26" spans="2:16" ht="15" thickBot="1">
      <c r="B26" s="84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6"/>
    </row>
  </sheetData>
  <mergeCells count="1">
    <mergeCell ref="B1:P1"/>
  </mergeCells>
  <pageMargins left="0.7" right="0.7" top="0.75" bottom="0.75" header="0.3" footer="0.3"/>
  <pageSetup paperSize="3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A487-9334-4251-AEB2-0DF955074FC7}">
  <dimension ref="B1:R41"/>
  <sheetViews>
    <sheetView view="pageBreakPreview" topLeftCell="B1" zoomScale="60" zoomScaleNormal="56" workbookViewId="0">
      <selection activeCell="H7" sqref="H7:L7"/>
    </sheetView>
  </sheetViews>
  <sheetFormatPr defaultRowHeight="14.45"/>
  <cols>
    <col min="2" max="2" width="12.85546875" customWidth="1"/>
    <col min="3" max="3" width="9.7109375" bestFit="1" customWidth="1"/>
    <col min="4" max="4" width="7.85546875" bestFit="1" customWidth="1"/>
    <col min="5" max="5" width="9.7109375" customWidth="1"/>
    <col min="6" max="6" width="12.7109375" customWidth="1"/>
    <col min="7" max="7" width="11.85546875" customWidth="1"/>
    <col min="8" max="8" width="6.140625" bestFit="1" customWidth="1"/>
    <col min="9" max="9" width="9.7109375" bestFit="1" customWidth="1"/>
    <col min="10" max="10" width="10.7109375" customWidth="1"/>
    <col min="11" max="11" width="10.28515625" customWidth="1"/>
    <col min="12" max="12" width="16.42578125" customWidth="1"/>
    <col min="13" max="13" width="15.28515625" customWidth="1"/>
    <col min="14" max="14" width="6.140625" bestFit="1" customWidth="1"/>
    <col min="15" max="15" width="9.7109375" bestFit="1" customWidth="1"/>
    <col min="16" max="16" width="10.85546875" bestFit="1" customWidth="1"/>
    <col min="17" max="17" width="14" bestFit="1" customWidth="1"/>
    <col min="18" max="18" width="10.28515625" customWidth="1"/>
  </cols>
  <sheetData>
    <row r="1" spans="2:18" ht="15.6">
      <c r="B1" s="134" t="s">
        <v>200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6"/>
    </row>
    <row r="2" spans="2:18">
      <c r="B2" s="55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79"/>
    </row>
    <row r="3" spans="2:18">
      <c r="B3" s="80" t="s">
        <v>201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79"/>
    </row>
    <row r="4" spans="2:18">
      <c r="B4" s="80" t="s">
        <v>202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79"/>
    </row>
    <row r="5" spans="2:18">
      <c r="B5" s="80" t="s">
        <v>203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79"/>
    </row>
    <row r="6" spans="2:18">
      <c r="B6" s="55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79"/>
    </row>
    <row r="7" spans="2:18">
      <c r="B7" s="133" t="s">
        <v>30</v>
      </c>
      <c r="C7" s="130"/>
      <c r="D7" s="130"/>
      <c r="E7" s="130"/>
      <c r="F7" s="132"/>
      <c r="G7" s="120"/>
      <c r="H7" s="129" t="s">
        <v>33</v>
      </c>
      <c r="I7" s="130"/>
      <c r="J7" s="130"/>
      <c r="K7" s="130"/>
      <c r="L7" s="132"/>
      <c r="M7" s="120"/>
      <c r="N7" s="129" t="s">
        <v>35</v>
      </c>
      <c r="O7" s="130"/>
      <c r="P7" s="130"/>
      <c r="Q7" s="130"/>
      <c r="R7" s="131"/>
    </row>
    <row r="8" spans="2:18">
      <c r="B8" s="80" t="s">
        <v>1</v>
      </c>
      <c r="C8" s="120" t="s">
        <v>2</v>
      </c>
      <c r="D8" s="120" t="s">
        <v>204</v>
      </c>
      <c r="E8" s="120" t="s">
        <v>205</v>
      </c>
      <c r="F8" s="39" t="s">
        <v>206</v>
      </c>
      <c r="G8" s="120"/>
      <c r="H8" s="38" t="s">
        <v>1</v>
      </c>
      <c r="I8" s="120" t="s">
        <v>2</v>
      </c>
      <c r="J8" s="120" t="s">
        <v>204</v>
      </c>
      <c r="K8" s="120" t="s">
        <v>205</v>
      </c>
      <c r="L8" s="39" t="s">
        <v>206</v>
      </c>
      <c r="M8" s="120"/>
      <c r="N8" s="38" t="s">
        <v>1</v>
      </c>
      <c r="O8" s="37" t="s">
        <v>2</v>
      </c>
      <c r="P8" s="37" t="s">
        <v>204</v>
      </c>
      <c r="Q8" s="37" t="s">
        <v>205</v>
      </c>
      <c r="R8" s="94" t="s">
        <v>206</v>
      </c>
    </row>
    <row r="9" spans="2:18">
      <c r="B9" s="55">
        <v>2022</v>
      </c>
      <c r="C9" s="120" t="s">
        <v>41</v>
      </c>
      <c r="D9" s="120">
        <v>2419.7000000000003</v>
      </c>
      <c r="E9" s="120" t="e">
        <f t="shared" ref="E9:E21" si="0">(D9-D8)/D8</f>
        <v>#VALUE!</v>
      </c>
      <c r="F9" s="39"/>
      <c r="G9" s="120"/>
      <c r="H9" s="40">
        <v>2022</v>
      </c>
      <c r="I9" s="2" t="s">
        <v>41</v>
      </c>
      <c r="J9" s="2">
        <v>2459.7000000000003</v>
      </c>
      <c r="K9" s="120" t="e">
        <f t="shared" ref="K9:K21" si="1">(J9-J8)/J8</f>
        <v>#VALUE!</v>
      </c>
      <c r="L9" s="39"/>
      <c r="M9" s="120"/>
      <c r="N9" s="40">
        <v>2022</v>
      </c>
      <c r="O9" s="2" t="s">
        <v>41</v>
      </c>
      <c r="P9" s="2">
        <v>2433.0000000000005</v>
      </c>
      <c r="Q9" s="120" t="e">
        <f t="shared" ref="Q9:Q21" si="2">(P9-P8)/P8</f>
        <v>#VALUE!</v>
      </c>
      <c r="R9" s="79"/>
    </row>
    <row r="10" spans="2:18">
      <c r="B10" s="55">
        <v>2022</v>
      </c>
      <c r="C10" s="120" t="s">
        <v>42</v>
      </c>
      <c r="D10" s="120">
        <v>2441.2000000000003</v>
      </c>
      <c r="E10" s="120">
        <f t="shared" si="0"/>
        <v>8.8853990164069908E-3</v>
      </c>
      <c r="F10" s="42">
        <v>8.8853990164069908E-3</v>
      </c>
      <c r="G10" s="120"/>
      <c r="H10" s="41">
        <v>2022</v>
      </c>
      <c r="I10" s="3" t="s">
        <v>42</v>
      </c>
      <c r="J10" s="3">
        <v>2485.8000000000002</v>
      </c>
      <c r="K10" s="120">
        <f t="shared" si="1"/>
        <v>1.061105012806436E-2</v>
      </c>
      <c r="L10" s="42">
        <v>1.061105012806436E-2</v>
      </c>
      <c r="M10" s="120"/>
      <c r="N10" s="41">
        <v>2022</v>
      </c>
      <c r="O10" s="3" t="s">
        <v>42</v>
      </c>
      <c r="P10" s="3">
        <v>2456.2000000000003</v>
      </c>
      <c r="Q10" s="120">
        <f t="shared" si="2"/>
        <v>9.5355528154540958E-3</v>
      </c>
      <c r="R10" s="95">
        <v>9.5355528154540958E-3</v>
      </c>
    </row>
    <row r="11" spans="2:18">
      <c r="B11" s="55">
        <v>2022</v>
      </c>
      <c r="C11" s="120" t="s">
        <v>44</v>
      </c>
      <c r="D11" s="120">
        <v>2445.6999999999998</v>
      </c>
      <c r="E11" s="120">
        <f t="shared" si="0"/>
        <v>1.8433557266916045E-3</v>
      </c>
      <c r="F11" s="42">
        <v>1.8433557266916045E-3</v>
      </c>
      <c r="G11" s="120"/>
      <c r="H11" s="40">
        <v>2022</v>
      </c>
      <c r="I11" s="2" t="s">
        <v>44</v>
      </c>
      <c r="J11" s="2">
        <v>2490.1999999999998</v>
      </c>
      <c r="K11" s="120">
        <f t="shared" si="1"/>
        <v>1.7700539061869965E-3</v>
      </c>
      <c r="L11" s="42">
        <v>1.7700539061869965E-3</v>
      </c>
      <c r="M11" s="120"/>
      <c r="N11" s="40">
        <v>2022</v>
      </c>
      <c r="O11" s="2" t="s">
        <v>44</v>
      </c>
      <c r="P11" s="2">
        <v>2460.9</v>
      </c>
      <c r="Q11" s="120">
        <f t="shared" si="2"/>
        <v>1.9135249572509638E-3</v>
      </c>
      <c r="R11" s="95">
        <v>1.9135249572509638E-3</v>
      </c>
    </row>
    <row r="12" spans="2:18">
      <c r="B12" s="55">
        <v>2022</v>
      </c>
      <c r="C12" s="120" t="s">
        <v>46</v>
      </c>
      <c r="D12" s="120">
        <v>2449.4999999999995</v>
      </c>
      <c r="E12" s="120">
        <f t="shared" si="0"/>
        <v>1.5537473933841957E-3</v>
      </c>
      <c r="F12" s="42">
        <v>1.5537473933841957E-3</v>
      </c>
      <c r="G12" s="120"/>
      <c r="H12" s="41">
        <v>2022</v>
      </c>
      <c r="I12" s="3" t="s">
        <v>46</v>
      </c>
      <c r="J12" s="3">
        <v>2492.3999999999996</v>
      </c>
      <c r="K12" s="120">
        <f t="shared" si="1"/>
        <v>8.8346317564846932E-4</v>
      </c>
      <c r="L12" s="42">
        <v>8.8346317564846932E-4</v>
      </c>
      <c r="M12" s="120"/>
      <c r="N12" s="41">
        <v>2022</v>
      </c>
      <c r="O12" s="3" t="s">
        <v>46</v>
      </c>
      <c r="P12" s="3">
        <v>2464.2000000000003</v>
      </c>
      <c r="Q12" s="120">
        <f t="shared" si="2"/>
        <v>1.3409728148239188E-3</v>
      </c>
      <c r="R12" s="95">
        <v>1.3409728148239188E-3</v>
      </c>
    </row>
    <row r="13" spans="2:18">
      <c r="B13" s="55">
        <v>2022</v>
      </c>
      <c r="C13" s="120" t="s">
        <v>48</v>
      </c>
      <c r="D13" s="120">
        <v>2462.3000000000002</v>
      </c>
      <c r="E13" s="120">
        <f t="shared" si="0"/>
        <v>5.2255562359667844E-3</v>
      </c>
      <c r="F13" s="42">
        <v>5.2255562359667844E-3</v>
      </c>
      <c r="G13" s="120"/>
      <c r="H13" s="40">
        <v>2022</v>
      </c>
      <c r="I13" s="2" t="s">
        <v>48</v>
      </c>
      <c r="J13" s="2">
        <v>2506.1</v>
      </c>
      <c r="K13" s="120">
        <f t="shared" si="1"/>
        <v>5.4967099983952317E-3</v>
      </c>
      <c r="L13" s="42">
        <v>5.4967099983952317E-3</v>
      </c>
      <c r="M13" s="120"/>
      <c r="N13" s="40">
        <v>2022</v>
      </c>
      <c r="O13" s="2" t="s">
        <v>48</v>
      </c>
      <c r="P13" s="2">
        <v>2476.8000000000002</v>
      </c>
      <c r="Q13" s="120">
        <f t="shared" si="2"/>
        <v>5.1132213294375079E-3</v>
      </c>
      <c r="R13" s="95">
        <v>5.1132213294375079E-3</v>
      </c>
    </row>
    <row r="14" spans="2:18">
      <c r="B14" s="55">
        <v>2022</v>
      </c>
      <c r="C14" s="120" t="s">
        <v>50</v>
      </c>
      <c r="D14" s="120">
        <v>2479.4</v>
      </c>
      <c r="E14" s="120">
        <f t="shared" si="0"/>
        <v>6.9447264752466832E-3</v>
      </c>
      <c r="F14" s="42">
        <v>6.9447264752466832E-3</v>
      </c>
      <c r="G14" s="120"/>
      <c r="H14" s="41">
        <v>2022</v>
      </c>
      <c r="I14" s="3" t="s">
        <v>50</v>
      </c>
      <c r="J14" s="3">
        <v>2522.4</v>
      </c>
      <c r="K14" s="120">
        <f t="shared" si="1"/>
        <v>6.504129922987982E-3</v>
      </c>
      <c r="L14" s="42">
        <v>6.504129922987982E-3</v>
      </c>
      <c r="M14" s="120"/>
      <c r="N14" s="41">
        <v>2022</v>
      </c>
      <c r="O14" s="3" t="s">
        <v>50</v>
      </c>
      <c r="P14" s="3">
        <v>2493.6000000000004</v>
      </c>
      <c r="Q14" s="120">
        <f t="shared" si="2"/>
        <v>6.7829457364341813E-3</v>
      </c>
      <c r="R14" s="95">
        <v>6.7829457364341813E-3</v>
      </c>
    </row>
    <row r="15" spans="2:18">
      <c r="B15" s="55">
        <v>2022</v>
      </c>
      <c r="C15" s="120" t="s">
        <v>53</v>
      </c>
      <c r="D15" s="120">
        <v>2483.1999999999998</v>
      </c>
      <c r="E15" s="120">
        <f t="shared" si="0"/>
        <v>1.5326288618212982E-3</v>
      </c>
      <c r="F15" s="42">
        <v>1.5326288618212982E-3</v>
      </c>
      <c r="G15" s="120"/>
      <c r="H15" s="40">
        <v>2022</v>
      </c>
      <c r="I15" s="2" t="s">
        <v>53</v>
      </c>
      <c r="J15" s="2">
        <v>2515</v>
      </c>
      <c r="K15" s="120">
        <f t="shared" si="1"/>
        <v>-2.9337139232477366E-3</v>
      </c>
      <c r="L15" s="42">
        <v>-2.9337139232477366E-3</v>
      </c>
      <c r="M15" s="120"/>
      <c r="N15" s="40">
        <v>2022</v>
      </c>
      <c r="O15" s="2" t="s">
        <v>53</v>
      </c>
      <c r="P15" s="2">
        <v>2493.7000000000003</v>
      </c>
      <c r="Q15" s="120">
        <f t="shared" si="2"/>
        <v>4.010266281677456E-5</v>
      </c>
      <c r="R15" s="95">
        <v>4.010266281677456E-5</v>
      </c>
    </row>
    <row r="16" spans="2:18">
      <c r="B16" s="55">
        <v>2022</v>
      </c>
      <c r="C16" s="120" t="s">
        <v>55</v>
      </c>
      <c r="D16" s="120">
        <v>2473</v>
      </c>
      <c r="E16" s="120">
        <f t="shared" si="0"/>
        <v>-4.1076030927834324E-3</v>
      </c>
      <c r="F16" s="42">
        <v>-4.1076030927834324E-3</v>
      </c>
      <c r="G16" s="120"/>
      <c r="H16" s="41">
        <v>2022</v>
      </c>
      <c r="I16" s="3" t="s">
        <v>55</v>
      </c>
      <c r="J16" s="3">
        <v>2496.8999999999996</v>
      </c>
      <c r="K16" s="120">
        <f t="shared" si="1"/>
        <v>-7.1968190854872225E-3</v>
      </c>
      <c r="L16" s="42">
        <v>-7.1968190854872225E-3</v>
      </c>
      <c r="M16" s="120"/>
      <c r="N16" s="41">
        <v>2022</v>
      </c>
      <c r="O16" s="3" t="s">
        <v>55</v>
      </c>
      <c r="P16" s="3">
        <v>2480.7000000000003</v>
      </c>
      <c r="Q16" s="120">
        <f t="shared" si="2"/>
        <v>-5.2131371055058745E-3</v>
      </c>
      <c r="R16" s="95">
        <v>-5.2131371055058745E-3</v>
      </c>
    </row>
    <row r="17" spans="2:18">
      <c r="B17" s="55">
        <v>2023</v>
      </c>
      <c r="C17" s="120" t="s">
        <v>31</v>
      </c>
      <c r="D17" s="120">
        <v>2480.1000000000004</v>
      </c>
      <c r="E17" s="120">
        <f t="shared" si="0"/>
        <v>2.8710068742419585E-3</v>
      </c>
      <c r="F17" s="42">
        <v>2.8710068742419585E-3</v>
      </c>
      <c r="G17" s="120"/>
      <c r="H17" s="40">
        <v>2023</v>
      </c>
      <c r="I17" s="2" t="s">
        <v>31</v>
      </c>
      <c r="J17" s="2">
        <v>2511.8000000000002</v>
      </c>
      <c r="K17" s="120">
        <f t="shared" si="1"/>
        <v>5.9673995754738066E-3</v>
      </c>
      <c r="L17" s="42">
        <v>5.9673995754738066E-3</v>
      </c>
      <c r="M17" s="120"/>
      <c r="N17" s="40">
        <v>2023</v>
      </c>
      <c r="O17" s="2" t="s">
        <v>31</v>
      </c>
      <c r="P17" s="2">
        <v>2490.8999999999996</v>
      </c>
      <c r="Q17" s="120">
        <f t="shared" si="2"/>
        <v>4.1117426532830906E-3</v>
      </c>
      <c r="R17" s="95">
        <v>4.1117426532830906E-3</v>
      </c>
    </row>
    <row r="18" spans="2:18">
      <c r="B18" s="55">
        <v>2023</v>
      </c>
      <c r="C18" s="120" t="s">
        <v>36</v>
      </c>
      <c r="D18" s="120">
        <v>2464</v>
      </c>
      <c r="E18" s="120">
        <f t="shared" si="0"/>
        <v>-6.4916737228339029E-3</v>
      </c>
      <c r="F18" s="42">
        <v>-6.4916737228339029E-3</v>
      </c>
      <c r="G18" s="120"/>
      <c r="H18" s="41">
        <v>2023</v>
      </c>
      <c r="I18" s="3" t="s">
        <v>36</v>
      </c>
      <c r="J18" s="3">
        <v>2505.8999999999996</v>
      </c>
      <c r="K18" s="120">
        <f t="shared" si="1"/>
        <v>-2.3489131300264933E-3</v>
      </c>
      <c r="L18" s="42">
        <v>-2.3489131300264933E-3</v>
      </c>
      <c r="M18" s="120"/>
      <c r="N18" s="41">
        <v>2023</v>
      </c>
      <c r="O18" s="3" t="s">
        <v>36</v>
      </c>
      <c r="P18" s="3">
        <v>2478.6</v>
      </c>
      <c r="Q18" s="120">
        <f t="shared" si="2"/>
        <v>-4.9379742261831984E-3</v>
      </c>
      <c r="R18" s="96">
        <v>-4.9379742261831984E-3</v>
      </c>
    </row>
    <row r="19" spans="2:18">
      <c r="B19" s="55">
        <v>2023</v>
      </c>
      <c r="C19" s="120" t="s">
        <v>38</v>
      </c>
      <c r="D19" s="120">
        <v>2464.2000000000003</v>
      </c>
      <c r="E19" s="120">
        <f t="shared" si="0"/>
        <v>8.1168831168941906E-5</v>
      </c>
      <c r="F19" s="42">
        <v>8.1168831168941906E-5</v>
      </c>
      <c r="G19" s="120"/>
      <c r="H19" s="40">
        <v>2023</v>
      </c>
      <c r="I19" s="2" t="s">
        <v>38</v>
      </c>
      <c r="J19" s="2">
        <v>2506.1</v>
      </c>
      <c r="K19" s="120">
        <f t="shared" si="1"/>
        <v>7.9811644519044213E-5</v>
      </c>
      <c r="L19" s="42">
        <v>7.9811644519044213E-5</v>
      </c>
      <c r="M19" s="120"/>
      <c r="N19" s="40">
        <v>2023</v>
      </c>
      <c r="O19" s="2" t="s">
        <v>38</v>
      </c>
      <c r="P19" s="2">
        <v>2478.6999999999998</v>
      </c>
      <c r="Q19" s="120">
        <f t="shared" si="2"/>
        <v>4.034535624945899E-5</v>
      </c>
      <c r="R19" s="95">
        <v>4.034535624945899E-5</v>
      </c>
    </row>
    <row r="20" spans="2:18">
      <c r="B20" s="55">
        <v>2023</v>
      </c>
      <c r="C20" s="120" t="s">
        <v>39</v>
      </c>
      <c r="D20" s="120">
        <v>2473.6999999999998</v>
      </c>
      <c r="E20" s="120">
        <f t="shared" si="0"/>
        <v>3.8552065579090756E-3</v>
      </c>
      <c r="F20" s="42">
        <v>3.8552065579090756E-3</v>
      </c>
      <c r="G20" s="120"/>
      <c r="H20" s="41">
        <v>2023</v>
      </c>
      <c r="I20" s="3" t="s">
        <v>39</v>
      </c>
      <c r="J20" s="3">
        <v>2521.2000000000003</v>
      </c>
      <c r="K20" s="120">
        <f t="shared" si="1"/>
        <v>6.0252982722159391E-3</v>
      </c>
      <c r="L20" s="42">
        <v>6.0252982722159391E-3</v>
      </c>
      <c r="M20" s="120"/>
      <c r="N20" s="41">
        <v>2023</v>
      </c>
      <c r="O20" s="3" t="s">
        <v>39</v>
      </c>
      <c r="P20" s="3">
        <v>2490.2000000000003</v>
      </c>
      <c r="Q20" s="120">
        <f t="shared" si="2"/>
        <v>4.6395287852505169E-3</v>
      </c>
      <c r="R20" s="95">
        <v>4.6395287852505169E-3</v>
      </c>
    </row>
    <row r="21" spans="2:18">
      <c r="B21" s="97">
        <v>2023</v>
      </c>
      <c r="C21" s="44" t="s">
        <v>41</v>
      </c>
      <c r="D21" s="44">
        <v>2490.6000000000008</v>
      </c>
      <c r="E21" s="10">
        <f t="shared" si="0"/>
        <v>6.8318712859283667E-3</v>
      </c>
      <c r="F21" s="45">
        <v>6.8318712859283667E-3</v>
      </c>
      <c r="G21" s="120"/>
      <c r="H21" s="43">
        <v>2023</v>
      </c>
      <c r="I21" s="44" t="s">
        <v>41</v>
      </c>
      <c r="J21" s="44">
        <v>2539.2999999999997</v>
      </c>
      <c r="K21" s="10">
        <f t="shared" si="1"/>
        <v>7.1791210534663859E-3</v>
      </c>
      <c r="L21" s="45">
        <v>7.1791210534663859E-3</v>
      </c>
      <c r="M21" s="120"/>
      <c r="N21" s="43">
        <v>2023</v>
      </c>
      <c r="O21" s="44" t="s">
        <v>41</v>
      </c>
      <c r="P21" s="44">
        <v>2507.9</v>
      </c>
      <c r="Q21" s="10">
        <f t="shared" si="2"/>
        <v>7.107862822263198E-3</v>
      </c>
      <c r="R21" s="98">
        <v>7.107862822263198E-3</v>
      </c>
    </row>
    <row r="22" spans="2:18" ht="15" thickBot="1">
      <c r="B22" s="55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79"/>
    </row>
    <row r="23" spans="2:18">
      <c r="B23" s="99" t="s">
        <v>207</v>
      </c>
      <c r="C23" s="30"/>
      <c r="D23" s="30"/>
      <c r="E23" s="31" t="s">
        <v>208</v>
      </c>
      <c r="F23" s="32"/>
      <c r="G23" s="120"/>
      <c r="H23" s="29" t="s">
        <v>207</v>
      </c>
      <c r="I23" s="30"/>
      <c r="J23" s="30"/>
      <c r="K23" s="31" t="s">
        <v>209</v>
      </c>
      <c r="L23" s="32"/>
      <c r="M23" s="120"/>
      <c r="N23" s="29" t="s">
        <v>207</v>
      </c>
      <c r="O23" s="30"/>
      <c r="P23" s="31" t="s">
        <v>210</v>
      </c>
      <c r="Q23" s="30"/>
      <c r="R23" s="100"/>
    </row>
    <row r="24" spans="2:18" ht="15" thickBot="1">
      <c r="B24" s="101" t="s">
        <v>211</v>
      </c>
      <c r="C24" s="34"/>
      <c r="D24" s="34"/>
      <c r="E24" s="35" t="s">
        <v>212</v>
      </c>
      <c r="F24" s="36"/>
      <c r="G24" s="120"/>
      <c r="H24" s="33" t="s">
        <v>211</v>
      </c>
      <c r="I24" s="34"/>
      <c r="J24" s="34"/>
      <c r="K24" s="35" t="s">
        <v>213</v>
      </c>
      <c r="L24" s="36"/>
      <c r="M24" s="120"/>
      <c r="N24" s="33" t="s">
        <v>211</v>
      </c>
      <c r="O24" s="34"/>
      <c r="P24" s="35" t="s">
        <v>214</v>
      </c>
      <c r="Q24" s="34"/>
      <c r="R24" s="102"/>
    </row>
    <row r="25" spans="2:18">
      <c r="B25" s="55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79"/>
    </row>
    <row r="26" spans="2:18" ht="15" thickBot="1">
      <c r="B26" s="84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6"/>
    </row>
    <row r="27" spans="2:18">
      <c r="B27" s="55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79"/>
    </row>
    <row r="28" spans="2:18">
      <c r="B28" s="55"/>
      <c r="C28" s="120"/>
      <c r="D28" s="120"/>
      <c r="E28" s="120"/>
      <c r="F28" s="120"/>
      <c r="G28" s="120"/>
      <c r="I28" s="120"/>
      <c r="J28" s="120"/>
      <c r="K28" s="120"/>
      <c r="L28" s="120"/>
      <c r="M28" s="120"/>
      <c r="N28" s="120"/>
      <c r="O28" s="120"/>
      <c r="P28" s="120"/>
      <c r="Q28" s="120"/>
      <c r="R28" s="79"/>
    </row>
    <row r="29" spans="2:18">
      <c r="B29" s="121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79"/>
    </row>
    <row r="30" spans="2:18">
      <c r="B30" s="55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79"/>
    </row>
    <row r="31" spans="2:18">
      <c r="B31" s="55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79"/>
    </row>
    <row r="32" spans="2:18">
      <c r="B32" s="55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79"/>
    </row>
    <row r="33" spans="2:18">
      <c r="B33" s="55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79"/>
    </row>
    <row r="34" spans="2:18">
      <c r="B34" s="55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79"/>
    </row>
    <row r="35" spans="2:18">
      <c r="B35" s="55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79"/>
    </row>
    <row r="36" spans="2:18">
      <c r="B36" s="55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79"/>
    </row>
    <row r="37" spans="2:18">
      <c r="B37" s="55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79"/>
    </row>
    <row r="38" spans="2:18">
      <c r="B38" s="55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79"/>
    </row>
    <row r="39" spans="2:18">
      <c r="B39" s="55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79"/>
    </row>
    <row r="40" spans="2:18">
      <c r="B40" s="55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79"/>
    </row>
    <row r="41" spans="2:18" ht="15" thickBot="1">
      <c r="B41" s="84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6"/>
    </row>
  </sheetData>
  <mergeCells count="4">
    <mergeCell ref="N7:R7"/>
    <mergeCell ref="H7:L7"/>
    <mergeCell ref="B7:F7"/>
    <mergeCell ref="B1:R1"/>
  </mergeCells>
  <pageMargins left="0.25" right="0.25" top="0.75" bottom="0.75" header="0.3" footer="0.3"/>
  <pageSetup paperSize="3" orientation="landscape" r:id="rId1"/>
  <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9FAB-D0D9-43E9-A844-7EA7AF0CF588}">
  <sheetPr>
    <pageSetUpPr fitToPage="1"/>
  </sheetPr>
  <dimension ref="A1:L59"/>
  <sheetViews>
    <sheetView view="pageBreakPreview" zoomScale="50" zoomScaleNormal="40" zoomScaleSheetLayoutView="50" workbookViewId="0">
      <selection activeCell="D21" sqref="D21"/>
    </sheetView>
  </sheetViews>
  <sheetFormatPr defaultRowHeight="14.45"/>
  <cols>
    <col min="1" max="1" width="21.42578125" customWidth="1"/>
    <col min="2" max="2" width="26.140625" bestFit="1" customWidth="1"/>
    <col min="3" max="3" width="16.140625" bestFit="1" customWidth="1"/>
    <col min="4" max="4" width="39.140625" bestFit="1" customWidth="1"/>
    <col min="5" max="5" width="28.28515625" bestFit="1" customWidth="1"/>
    <col min="6" max="6" width="33.85546875" customWidth="1"/>
    <col min="7" max="7" width="34.140625" bestFit="1" customWidth="1"/>
    <col min="8" max="8" width="12.7109375" bestFit="1" customWidth="1"/>
    <col min="9" max="343" width="20.7109375" bestFit="1" customWidth="1"/>
    <col min="344" max="344" width="10.7109375" bestFit="1" customWidth="1"/>
    <col min="345" max="345" width="11.28515625" bestFit="1" customWidth="1"/>
    <col min="346" max="346" width="9" bestFit="1" customWidth="1"/>
    <col min="347" max="347" width="11.28515625" bestFit="1" customWidth="1"/>
    <col min="348" max="348" width="9" bestFit="1" customWidth="1"/>
    <col min="349" max="349" width="11.28515625" bestFit="1" customWidth="1"/>
    <col min="350" max="350" width="9" bestFit="1" customWidth="1"/>
    <col min="351" max="351" width="11.28515625" bestFit="1" customWidth="1"/>
    <col min="352" max="352" width="9" bestFit="1" customWidth="1"/>
    <col min="353" max="353" width="11.28515625" bestFit="1" customWidth="1"/>
    <col min="354" max="354" width="9" bestFit="1" customWidth="1"/>
    <col min="355" max="355" width="11.28515625" bestFit="1" customWidth="1"/>
    <col min="356" max="356" width="9" bestFit="1" customWidth="1"/>
    <col min="357" max="357" width="11.28515625" bestFit="1" customWidth="1"/>
    <col min="358" max="358" width="9" bestFit="1" customWidth="1"/>
    <col min="359" max="359" width="11.28515625" bestFit="1" customWidth="1"/>
    <col min="360" max="360" width="9" bestFit="1" customWidth="1"/>
    <col min="361" max="361" width="11.28515625" bestFit="1" customWidth="1"/>
    <col min="362" max="362" width="9" bestFit="1" customWidth="1"/>
    <col min="363" max="363" width="11.28515625" bestFit="1" customWidth="1"/>
    <col min="364" max="364" width="9" bestFit="1" customWidth="1"/>
    <col min="365" max="365" width="11.28515625" bestFit="1" customWidth="1"/>
    <col min="366" max="366" width="9" bestFit="1" customWidth="1"/>
    <col min="367" max="367" width="11.28515625" bestFit="1" customWidth="1"/>
    <col min="368" max="368" width="9" bestFit="1" customWidth="1"/>
    <col min="369" max="369" width="11.28515625" bestFit="1" customWidth="1"/>
    <col min="370" max="370" width="9" bestFit="1" customWidth="1"/>
    <col min="371" max="371" width="11.28515625" bestFit="1" customWidth="1"/>
    <col min="372" max="372" width="9" bestFit="1" customWidth="1"/>
    <col min="373" max="373" width="11.28515625" bestFit="1" customWidth="1"/>
    <col min="374" max="374" width="9" bestFit="1" customWidth="1"/>
    <col min="375" max="375" width="11.28515625" bestFit="1" customWidth="1"/>
    <col min="376" max="376" width="9" bestFit="1" customWidth="1"/>
    <col min="377" max="377" width="11.28515625" bestFit="1" customWidth="1"/>
    <col min="378" max="378" width="9" bestFit="1" customWidth="1"/>
    <col min="379" max="379" width="11.28515625" bestFit="1" customWidth="1"/>
    <col min="380" max="380" width="9" bestFit="1" customWidth="1"/>
    <col min="381" max="381" width="11.28515625" bestFit="1" customWidth="1"/>
    <col min="382" max="382" width="9" bestFit="1" customWidth="1"/>
    <col min="383" max="383" width="11.28515625" bestFit="1" customWidth="1"/>
    <col min="384" max="384" width="9" bestFit="1" customWidth="1"/>
    <col min="385" max="385" width="11.28515625" bestFit="1" customWidth="1"/>
    <col min="386" max="386" width="9" bestFit="1" customWidth="1"/>
    <col min="387" max="387" width="11.28515625" bestFit="1" customWidth="1"/>
    <col min="388" max="388" width="9" bestFit="1" customWidth="1"/>
    <col min="389" max="389" width="11.28515625" bestFit="1" customWidth="1"/>
    <col min="390" max="390" width="9" bestFit="1" customWidth="1"/>
    <col min="391" max="391" width="11.28515625" bestFit="1" customWidth="1"/>
    <col min="392" max="392" width="9" bestFit="1" customWidth="1"/>
    <col min="393" max="393" width="11.28515625" bestFit="1" customWidth="1"/>
    <col min="394" max="394" width="9" bestFit="1" customWidth="1"/>
    <col min="395" max="395" width="11.28515625" bestFit="1" customWidth="1"/>
    <col min="396" max="396" width="9" bestFit="1" customWidth="1"/>
    <col min="397" max="397" width="11.28515625" bestFit="1" customWidth="1"/>
    <col min="398" max="398" width="9" bestFit="1" customWidth="1"/>
    <col min="399" max="399" width="11.28515625" bestFit="1" customWidth="1"/>
    <col min="400" max="400" width="9" bestFit="1" customWidth="1"/>
    <col min="401" max="401" width="11.28515625" bestFit="1" customWidth="1"/>
    <col min="402" max="402" width="9" bestFit="1" customWidth="1"/>
    <col min="403" max="403" width="11.28515625" bestFit="1" customWidth="1"/>
    <col min="404" max="404" width="9" bestFit="1" customWidth="1"/>
    <col min="405" max="405" width="11.28515625" bestFit="1" customWidth="1"/>
    <col min="406" max="406" width="9" bestFit="1" customWidth="1"/>
    <col min="407" max="407" width="11.28515625" bestFit="1" customWidth="1"/>
    <col min="408" max="408" width="9" bestFit="1" customWidth="1"/>
    <col min="409" max="409" width="11.28515625" bestFit="1" customWidth="1"/>
    <col min="410" max="410" width="9" bestFit="1" customWidth="1"/>
    <col min="411" max="411" width="11.28515625" bestFit="1" customWidth="1"/>
    <col min="412" max="412" width="9" bestFit="1" customWidth="1"/>
    <col min="413" max="413" width="11.28515625" bestFit="1" customWidth="1"/>
    <col min="414" max="414" width="9" bestFit="1" customWidth="1"/>
    <col min="415" max="415" width="11.28515625" bestFit="1" customWidth="1"/>
    <col min="416" max="416" width="9" bestFit="1" customWidth="1"/>
    <col min="417" max="417" width="11.28515625" bestFit="1" customWidth="1"/>
    <col min="418" max="418" width="9" bestFit="1" customWidth="1"/>
    <col min="419" max="419" width="11.28515625" bestFit="1" customWidth="1"/>
    <col min="420" max="420" width="9" bestFit="1" customWidth="1"/>
    <col min="421" max="421" width="11.28515625" bestFit="1" customWidth="1"/>
    <col min="422" max="422" width="9" bestFit="1" customWidth="1"/>
    <col min="423" max="423" width="11.28515625" bestFit="1" customWidth="1"/>
    <col min="424" max="424" width="9" bestFit="1" customWidth="1"/>
    <col min="425" max="425" width="11.28515625" bestFit="1" customWidth="1"/>
    <col min="426" max="426" width="9" bestFit="1" customWidth="1"/>
    <col min="427" max="427" width="11.28515625" bestFit="1" customWidth="1"/>
    <col min="428" max="428" width="9" bestFit="1" customWidth="1"/>
    <col min="429" max="429" width="11.28515625" bestFit="1" customWidth="1"/>
    <col min="430" max="430" width="9" bestFit="1" customWidth="1"/>
    <col min="431" max="431" width="11.28515625" bestFit="1" customWidth="1"/>
    <col min="432" max="432" width="9" bestFit="1" customWidth="1"/>
    <col min="433" max="433" width="11.28515625" bestFit="1" customWidth="1"/>
    <col min="434" max="434" width="9" bestFit="1" customWidth="1"/>
    <col min="435" max="435" width="11.28515625" bestFit="1" customWidth="1"/>
    <col min="436" max="436" width="9" bestFit="1" customWidth="1"/>
    <col min="437" max="437" width="11.28515625" bestFit="1" customWidth="1"/>
    <col min="438" max="438" width="9" bestFit="1" customWidth="1"/>
    <col min="439" max="439" width="11.28515625" bestFit="1" customWidth="1"/>
    <col min="440" max="440" width="7" bestFit="1" customWidth="1"/>
    <col min="441" max="441" width="9.7109375" bestFit="1" customWidth="1"/>
    <col min="442" max="442" width="9" bestFit="1" customWidth="1"/>
    <col min="443" max="443" width="11.28515625" bestFit="1" customWidth="1"/>
    <col min="444" max="444" width="9" bestFit="1" customWidth="1"/>
    <col min="445" max="445" width="11.28515625" bestFit="1" customWidth="1"/>
    <col min="446" max="446" width="9" bestFit="1" customWidth="1"/>
    <col min="447" max="447" width="11.28515625" bestFit="1" customWidth="1"/>
    <col min="448" max="448" width="9" bestFit="1" customWidth="1"/>
    <col min="449" max="449" width="11.28515625" bestFit="1" customWidth="1"/>
    <col min="450" max="450" width="9" bestFit="1" customWidth="1"/>
    <col min="451" max="451" width="11.28515625" bestFit="1" customWidth="1"/>
    <col min="452" max="452" width="9" bestFit="1" customWidth="1"/>
    <col min="453" max="453" width="11.28515625" bestFit="1" customWidth="1"/>
    <col min="454" max="454" width="9" bestFit="1" customWidth="1"/>
    <col min="455" max="455" width="11.28515625" bestFit="1" customWidth="1"/>
    <col min="456" max="456" width="9" bestFit="1" customWidth="1"/>
    <col min="457" max="457" width="11.28515625" bestFit="1" customWidth="1"/>
    <col min="458" max="458" width="9" bestFit="1" customWidth="1"/>
    <col min="459" max="459" width="11.28515625" bestFit="1" customWidth="1"/>
    <col min="460" max="460" width="7" bestFit="1" customWidth="1"/>
    <col min="461" max="461" width="9.7109375" bestFit="1" customWidth="1"/>
    <col min="462" max="462" width="9" bestFit="1" customWidth="1"/>
    <col min="463" max="463" width="11.28515625" bestFit="1" customWidth="1"/>
    <col min="464" max="464" width="9" bestFit="1" customWidth="1"/>
    <col min="465" max="465" width="11.28515625" bestFit="1" customWidth="1"/>
    <col min="466" max="466" width="7" bestFit="1" customWidth="1"/>
    <col min="467" max="467" width="9.7109375" bestFit="1" customWidth="1"/>
    <col min="468" max="468" width="9" bestFit="1" customWidth="1"/>
    <col min="469" max="469" width="11.28515625" bestFit="1" customWidth="1"/>
    <col min="470" max="470" width="9" bestFit="1" customWidth="1"/>
    <col min="471" max="471" width="11.28515625" bestFit="1" customWidth="1"/>
    <col min="472" max="472" width="9" bestFit="1" customWidth="1"/>
    <col min="473" max="473" width="11.28515625" bestFit="1" customWidth="1"/>
    <col min="474" max="474" width="9" bestFit="1" customWidth="1"/>
    <col min="475" max="475" width="11.28515625" bestFit="1" customWidth="1"/>
    <col min="476" max="476" width="9" bestFit="1" customWidth="1"/>
    <col min="477" max="477" width="11.28515625" bestFit="1" customWidth="1"/>
    <col min="478" max="478" width="7" bestFit="1" customWidth="1"/>
    <col min="479" max="479" width="9.7109375" bestFit="1" customWidth="1"/>
    <col min="480" max="480" width="9" bestFit="1" customWidth="1"/>
    <col min="481" max="481" width="11.28515625" bestFit="1" customWidth="1"/>
    <col min="482" max="482" width="9" bestFit="1" customWidth="1"/>
    <col min="483" max="483" width="11.28515625" bestFit="1" customWidth="1"/>
    <col min="484" max="484" width="9" bestFit="1" customWidth="1"/>
    <col min="485" max="485" width="11.28515625" bestFit="1" customWidth="1"/>
    <col min="486" max="486" width="9" bestFit="1" customWidth="1"/>
    <col min="487" max="487" width="11.28515625" bestFit="1" customWidth="1"/>
    <col min="488" max="488" width="9" bestFit="1" customWidth="1"/>
    <col min="489" max="489" width="11.28515625" bestFit="1" customWidth="1"/>
    <col min="490" max="491" width="9" bestFit="1" customWidth="1"/>
    <col min="492" max="492" width="11.28515625" bestFit="1" customWidth="1"/>
    <col min="493" max="493" width="9" bestFit="1" customWidth="1"/>
    <col min="494" max="494" width="11.28515625" bestFit="1" customWidth="1"/>
    <col min="495" max="495" width="9" bestFit="1" customWidth="1"/>
    <col min="496" max="496" width="11.28515625" bestFit="1" customWidth="1"/>
    <col min="497" max="497" width="9" bestFit="1" customWidth="1"/>
    <col min="498" max="498" width="11.28515625" bestFit="1" customWidth="1"/>
    <col min="499" max="499" width="9" bestFit="1" customWidth="1"/>
    <col min="500" max="500" width="11.28515625" bestFit="1" customWidth="1"/>
    <col min="501" max="501" width="9" bestFit="1" customWidth="1"/>
    <col min="502" max="502" width="11.28515625" bestFit="1" customWidth="1"/>
    <col min="503" max="503" width="9" bestFit="1" customWidth="1"/>
    <col min="504" max="504" width="11.28515625" bestFit="1" customWidth="1"/>
    <col min="505" max="505" width="9" bestFit="1" customWidth="1"/>
    <col min="506" max="506" width="11.28515625" bestFit="1" customWidth="1"/>
    <col min="507" max="507" width="9" bestFit="1" customWidth="1"/>
    <col min="508" max="508" width="11.28515625" bestFit="1" customWidth="1"/>
    <col min="509" max="509" width="9" bestFit="1" customWidth="1"/>
    <col min="510" max="510" width="11.28515625" bestFit="1" customWidth="1"/>
    <col min="511" max="511" width="9" bestFit="1" customWidth="1"/>
    <col min="512" max="512" width="11.28515625" bestFit="1" customWidth="1"/>
    <col min="513" max="513" width="9" bestFit="1" customWidth="1"/>
    <col min="514" max="514" width="11.28515625" bestFit="1" customWidth="1"/>
    <col min="515" max="515" width="9" bestFit="1" customWidth="1"/>
    <col min="516" max="516" width="11.28515625" bestFit="1" customWidth="1"/>
    <col min="517" max="517" width="9" bestFit="1" customWidth="1"/>
    <col min="518" max="518" width="11.28515625" bestFit="1" customWidth="1"/>
    <col min="519" max="519" width="9" bestFit="1" customWidth="1"/>
    <col min="520" max="520" width="11.28515625" bestFit="1" customWidth="1"/>
    <col min="521" max="521" width="9" bestFit="1" customWidth="1"/>
    <col min="522" max="522" width="11.28515625" bestFit="1" customWidth="1"/>
    <col min="523" max="523" width="9" bestFit="1" customWidth="1"/>
    <col min="524" max="524" width="11.28515625" bestFit="1" customWidth="1"/>
    <col min="525" max="525" width="9" bestFit="1" customWidth="1"/>
    <col min="526" max="526" width="11.28515625" bestFit="1" customWidth="1"/>
    <col min="527" max="527" width="9" bestFit="1" customWidth="1"/>
    <col min="528" max="528" width="11.28515625" bestFit="1" customWidth="1"/>
    <col min="529" max="529" width="9" bestFit="1" customWidth="1"/>
    <col min="530" max="530" width="11.28515625" bestFit="1" customWidth="1"/>
    <col min="531" max="532" width="9" bestFit="1" customWidth="1"/>
    <col min="533" max="533" width="11.28515625" bestFit="1" customWidth="1"/>
    <col min="534" max="534" width="9" bestFit="1" customWidth="1"/>
    <col min="535" max="535" width="11.28515625" bestFit="1" customWidth="1"/>
    <col min="536" max="536" width="9" bestFit="1" customWidth="1"/>
    <col min="537" max="537" width="11.28515625" bestFit="1" customWidth="1"/>
    <col min="538" max="538" width="9" bestFit="1" customWidth="1"/>
    <col min="539" max="539" width="11.28515625" bestFit="1" customWidth="1"/>
    <col min="540" max="540" width="9" bestFit="1" customWidth="1"/>
    <col min="541" max="541" width="11.28515625" bestFit="1" customWidth="1"/>
    <col min="542" max="542" width="9" bestFit="1" customWidth="1"/>
    <col min="543" max="543" width="11.28515625" bestFit="1" customWidth="1"/>
    <col min="544" max="544" width="9" bestFit="1" customWidth="1"/>
    <col min="545" max="545" width="11.28515625" bestFit="1" customWidth="1"/>
    <col min="546" max="546" width="9" bestFit="1" customWidth="1"/>
    <col min="547" max="547" width="11.28515625" bestFit="1" customWidth="1"/>
    <col min="548" max="548" width="9" bestFit="1" customWidth="1"/>
    <col min="549" max="549" width="11.28515625" bestFit="1" customWidth="1"/>
    <col min="550" max="550" width="9" bestFit="1" customWidth="1"/>
    <col min="551" max="551" width="11.28515625" bestFit="1" customWidth="1"/>
    <col min="552" max="552" width="7" bestFit="1" customWidth="1"/>
    <col min="553" max="553" width="9.7109375" bestFit="1" customWidth="1"/>
    <col min="554" max="554" width="9" bestFit="1" customWidth="1"/>
    <col min="555" max="555" width="11.28515625" bestFit="1" customWidth="1"/>
    <col min="556" max="556" width="7" bestFit="1" customWidth="1"/>
    <col min="557" max="557" width="9.7109375" bestFit="1" customWidth="1"/>
    <col min="558" max="558" width="9" bestFit="1" customWidth="1"/>
    <col min="559" max="559" width="11.28515625" bestFit="1" customWidth="1"/>
    <col min="560" max="560" width="9" bestFit="1" customWidth="1"/>
    <col min="561" max="561" width="11.28515625" bestFit="1" customWidth="1"/>
    <col min="562" max="562" width="9" bestFit="1" customWidth="1"/>
    <col min="563" max="563" width="11.28515625" bestFit="1" customWidth="1"/>
    <col min="564" max="564" width="7" bestFit="1" customWidth="1"/>
    <col min="565" max="565" width="9.7109375" bestFit="1" customWidth="1"/>
    <col min="566" max="566" width="9" bestFit="1" customWidth="1"/>
    <col min="567" max="567" width="11.28515625" bestFit="1" customWidth="1"/>
    <col min="568" max="568" width="9" bestFit="1" customWidth="1"/>
    <col min="569" max="569" width="11.28515625" bestFit="1" customWidth="1"/>
    <col min="570" max="570" width="9" bestFit="1" customWidth="1"/>
    <col min="571" max="571" width="11.28515625" bestFit="1" customWidth="1"/>
    <col min="572" max="572" width="9" bestFit="1" customWidth="1"/>
    <col min="573" max="573" width="11.28515625" bestFit="1" customWidth="1"/>
    <col min="574" max="574" width="9" bestFit="1" customWidth="1"/>
    <col min="575" max="575" width="11.28515625" bestFit="1" customWidth="1"/>
    <col min="576" max="576" width="9" bestFit="1" customWidth="1"/>
    <col min="577" max="577" width="11.28515625" bestFit="1" customWidth="1"/>
    <col min="578" max="578" width="9" bestFit="1" customWidth="1"/>
    <col min="579" max="579" width="11.28515625" bestFit="1" customWidth="1"/>
    <col min="580" max="580" width="9" bestFit="1" customWidth="1"/>
    <col min="581" max="581" width="11.28515625" bestFit="1" customWidth="1"/>
    <col min="582" max="582" width="7" bestFit="1" customWidth="1"/>
    <col min="583" max="583" width="9.7109375" bestFit="1" customWidth="1"/>
    <col min="584" max="584" width="9" bestFit="1" customWidth="1"/>
    <col min="585" max="585" width="11.28515625" bestFit="1" customWidth="1"/>
    <col min="586" max="586" width="9" bestFit="1" customWidth="1"/>
    <col min="587" max="587" width="11.28515625" bestFit="1" customWidth="1"/>
    <col min="588" max="588" width="9" bestFit="1" customWidth="1"/>
    <col min="589" max="589" width="11.28515625" bestFit="1" customWidth="1"/>
    <col min="590" max="590" width="9" bestFit="1" customWidth="1"/>
    <col min="591" max="591" width="11.28515625" bestFit="1" customWidth="1"/>
    <col min="592" max="593" width="9" bestFit="1" customWidth="1"/>
    <col min="594" max="594" width="11.28515625" bestFit="1" customWidth="1"/>
    <col min="595" max="595" width="9" bestFit="1" customWidth="1"/>
    <col min="596" max="596" width="11.28515625" bestFit="1" customWidth="1"/>
    <col min="597" max="597" width="9" bestFit="1" customWidth="1"/>
    <col min="598" max="598" width="11.28515625" bestFit="1" customWidth="1"/>
    <col min="599" max="599" width="9" bestFit="1" customWidth="1"/>
    <col min="600" max="600" width="11.28515625" bestFit="1" customWidth="1"/>
    <col min="601" max="601" width="9" bestFit="1" customWidth="1"/>
    <col min="602" max="602" width="11.28515625" bestFit="1" customWidth="1"/>
    <col min="603" max="603" width="7" bestFit="1" customWidth="1"/>
    <col min="604" max="604" width="9.7109375" bestFit="1" customWidth="1"/>
    <col min="605" max="606" width="9" bestFit="1" customWidth="1"/>
    <col min="607" max="607" width="11.28515625" bestFit="1" customWidth="1"/>
    <col min="608" max="608" width="9" bestFit="1" customWidth="1"/>
    <col min="609" max="609" width="11.28515625" bestFit="1" customWidth="1"/>
    <col min="610" max="610" width="9" bestFit="1" customWidth="1"/>
    <col min="611" max="611" width="11.28515625" bestFit="1" customWidth="1"/>
    <col min="612" max="612" width="7" bestFit="1" customWidth="1"/>
    <col min="613" max="613" width="9.7109375" bestFit="1" customWidth="1"/>
    <col min="614" max="614" width="9" bestFit="1" customWidth="1"/>
    <col min="615" max="615" width="11.28515625" bestFit="1" customWidth="1"/>
    <col min="616" max="616" width="9" bestFit="1" customWidth="1"/>
    <col min="617" max="617" width="11.28515625" bestFit="1" customWidth="1"/>
    <col min="618" max="618" width="9" bestFit="1" customWidth="1"/>
    <col min="619" max="619" width="11.28515625" bestFit="1" customWidth="1"/>
    <col min="620" max="620" width="9" bestFit="1" customWidth="1"/>
    <col min="621" max="621" width="11.28515625" bestFit="1" customWidth="1"/>
    <col min="622" max="622" width="9" bestFit="1" customWidth="1"/>
    <col min="623" max="623" width="11.28515625" bestFit="1" customWidth="1"/>
    <col min="624" max="624" width="9" bestFit="1" customWidth="1"/>
    <col min="625" max="625" width="11.28515625" bestFit="1" customWidth="1"/>
    <col min="626" max="626" width="7" bestFit="1" customWidth="1"/>
    <col min="627" max="627" width="9.7109375" bestFit="1" customWidth="1"/>
    <col min="628" max="628" width="9" bestFit="1" customWidth="1"/>
    <col min="629" max="629" width="11.28515625" bestFit="1" customWidth="1"/>
    <col min="630" max="630" width="7" bestFit="1" customWidth="1"/>
    <col min="631" max="631" width="9.7109375" bestFit="1" customWidth="1"/>
    <col min="632" max="632" width="9" bestFit="1" customWidth="1"/>
    <col min="633" max="633" width="11.28515625" bestFit="1" customWidth="1"/>
    <col min="634" max="634" width="9" bestFit="1" customWidth="1"/>
    <col min="635" max="635" width="11.28515625" bestFit="1" customWidth="1"/>
    <col min="636" max="636" width="9" bestFit="1" customWidth="1"/>
    <col min="637" max="637" width="11.28515625" bestFit="1" customWidth="1"/>
    <col min="638" max="638" width="9" bestFit="1" customWidth="1"/>
    <col min="639" max="639" width="11.28515625" bestFit="1" customWidth="1"/>
    <col min="640" max="640" width="9" bestFit="1" customWidth="1"/>
    <col min="641" max="641" width="11.28515625" bestFit="1" customWidth="1"/>
    <col min="642" max="642" width="9" bestFit="1" customWidth="1"/>
    <col min="643" max="643" width="11.28515625" bestFit="1" customWidth="1"/>
    <col min="644" max="644" width="9" bestFit="1" customWidth="1"/>
    <col min="645" max="645" width="11.28515625" bestFit="1" customWidth="1"/>
    <col min="646" max="646" width="9" bestFit="1" customWidth="1"/>
    <col min="647" max="647" width="11.28515625" bestFit="1" customWidth="1"/>
    <col min="648" max="648" width="7" bestFit="1" customWidth="1"/>
    <col min="649" max="649" width="9.7109375" bestFit="1" customWidth="1"/>
    <col min="650" max="650" width="9" bestFit="1" customWidth="1"/>
    <col min="651" max="651" width="11.28515625" bestFit="1" customWidth="1"/>
    <col min="652" max="652" width="9" bestFit="1" customWidth="1"/>
    <col min="653" max="653" width="11.28515625" bestFit="1" customWidth="1"/>
    <col min="654" max="654" width="9" bestFit="1" customWidth="1"/>
    <col min="655" max="655" width="11.28515625" bestFit="1" customWidth="1"/>
    <col min="656" max="656" width="9" bestFit="1" customWidth="1"/>
    <col min="657" max="657" width="11.28515625" bestFit="1" customWidth="1"/>
    <col min="658" max="658" width="9" bestFit="1" customWidth="1"/>
    <col min="659" max="659" width="11.28515625" bestFit="1" customWidth="1"/>
    <col min="660" max="660" width="9" bestFit="1" customWidth="1"/>
    <col min="661" max="661" width="11.28515625" bestFit="1" customWidth="1"/>
    <col min="662" max="662" width="9" bestFit="1" customWidth="1"/>
    <col min="663" max="663" width="11.28515625" bestFit="1" customWidth="1"/>
    <col min="664" max="664" width="7" bestFit="1" customWidth="1"/>
    <col min="665" max="665" width="9.7109375" bestFit="1" customWidth="1"/>
    <col min="666" max="667" width="9" bestFit="1" customWidth="1"/>
    <col min="668" max="668" width="11.28515625" bestFit="1" customWidth="1"/>
    <col min="669" max="669" width="7" bestFit="1" customWidth="1"/>
    <col min="670" max="670" width="9.7109375" bestFit="1" customWidth="1"/>
    <col min="671" max="671" width="9" bestFit="1" customWidth="1"/>
    <col min="672" max="672" width="11.28515625" bestFit="1" customWidth="1"/>
    <col min="673" max="673" width="9" bestFit="1" customWidth="1"/>
    <col min="674" max="674" width="11.28515625" bestFit="1" customWidth="1"/>
    <col min="675" max="675" width="9" bestFit="1" customWidth="1"/>
    <col min="676" max="676" width="11.28515625" bestFit="1" customWidth="1"/>
    <col min="677" max="677" width="9" bestFit="1" customWidth="1"/>
    <col min="678" max="678" width="11.28515625" bestFit="1" customWidth="1"/>
    <col min="679" max="679" width="9" bestFit="1" customWidth="1"/>
    <col min="680" max="680" width="11.28515625" bestFit="1" customWidth="1"/>
    <col min="681" max="681" width="9" bestFit="1" customWidth="1"/>
    <col min="682" max="682" width="11.28515625" bestFit="1" customWidth="1"/>
    <col min="683" max="683" width="9" bestFit="1" customWidth="1"/>
    <col min="684" max="684" width="11.28515625" bestFit="1" customWidth="1"/>
    <col min="685" max="685" width="9" bestFit="1" customWidth="1"/>
    <col min="686" max="686" width="11.28515625" bestFit="1" customWidth="1"/>
    <col min="687" max="687" width="9" bestFit="1" customWidth="1"/>
    <col min="688" max="688" width="11.28515625" bestFit="1" customWidth="1"/>
    <col min="689" max="689" width="9" bestFit="1" customWidth="1"/>
    <col min="690" max="690" width="11.28515625" bestFit="1" customWidth="1"/>
    <col min="691" max="691" width="9" bestFit="1" customWidth="1"/>
    <col min="692" max="692" width="11.28515625" bestFit="1" customWidth="1"/>
    <col min="693" max="693" width="9" bestFit="1" customWidth="1"/>
    <col min="694" max="694" width="11.28515625" bestFit="1" customWidth="1"/>
    <col min="695" max="695" width="9" bestFit="1" customWidth="1"/>
    <col min="696" max="696" width="11.28515625" bestFit="1" customWidth="1"/>
    <col min="697" max="697" width="9" bestFit="1" customWidth="1"/>
    <col min="698" max="698" width="11.28515625" bestFit="1" customWidth="1"/>
    <col min="699" max="699" width="9" bestFit="1" customWidth="1"/>
    <col min="700" max="700" width="11.28515625" bestFit="1" customWidth="1"/>
    <col min="701" max="701" width="9" bestFit="1" customWidth="1"/>
    <col min="702" max="702" width="11.28515625" bestFit="1" customWidth="1"/>
    <col min="703" max="703" width="9" bestFit="1" customWidth="1"/>
    <col min="704" max="704" width="11.28515625" bestFit="1" customWidth="1"/>
    <col min="705" max="705" width="9" bestFit="1" customWidth="1"/>
    <col min="706" max="706" width="11.28515625" bestFit="1" customWidth="1"/>
    <col min="707" max="708" width="9" bestFit="1" customWidth="1"/>
    <col min="709" max="709" width="11.28515625" bestFit="1" customWidth="1"/>
    <col min="710" max="710" width="9" bestFit="1" customWidth="1"/>
    <col min="711" max="711" width="11.28515625" bestFit="1" customWidth="1"/>
    <col min="712" max="712" width="9" bestFit="1" customWidth="1"/>
    <col min="713" max="713" width="11.28515625" bestFit="1" customWidth="1"/>
    <col min="714" max="714" width="7" bestFit="1" customWidth="1"/>
    <col min="715" max="715" width="9.7109375" bestFit="1" customWidth="1"/>
    <col min="716" max="716" width="9" bestFit="1" customWidth="1"/>
    <col min="717" max="717" width="11.28515625" bestFit="1" customWidth="1"/>
    <col min="718" max="718" width="9" bestFit="1" customWidth="1"/>
    <col min="719" max="719" width="11.28515625" bestFit="1" customWidth="1"/>
    <col min="720" max="720" width="9" bestFit="1" customWidth="1"/>
    <col min="721" max="721" width="11.28515625" bestFit="1" customWidth="1"/>
    <col min="722" max="722" width="10.7109375" bestFit="1" customWidth="1"/>
  </cols>
  <sheetData>
    <row r="1" spans="1:12">
      <c r="A1" s="126" t="s">
        <v>215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8"/>
    </row>
    <row r="2" spans="1:12">
      <c r="A2" s="55"/>
      <c r="L2" s="79"/>
    </row>
    <row r="3" spans="1:12">
      <c r="A3" s="80" t="s">
        <v>216</v>
      </c>
      <c r="L3" s="79"/>
    </row>
    <row r="4" spans="1:12">
      <c r="A4" s="80" t="s">
        <v>217</v>
      </c>
      <c r="L4" s="79"/>
    </row>
    <row r="5" spans="1:12">
      <c r="A5" s="80" t="s">
        <v>218</v>
      </c>
      <c r="L5" s="79"/>
    </row>
    <row r="6" spans="1:12">
      <c r="A6" s="55"/>
      <c r="L6" s="79"/>
    </row>
    <row r="7" spans="1:12" ht="15" thickBot="1">
      <c r="A7" s="55"/>
      <c r="L7" s="79"/>
    </row>
    <row r="8" spans="1:12" ht="15" thickBot="1">
      <c r="A8" s="137" t="s">
        <v>30</v>
      </c>
      <c r="B8" s="138"/>
      <c r="C8" s="138"/>
      <c r="D8" s="138"/>
      <c r="E8" s="138"/>
      <c r="F8" s="138"/>
      <c r="G8" s="139"/>
      <c r="H8" s="92"/>
      <c r="I8" s="92"/>
      <c r="J8" s="92"/>
      <c r="K8" s="93"/>
      <c r="L8" s="79"/>
    </row>
    <row r="9" spans="1:12">
      <c r="A9" s="103" t="s">
        <v>1</v>
      </c>
      <c r="B9" s="49" t="s">
        <v>2</v>
      </c>
      <c r="C9" s="49" t="s">
        <v>219</v>
      </c>
      <c r="D9" s="49" t="s">
        <v>220</v>
      </c>
      <c r="E9" s="106" t="s">
        <v>221</v>
      </c>
      <c r="F9" s="109" t="s">
        <v>222</v>
      </c>
      <c r="G9" s="110" t="s">
        <v>223</v>
      </c>
      <c r="K9" s="79"/>
      <c r="L9" s="79"/>
    </row>
    <row r="10" spans="1:12">
      <c r="A10" s="62">
        <v>2017</v>
      </c>
      <c r="B10" s="9" t="s">
        <v>38</v>
      </c>
      <c r="C10" s="9">
        <f>AVERAGE('India CPI Inflation -CSV'!X152,'India CPI Inflation -CSV'!AB152)</f>
        <v>126.94999999999999</v>
      </c>
      <c r="D10" s="48">
        <f>AVERAGE('India CPI Inflation -CSV'!D152:Q152)</f>
        <v>133.76428571428573</v>
      </c>
      <c r="E10" s="107">
        <f>AVERAGE('India CPI Inflation -CSV'!V152,'India CPI Inflation -CSV'!Y152)</f>
        <v>127</v>
      </c>
      <c r="F10" s="62" t="s">
        <v>224</v>
      </c>
      <c r="G10" s="57">
        <f>AVERAGE(C10:C12)</f>
        <v>124.84999999999998</v>
      </c>
      <c r="K10" s="79"/>
      <c r="L10" s="79"/>
    </row>
    <row r="11" spans="1:12">
      <c r="A11" s="62">
        <v>2018</v>
      </c>
      <c r="B11" s="9" t="s">
        <v>38</v>
      </c>
      <c r="C11" s="9">
        <f>AVERAGE('India CPI Inflation -CSV'!X153,'India CPI Inflation -CSV'!AB153)</f>
        <v>122.4</v>
      </c>
      <c r="D11" s="48">
        <f>AVERAGE('India CPI Inflation -CSV'!D153:Q153)</f>
        <v>132.37142857142857</v>
      </c>
      <c r="E11" s="107">
        <f>AVERAGE('India CPI Inflation -CSV'!V153,'India CPI Inflation -CSV'!Y153)</f>
        <v>118.19999999999999</v>
      </c>
      <c r="F11" s="62" t="s">
        <v>225</v>
      </c>
      <c r="G11" s="57">
        <f>AVERAGE(C13:C16)</f>
        <v>125.825</v>
      </c>
      <c r="K11" s="79"/>
      <c r="L11" s="79"/>
    </row>
    <row r="12" spans="1:12">
      <c r="A12" s="62">
        <v>2019</v>
      </c>
      <c r="B12" s="9" t="s">
        <v>38</v>
      </c>
      <c r="C12" s="9">
        <f>AVERAGE('India CPI Inflation -CSV'!X154,'India CPI Inflation -CSV'!AB154)</f>
        <v>125.19999999999999</v>
      </c>
      <c r="D12" s="48">
        <f>AVERAGE('India CPI Inflation -CSV'!D154:Q154)</f>
        <v>133.14285714285714</v>
      </c>
      <c r="E12" s="107">
        <f>AVERAGE('India CPI Inflation -CSV'!V154,'India CPI Inflation -CSV'!Y154)</f>
        <v>123.35</v>
      </c>
      <c r="F12" s="62" t="s">
        <v>226</v>
      </c>
      <c r="G12" s="111">
        <f>AVERAGE(D10:D12)</f>
        <v>133.09285714285716</v>
      </c>
      <c r="K12" s="79"/>
      <c r="L12" s="79"/>
    </row>
    <row r="13" spans="1:12">
      <c r="A13" s="62">
        <v>2020</v>
      </c>
      <c r="B13" s="9" t="s">
        <v>38</v>
      </c>
      <c r="C13" s="9">
        <f>AVERAGE('India CPI Inflation -CSV'!X155,'India CPI Inflation -CSV'!AB155)</f>
        <v>127.35</v>
      </c>
      <c r="D13" s="48">
        <f>AVERAGE('India CPI Inflation -CSV'!D155:Q155)</f>
        <v>133.62142857142857</v>
      </c>
      <c r="E13" s="107">
        <f>AVERAGE('India CPI Inflation -CSV'!V155,'India CPI Inflation -CSV'!Y155)</f>
        <v>127.1</v>
      </c>
      <c r="F13" s="62" t="s">
        <v>227</v>
      </c>
      <c r="G13" s="111">
        <f>AVERAGE(D13:D16)</f>
        <v>133.27857142857141</v>
      </c>
      <c r="K13" s="79"/>
      <c r="L13" s="79"/>
    </row>
    <row r="14" spans="1:12">
      <c r="A14" s="62">
        <v>2021</v>
      </c>
      <c r="B14" s="9" t="s">
        <v>38</v>
      </c>
      <c r="C14" s="9">
        <f>AVERAGE('India CPI Inflation -CSV'!X156,'India CPI Inflation -CSV'!AB156)</f>
        <v>122.80000000000001</v>
      </c>
      <c r="D14" s="48">
        <f>AVERAGE('India CPI Inflation -CSV'!D156:Q156)</f>
        <v>132.57857142857142</v>
      </c>
      <c r="E14" s="107">
        <f>AVERAGE('India CPI Inflation -CSV'!V156,'India CPI Inflation -CSV'!Y156)</f>
        <v>117.85</v>
      </c>
      <c r="F14" s="62" t="s">
        <v>228</v>
      </c>
      <c r="G14" s="57">
        <f>AVERAGE(E10:E12)</f>
        <v>122.84999999999998</v>
      </c>
      <c r="K14" s="79"/>
      <c r="L14" s="79"/>
    </row>
    <row r="15" spans="1:12">
      <c r="A15" s="62">
        <v>2022</v>
      </c>
      <c r="B15" s="9" t="s">
        <v>38</v>
      </c>
      <c r="C15" s="9">
        <f>AVERAGE('India CPI Inflation -CSV'!X157,'India CPI Inflation -CSV'!AB157)</f>
        <v>125.6</v>
      </c>
      <c r="D15" s="48">
        <f>AVERAGE('India CPI Inflation -CSV'!D157:Q157)</f>
        <v>133.12857142857143</v>
      </c>
      <c r="E15" s="107">
        <f>AVERAGE('India CPI Inflation -CSV'!V157,'India CPI Inflation -CSV'!Y157)</f>
        <v>123.2</v>
      </c>
      <c r="F15" s="62" t="s">
        <v>229</v>
      </c>
      <c r="G15" s="57">
        <f>AVERAGE(E13:E16)</f>
        <v>123.83749999999999</v>
      </c>
      <c r="K15" s="79"/>
      <c r="L15" s="79"/>
    </row>
    <row r="16" spans="1:12" ht="15" thickBot="1">
      <c r="A16" s="71">
        <v>2023</v>
      </c>
      <c r="B16" s="60" t="s">
        <v>38</v>
      </c>
      <c r="C16" s="60">
        <f>AVERAGE('India CPI Inflation -CSV'!X158,'India CPI Inflation -CSV'!AB158)</f>
        <v>127.55000000000001</v>
      </c>
      <c r="D16" s="105">
        <f>AVERAGE('India CPI Inflation -CSV'!D158:Q158)</f>
        <v>133.78571428571425</v>
      </c>
      <c r="E16" s="108">
        <f>AVERAGE('India CPI Inflation -CSV'!V158,'India CPI Inflation -CSV'!Y158)</f>
        <v>127.2</v>
      </c>
      <c r="F16" s="62" t="s">
        <v>230</v>
      </c>
      <c r="G16" s="112">
        <f>((AVERAGE(C13:C16)-AVERAGE(C10:C12))/AVERAGE(C10:C12))*100</f>
        <v>0.78093712454947772</v>
      </c>
      <c r="K16" s="79"/>
      <c r="L16" s="79"/>
    </row>
    <row r="17" spans="1:12">
      <c r="A17" s="55"/>
      <c r="D17" s="104"/>
      <c r="F17" s="62" t="s">
        <v>231</v>
      </c>
      <c r="G17" s="112">
        <f>((AVERAGE(D13:D16)-AVERAGE(D10:D12))/AVERAGE(D10:D12))*100</f>
        <v>0.13953737991732773</v>
      </c>
      <c r="K17" s="79"/>
      <c r="L17" s="79"/>
    </row>
    <row r="18" spans="1:12">
      <c r="A18" s="113" t="s">
        <v>232</v>
      </c>
      <c r="D18" s="104"/>
      <c r="F18" s="62" t="s">
        <v>233</v>
      </c>
      <c r="G18" s="112">
        <f>((AVERAGE(E13:E16)-AVERAGE(E10:E12))/AVERAGE(E10:E12))*100</f>
        <v>0.80382580382581326</v>
      </c>
      <c r="K18" s="79"/>
      <c r="L18" s="79"/>
    </row>
    <row r="19" spans="1:12">
      <c r="A19" s="80" t="s">
        <v>234</v>
      </c>
      <c r="D19" s="104"/>
      <c r="F19" s="62" t="s">
        <v>235</v>
      </c>
      <c r="G19" s="57">
        <f>INDEX(A10:A16,MATCH(MAX(C10:C16),C10:C16,0))</f>
        <v>2023</v>
      </c>
      <c r="K19" s="79"/>
      <c r="L19" s="79"/>
    </row>
    <row r="20" spans="1:12">
      <c r="A20" s="80" t="s">
        <v>236</v>
      </c>
      <c r="D20" s="104"/>
      <c r="F20" s="62" t="s">
        <v>237</v>
      </c>
      <c r="G20" s="57">
        <f>INDEX(A10:A16,MATCH(MAX(D10:D16),D10:D16,0))</f>
        <v>2023</v>
      </c>
      <c r="K20" s="79"/>
      <c r="L20" s="79"/>
    </row>
    <row r="21" spans="1:12" ht="15" thickBot="1">
      <c r="A21" s="55"/>
      <c r="D21" s="104"/>
      <c r="F21" s="71" t="s">
        <v>238</v>
      </c>
      <c r="G21" s="61">
        <f>INDEX(A10:A16,MATCH(MAX(E10:E16),E10:E16,0))</f>
        <v>2023</v>
      </c>
      <c r="K21" s="79"/>
      <c r="L21" s="79"/>
    </row>
    <row r="22" spans="1:12">
      <c r="A22" s="55"/>
      <c r="D22" s="104"/>
      <c r="K22" s="79"/>
      <c r="L22" s="79"/>
    </row>
    <row r="23" spans="1:12" ht="15" thickBot="1">
      <c r="A23" s="84"/>
      <c r="B23" s="85"/>
      <c r="C23" s="85"/>
      <c r="D23" s="85"/>
      <c r="E23" s="85"/>
      <c r="F23" s="85"/>
      <c r="G23" s="85"/>
      <c r="H23" s="85"/>
      <c r="I23" s="85"/>
      <c r="J23" s="85"/>
      <c r="K23" s="86"/>
      <c r="L23" s="79"/>
    </row>
    <row r="24" spans="1:12" ht="15" thickBot="1">
      <c r="A24" s="55"/>
      <c r="L24" s="79"/>
    </row>
    <row r="25" spans="1:12" ht="15" thickBot="1">
      <c r="A25" s="137" t="s">
        <v>33</v>
      </c>
      <c r="B25" s="138"/>
      <c r="C25" s="138"/>
      <c r="D25" s="138"/>
      <c r="E25" s="138"/>
      <c r="F25" s="138"/>
      <c r="G25" s="139"/>
      <c r="H25" s="92"/>
      <c r="I25" s="92"/>
      <c r="J25" s="92"/>
      <c r="K25" s="93"/>
      <c r="L25" s="79"/>
    </row>
    <row r="26" spans="1:12">
      <c r="A26" s="103" t="s">
        <v>1</v>
      </c>
      <c r="B26" s="49" t="s">
        <v>2</v>
      </c>
      <c r="C26" s="49" t="s">
        <v>219</v>
      </c>
      <c r="D26" s="49" t="s">
        <v>220</v>
      </c>
      <c r="E26" s="106" t="s">
        <v>221</v>
      </c>
      <c r="F26" s="109" t="s">
        <v>222</v>
      </c>
      <c r="G26" s="110" t="s">
        <v>223</v>
      </c>
      <c r="K26" s="79"/>
      <c r="L26" s="79"/>
    </row>
    <row r="27" spans="1:12">
      <c r="A27" s="62">
        <v>2017</v>
      </c>
      <c r="B27" s="9" t="s">
        <v>38</v>
      </c>
      <c r="C27" s="9">
        <f>AVERAGE('India CPI Inflation -CSV'!X153,'India CPI Inflation -CSV'!AB153)</f>
        <v>122.4</v>
      </c>
      <c r="D27" s="48">
        <f>AVERAGE('India CPI Inflation -CSV'!D153:Q153)</f>
        <v>132.37142857142857</v>
      </c>
      <c r="E27" s="107">
        <f>AVERAGE('India CPI Inflation -CSV'!V153,'India CPI Inflation -CSV'!Y153)</f>
        <v>118.19999999999999</v>
      </c>
      <c r="F27" s="62" t="s">
        <v>224</v>
      </c>
      <c r="G27" s="57">
        <f>AVERAGE(C27:C29)</f>
        <v>124.98333333333333</v>
      </c>
      <c r="K27" s="79"/>
      <c r="L27" s="79"/>
    </row>
    <row r="28" spans="1:12">
      <c r="A28" s="62">
        <v>2018</v>
      </c>
      <c r="B28" s="9" t="s">
        <v>38</v>
      </c>
      <c r="C28" s="9">
        <f>AVERAGE('India CPI Inflation -CSV'!X154,'India CPI Inflation -CSV'!AB154)</f>
        <v>125.19999999999999</v>
      </c>
      <c r="D28" s="48">
        <f>AVERAGE('India CPI Inflation -CSV'!D154:Q154)</f>
        <v>133.14285714285714</v>
      </c>
      <c r="E28" s="107">
        <f>AVERAGE('India CPI Inflation -CSV'!V154,'India CPI Inflation -CSV'!Y154)</f>
        <v>123.35</v>
      </c>
      <c r="F28" s="62" t="s">
        <v>225</v>
      </c>
      <c r="G28" s="57">
        <f>AVERAGE(C30:C33)</f>
        <v>124.68750000000001</v>
      </c>
      <c r="K28" s="79"/>
      <c r="L28" s="79"/>
    </row>
    <row r="29" spans="1:12">
      <c r="A29" s="62">
        <v>2019</v>
      </c>
      <c r="B29" s="9" t="s">
        <v>38</v>
      </c>
      <c r="C29" s="9">
        <f>AVERAGE('India CPI Inflation -CSV'!X155,'India CPI Inflation -CSV'!AB155)</f>
        <v>127.35</v>
      </c>
      <c r="D29" s="48">
        <f>AVERAGE('India CPI Inflation -CSV'!D155:Q155)</f>
        <v>133.62142857142857</v>
      </c>
      <c r="E29" s="107">
        <f>AVERAGE('India CPI Inflation -CSV'!V155,'India CPI Inflation -CSV'!Y155)</f>
        <v>127.1</v>
      </c>
      <c r="F29" s="62" t="s">
        <v>226</v>
      </c>
      <c r="G29" s="111">
        <f>AVERAGE(D27:D29)</f>
        <v>133.04523809523809</v>
      </c>
      <c r="K29" s="79"/>
      <c r="L29" s="79"/>
    </row>
    <row r="30" spans="1:12">
      <c r="A30" s="62">
        <v>2020</v>
      </c>
      <c r="B30" s="9" t="s">
        <v>38</v>
      </c>
      <c r="C30" s="9">
        <f>AVERAGE('India CPI Inflation -CSV'!X156,'India CPI Inflation -CSV'!AB156)</f>
        <v>122.80000000000001</v>
      </c>
      <c r="D30" s="48">
        <f>AVERAGE('India CPI Inflation -CSV'!D156:Q156)</f>
        <v>132.57857142857142</v>
      </c>
      <c r="E30" s="107">
        <f>AVERAGE('India CPI Inflation -CSV'!V156,'India CPI Inflation -CSV'!Y156)</f>
        <v>117.85</v>
      </c>
      <c r="F30" s="62" t="s">
        <v>227</v>
      </c>
      <c r="G30" s="111">
        <f>AVERAGE(D30:D33)</f>
        <v>133.05000000000001</v>
      </c>
      <c r="K30" s="79"/>
      <c r="L30" s="79"/>
    </row>
    <row r="31" spans="1:12">
      <c r="A31" s="62">
        <v>2021</v>
      </c>
      <c r="B31" s="9" t="s">
        <v>38</v>
      </c>
      <c r="C31" s="9">
        <f>AVERAGE('India CPI Inflation -CSV'!X157,'India CPI Inflation -CSV'!AB157)</f>
        <v>125.6</v>
      </c>
      <c r="D31" s="48">
        <f>AVERAGE('India CPI Inflation -CSV'!D157:Q157)</f>
        <v>133.12857142857143</v>
      </c>
      <c r="E31" s="107">
        <f>AVERAGE('India CPI Inflation -CSV'!V157,'India CPI Inflation -CSV'!Y157)</f>
        <v>123.2</v>
      </c>
      <c r="F31" s="62" t="s">
        <v>228</v>
      </c>
      <c r="G31" s="57">
        <f>AVERAGE(E27:E29)</f>
        <v>122.88333333333333</v>
      </c>
      <c r="K31" s="79"/>
      <c r="L31" s="79"/>
    </row>
    <row r="32" spans="1:12">
      <c r="A32" s="62">
        <v>2022</v>
      </c>
      <c r="B32" s="9" t="s">
        <v>38</v>
      </c>
      <c r="C32" s="9">
        <f>AVERAGE('India CPI Inflation -CSV'!X158,'India CPI Inflation -CSV'!AB158)</f>
        <v>127.55000000000001</v>
      </c>
      <c r="D32" s="48">
        <f>AVERAGE('India CPI Inflation -CSV'!D158:Q158)</f>
        <v>133.78571428571425</v>
      </c>
      <c r="E32" s="107">
        <f>AVERAGE('India CPI Inflation -CSV'!V158,'India CPI Inflation -CSV'!Y158)</f>
        <v>127.2</v>
      </c>
      <c r="F32" s="62" t="s">
        <v>229</v>
      </c>
      <c r="G32" s="57">
        <f>AVERAGE(E30:E33)</f>
        <v>121.3625</v>
      </c>
      <c r="K32" s="79"/>
      <c r="L32" s="79"/>
    </row>
    <row r="33" spans="1:12" ht="15" thickBot="1">
      <c r="A33" s="71">
        <v>2023</v>
      </c>
      <c r="B33" s="60" t="s">
        <v>38</v>
      </c>
      <c r="C33" s="60">
        <f>AVERAGE('India CPI Inflation -CSV'!X159,'India CPI Inflation -CSV'!AB159)</f>
        <v>122.8</v>
      </c>
      <c r="D33" s="105">
        <f>AVERAGE('India CPI Inflation -CSV'!D159:Q159)</f>
        <v>132.70714285714286</v>
      </c>
      <c r="E33" s="108">
        <f>AVERAGE('India CPI Inflation -CSV'!V159,'India CPI Inflation -CSV'!Y159)</f>
        <v>117.19999999999999</v>
      </c>
      <c r="F33" s="62" t="s">
        <v>230</v>
      </c>
      <c r="G33" s="112">
        <f>((AVERAGE(C30:C33)-AVERAGE(C27:C29))/AVERAGE(C27:C29))*100</f>
        <v>-0.23669822643018007</v>
      </c>
      <c r="K33" s="79"/>
      <c r="L33" s="79"/>
    </row>
    <row r="34" spans="1:12">
      <c r="A34" s="55"/>
      <c r="F34" s="62" t="s">
        <v>231</v>
      </c>
      <c r="G34" s="112">
        <f>((AVERAGE(D30:D33)-AVERAGE(D27:D29))/AVERAGE(D27:D29))*100</f>
        <v>3.5791621181601452E-3</v>
      </c>
      <c r="K34" s="79"/>
      <c r="L34" s="79"/>
    </row>
    <row r="35" spans="1:12">
      <c r="A35" s="80" t="s">
        <v>239</v>
      </c>
      <c r="F35" s="62" t="s">
        <v>233</v>
      </c>
      <c r="G35" s="112">
        <f>((AVERAGE(E30:E33)-AVERAGE(E27:E29))/AVERAGE(E27:E29))*100</f>
        <v>-1.2376237623762338</v>
      </c>
      <c r="K35" s="79"/>
      <c r="L35" s="79"/>
    </row>
    <row r="36" spans="1:12">
      <c r="A36" s="80" t="s">
        <v>240</v>
      </c>
      <c r="F36" s="62" t="s">
        <v>235</v>
      </c>
      <c r="G36" s="57">
        <f>INDEX(A27:A33,MATCH(MAX(C27:C33),C27:C33,0))</f>
        <v>2022</v>
      </c>
      <c r="K36" s="79"/>
      <c r="L36" s="79"/>
    </row>
    <row r="37" spans="1:12">
      <c r="A37" s="80" t="s">
        <v>241</v>
      </c>
      <c r="F37" s="62" t="s">
        <v>237</v>
      </c>
      <c r="G37" s="57">
        <f>INDEX(A27:A33,MATCH(MAX(D27:D33),D27:D33,0))</f>
        <v>2022</v>
      </c>
      <c r="K37" s="79"/>
      <c r="L37" s="79"/>
    </row>
    <row r="38" spans="1:12" ht="15" thickBot="1">
      <c r="A38" s="55"/>
      <c r="F38" s="71" t="s">
        <v>238</v>
      </c>
      <c r="G38" s="61">
        <f>INDEX(A27:A33,MATCH(MAX(E27:E33),E27:E33,0))</f>
        <v>2022</v>
      </c>
      <c r="K38" s="79"/>
      <c r="L38" s="79"/>
    </row>
    <row r="39" spans="1:12">
      <c r="A39" s="55"/>
      <c r="K39" s="79"/>
      <c r="L39" s="79"/>
    </row>
    <row r="40" spans="1:12" ht="15" thickBot="1">
      <c r="A40" s="84"/>
      <c r="B40" s="85"/>
      <c r="C40" s="85"/>
      <c r="D40" s="85"/>
      <c r="E40" s="85"/>
      <c r="F40" s="85"/>
      <c r="G40" s="85"/>
      <c r="H40" s="85"/>
      <c r="I40" s="85"/>
      <c r="J40" s="85"/>
      <c r="K40" s="86"/>
      <c r="L40" s="79"/>
    </row>
    <row r="41" spans="1:12" ht="15" thickBot="1">
      <c r="A41" s="55"/>
      <c r="D41" s="92"/>
      <c r="E41" s="92"/>
      <c r="F41" s="92"/>
      <c r="G41" s="92"/>
      <c r="L41" s="79"/>
    </row>
    <row r="42" spans="1:12" ht="15" thickBot="1">
      <c r="A42" s="137" t="s">
        <v>35</v>
      </c>
      <c r="B42" s="138"/>
      <c r="C42" s="138"/>
      <c r="D42" s="138"/>
      <c r="E42" s="138"/>
      <c r="F42" s="138"/>
      <c r="G42" s="139"/>
      <c r="H42" s="92"/>
      <c r="I42" s="92"/>
      <c r="J42" s="92"/>
      <c r="K42" s="93"/>
      <c r="L42" s="79"/>
    </row>
    <row r="43" spans="1:12">
      <c r="A43" s="103" t="s">
        <v>1</v>
      </c>
      <c r="B43" s="49" t="s">
        <v>2</v>
      </c>
      <c r="C43" s="49" t="s">
        <v>219</v>
      </c>
      <c r="D43" s="49" t="s">
        <v>220</v>
      </c>
      <c r="E43" s="106" t="s">
        <v>221</v>
      </c>
      <c r="F43" s="109" t="s">
        <v>222</v>
      </c>
      <c r="G43" s="110" t="s">
        <v>223</v>
      </c>
      <c r="K43" s="79"/>
      <c r="L43" s="79"/>
    </row>
    <row r="44" spans="1:12">
      <c r="A44" s="62">
        <v>2017</v>
      </c>
      <c r="B44" s="9" t="s">
        <v>38</v>
      </c>
      <c r="C44" s="9">
        <f>AVERAGE('India CPI Inflation -CSV'!X154,'India CPI Inflation -CSV'!AB154)</f>
        <v>125.19999999999999</v>
      </c>
      <c r="D44" s="48">
        <f>AVERAGE('India CPI Inflation -CSV'!D154:Q154)</f>
        <v>133.14285714285714</v>
      </c>
      <c r="E44" s="107">
        <f>AVERAGE('India CPI Inflation -CSV'!V154,'India CPI Inflation -CSV'!Y154)</f>
        <v>123.35</v>
      </c>
      <c r="F44" s="62" t="s">
        <v>224</v>
      </c>
      <c r="G44" s="57">
        <f>AVERAGE(C44:C46)</f>
        <v>125.11666666666667</v>
      </c>
      <c r="K44" s="79"/>
      <c r="L44" s="79"/>
    </row>
    <row r="45" spans="1:12">
      <c r="A45" s="62">
        <v>2018</v>
      </c>
      <c r="B45" s="9" t="s">
        <v>38</v>
      </c>
      <c r="C45" s="9">
        <f>AVERAGE('India CPI Inflation -CSV'!X155,'India CPI Inflation -CSV'!AB155)</f>
        <v>127.35</v>
      </c>
      <c r="D45" s="48">
        <f>AVERAGE('India CPI Inflation -CSV'!D155:Q155)</f>
        <v>133.62142857142857</v>
      </c>
      <c r="E45" s="107">
        <f>AVERAGE('India CPI Inflation -CSV'!V155,'India CPI Inflation -CSV'!Y155)</f>
        <v>127.1</v>
      </c>
      <c r="F45" s="62" t="s">
        <v>225</v>
      </c>
      <c r="G45" s="57">
        <f>AVERAGE(C47:C50)</f>
        <v>125.41249999999999</v>
      </c>
      <c r="K45" s="79"/>
      <c r="L45" s="79"/>
    </row>
    <row r="46" spans="1:12">
      <c r="A46" s="62">
        <v>2019</v>
      </c>
      <c r="B46" s="9" t="s">
        <v>38</v>
      </c>
      <c r="C46" s="9">
        <f>AVERAGE('India CPI Inflation -CSV'!X156,'India CPI Inflation -CSV'!AB156)</f>
        <v>122.80000000000001</v>
      </c>
      <c r="D46" s="48">
        <f>AVERAGE('India CPI Inflation -CSV'!D156:Q156)</f>
        <v>132.57857142857142</v>
      </c>
      <c r="E46" s="107">
        <f>AVERAGE('India CPI Inflation -CSV'!V156,'India CPI Inflation -CSV'!Y156)</f>
        <v>117.85</v>
      </c>
      <c r="F46" s="62" t="s">
        <v>226</v>
      </c>
      <c r="G46" s="111">
        <f>AVERAGE(D44:D46)</f>
        <v>133.11428571428573</v>
      </c>
      <c r="K46" s="79"/>
      <c r="L46" s="79"/>
    </row>
    <row r="47" spans="1:12">
      <c r="A47" s="62">
        <v>2020</v>
      </c>
      <c r="B47" s="9" t="s">
        <v>38</v>
      </c>
      <c r="C47" s="9">
        <f>AVERAGE('India CPI Inflation -CSV'!X157,'India CPI Inflation -CSV'!AB157)</f>
        <v>125.6</v>
      </c>
      <c r="D47" s="48">
        <f>AVERAGE('India CPI Inflation -CSV'!D157:Q157)</f>
        <v>133.12857142857143</v>
      </c>
      <c r="E47" s="107">
        <f>AVERAGE('India CPI Inflation -CSV'!V157,'India CPI Inflation -CSV'!Y157)</f>
        <v>123.2</v>
      </c>
      <c r="F47" s="62" t="s">
        <v>227</v>
      </c>
      <c r="G47" s="111">
        <f>AVERAGE(D47:D50)</f>
        <v>133.22321428571428</v>
      </c>
      <c r="K47" s="79"/>
      <c r="L47" s="79"/>
    </row>
    <row r="48" spans="1:12">
      <c r="A48" s="62">
        <v>2021</v>
      </c>
      <c r="B48" s="9" t="s">
        <v>38</v>
      </c>
      <c r="C48" s="9">
        <f>AVERAGE('India CPI Inflation -CSV'!X158,'India CPI Inflation -CSV'!AB158)</f>
        <v>127.55000000000001</v>
      </c>
      <c r="D48" s="48">
        <f>AVERAGE('India CPI Inflation -CSV'!D158:Q158)</f>
        <v>133.78571428571425</v>
      </c>
      <c r="E48" s="107">
        <f>AVERAGE('India CPI Inflation -CSV'!V158,'India CPI Inflation -CSV'!Y158)</f>
        <v>127.2</v>
      </c>
      <c r="F48" s="62" t="s">
        <v>228</v>
      </c>
      <c r="G48" s="57">
        <f>AVERAGE(E44:E46)</f>
        <v>122.76666666666665</v>
      </c>
      <c r="K48" s="79"/>
      <c r="L48" s="79"/>
    </row>
    <row r="49" spans="1:12">
      <c r="A49" s="62">
        <v>2022</v>
      </c>
      <c r="B49" s="9" t="s">
        <v>38</v>
      </c>
      <c r="C49" s="9">
        <f>AVERAGE('India CPI Inflation -CSV'!X159,'India CPI Inflation -CSV'!AB159)</f>
        <v>122.8</v>
      </c>
      <c r="D49" s="48">
        <f>AVERAGE('India CPI Inflation -CSV'!D159:Q159)</f>
        <v>132.70714285714286</v>
      </c>
      <c r="E49" s="107">
        <f>AVERAGE('India CPI Inflation -CSV'!V159,'India CPI Inflation -CSV'!Y159)</f>
        <v>117.19999999999999</v>
      </c>
      <c r="F49" s="62" t="s">
        <v>229</v>
      </c>
      <c r="G49" s="57">
        <f>AVERAGE(E47:E50)</f>
        <v>122.66250000000001</v>
      </c>
      <c r="K49" s="79"/>
      <c r="L49" s="79"/>
    </row>
    <row r="50" spans="1:12" ht="15" thickBot="1">
      <c r="A50" s="71">
        <v>2023</v>
      </c>
      <c r="B50" s="60" t="s">
        <v>38</v>
      </c>
      <c r="C50" s="60">
        <f>AVERAGE('India CPI Inflation -CSV'!X160,'India CPI Inflation -CSV'!AB160)</f>
        <v>125.7</v>
      </c>
      <c r="D50" s="105">
        <f>AVERAGE('India CPI Inflation -CSV'!D160:Q160)</f>
        <v>133.27142857142857</v>
      </c>
      <c r="E50" s="108">
        <f>AVERAGE('India CPI Inflation -CSV'!V160,'India CPI Inflation -CSV'!Y160)</f>
        <v>123.05000000000001</v>
      </c>
      <c r="F50" s="62" t="s">
        <v>230</v>
      </c>
      <c r="G50" s="57">
        <f>((AVERAGE(C47:C50)-AVERAGE(C44:C46))/AVERAGE(C44:C46))*100</f>
        <v>0.2364459837484908</v>
      </c>
      <c r="K50" s="79"/>
      <c r="L50" s="79"/>
    </row>
    <row r="51" spans="1:12">
      <c r="A51" s="55"/>
      <c r="F51" s="62" t="s">
        <v>231</v>
      </c>
      <c r="G51" s="57">
        <f>((AVERAGE(D47:D50)-AVERAGE(D44:D46))/AVERAGE(D44:D46))*100</f>
        <v>8.1830864992471178E-2</v>
      </c>
      <c r="K51" s="79"/>
      <c r="L51" s="79"/>
    </row>
    <row r="52" spans="1:12">
      <c r="A52" s="80" t="s">
        <v>242</v>
      </c>
      <c r="F52" s="62" t="s">
        <v>233</v>
      </c>
      <c r="G52" s="57">
        <f>((AVERAGE(E47:E50)-AVERAGE(E44:E46))/AVERAGE(E44:E46))*100</f>
        <v>-8.4849307629630458E-2</v>
      </c>
      <c r="K52" s="79"/>
      <c r="L52" s="79"/>
    </row>
    <row r="53" spans="1:12">
      <c r="A53" s="80" t="s">
        <v>243</v>
      </c>
      <c r="F53" s="62" t="s">
        <v>235</v>
      </c>
      <c r="G53" s="57">
        <f>INDEX(A44:A50,MATCH(MAX(C44:C50),C44:C50,0))</f>
        <v>2021</v>
      </c>
      <c r="K53" s="79"/>
      <c r="L53" s="79"/>
    </row>
    <row r="54" spans="1:12">
      <c r="A54" s="80" t="s">
        <v>244</v>
      </c>
      <c r="F54" s="62" t="s">
        <v>237</v>
      </c>
      <c r="G54" s="57">
        <f>INDEX(A44:A50,MATCH(MAX(D44:D50),D44:D50,0))</f>
        <v>2021</v>
      </c>
      <c r="K54" s="79"/>
      <c r="L54" s="79"/>
    </row>
    <row r="55" spans="1:12" ht="15" thickBot="1">
      <c r="A55" s="55"/>
      <c r="F55" s="71" t="s">
        <v>238</v>
      </c>
      <c r="G55" s="61">
        <f>INDEX(A44:A50,MATCH(MAX(E44:E50),E44:E50,0))</f>
        <v>2021</v>
      </c>
      <c r="K55" s="79"/>
      <c r="L55" s="79"/>
    </row>
    <row r="56" spans="1:12">
      <c r="A56" s="55"/>
      <c r="K56" s="79"/>
      <c r="L56" s="79"/>
    </row>
    <row r="57" spans="1:12" ht="15" thickBot="1">
      <c r="A57" s="84"/>
      <c r="B57" s="85"/>
      <c r="C57" s="85"/>
      <c r="D57" s="85"/>
      <c r="E57" s="85"/>
      <c r="F57" s="85"/>
      <c r="G57" s="85"/>
      <c r="H57" s="85"/>
      <c r="I57" s="85"/>
      <c r="J57" s="85"/>
      <c r="K57" s="86"/>
      <c r="L57" s="86"/>
    </row>
    <row r="58" spans="1:12">
      <c r="A58" s="63"/>
      <c r="L58" s="92"/>
    </row>
    <row r="59" spans="1:12">
      <c r="A59" s="55"/>
    </row>
  </sheetData>
  <mergeCells count="4">
    <mergeCell ref="A8:G8"/>
    <mergeCell ref="A1:L1"/>
    <mergeCell ref="A25:G25"/>
    <mergeCell ref="A42:G42"/>
  </mergeCells>
  <pageMargins left="0.23622047244094491" right="0.23622047244094491" top="0.74803149606299213" bottom="0.74803149606299213" header="0.31496062992125984" footer="0.31496062992125984"/>
  <pageSetup scale="45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FAB9-E958-460E-810E-3E4D2A39F8B1}">
  <sheetPr>
    <pageSetUpPr fitToPage="1"/>
  </sheetPr>
  <dimension ref="A1:Z54"/>
  <sheetViews>
    <sheetView view="pageBreakPreview" topLeftCell="A35" zoomScale="60" zoomScaleNormal="60" workbookViewId="0">
      <selection activeCell="G6" sqref="G6"/>
    </sheetView>
  </sheetViews>
  <sheetFormatPr defaultRowHeight="14.45"/>
  <cols>
    <col min="2" max="2" width="12.85546875" bestFit="1" customWidth="1"/>
    <col min="3" max="3" width="9.28515625" bestFit="1" customWidth="1"/>
    <col min="4" max="4" width="9.42578125" bestFit="1" customWidth="1"/>
    <col min="5" max="5" width="7.42578125" bestFit="1" customWidth="1"/>
    <col min="6" max="6" width="6.28515625" bestFit="1" customWidth="1"/>
    <col min="7" max="7" width="15" bestFit="1" customWidth="1"/>
    <col min="8" max="8" width="9.140625" bestFit="1" customWidth="1"/>
    <col min="9" max="9" width="11.7109375" bestFit="1" customWidth="1"/>
    <col min="10" max="10" width="7.28515625" bestFit="1" customWidth="1"/>
  </cols>
  <sheetData>
    <row r="1" spans="1:26" ht="15.6">
      <c r="A1" s="134" t="s">
        <v>245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26">
      <c r="A2" s="80" t="s">
        <v>246</v>
      </c>
      <c r="Z2" s="79"/>
    </row>
    <row r="3" spans="1:26">
      <c r="A3" s="55"/>
      <c r="Z3" s="79"/>
    </row>
    <row r="4" spans="1:26">
      <c r="A4" s="80">
        <v>2021</v>
      </c>
      <c r="B4" s="7" t="s">
        <v>41</v>
      </c>
      <c r="Z4" s="79"/>
    </row>
    <row r="5" spans="1:26">
      <c r="A5" s="80">
        <v>2023</v>
      </c>
      <c r="B5" s="7" t="s">
        <v>41</v>
      </c>
      <c r="Z5" s="79"/>
    </row>
    <row r="6" spans="1:26" ht="15.6">
      <c r="A6" s="114"/>
      <c r="Z6" s="79"/>
    </row>
    <row r="7" spans="1:26" ht="15" thickBot="1">
      <c r="A7" s="55"/>
      <c r="Z7" s="79"/>
    </row>
    <row r="8" spans="1:26">
      <c r="A8" s="63"/>
      <c r="B8" s="77"/>
      <c r="C8" s="140" t="s">
        <v>30</v>
      </c>
      <c r="D8" s="141"/>
      <c r="E8" s="141"/>
      <c r="F8" s="141"/>
      <c r="G8" s="141"/>
      <c r="H8" s="141"/>
      <c r="I8" s="141"/>
      <c r="J8" s="142"/>
      <c r="K8" s="143" t="s">
        <v>33</v>
      </c>
      <c r="L8" s="141"/>
      <c r="M8" s="141"/>
      <c r="N8" s="141"/>
      <c r="O8" s="141"/>
      <c r="P8" s="141"/>
      <c r="Q8" s="141"/>
      <c r="R8" s="142"/>
      <c r="S8" s="143" t="s">
        <v>35</v>
      </c>
      <c r="T8" s="141"/>
      <c r="U8" s="141"/>
      <c r="V8" s="141"/>
      <c r="W8" s="141"/>
      <c r="X8" s="141"/>
      <c r="Y8" s="141"/>
      <c r="Z8" s="142"/>
    </row>
    <row r="9" spans="1:26">
      <c r="A9" s="55"/>
      <c r="C9" s="144" t="s">
        <v>185</v>
      </c>
      <c r="D9" s="144"/>
      <c r="E9" s="144"/>
      <c r="F9" s="144"/>
      <c r="G9" s="144"/>
      <c r="H9" s="144"/>
      <c r="I9" s="144"/>
      <c r="J9" s="145"/>
      <c r="K9" s="146" t="s">
        <v>185</v>
      </c>
      <c r="L9" s="144"/>
      <c r="M9" s="144"/>
      <c r="N9" s="144"/>
      <c r="O9" s="144"/>
      <c r="P9" s="144"/>
      <c r="Q9" s="144"/>
      <c r="R9" s="145"/>
      <c r="S9" s="146" t="s">
        <v>185</v>
      </c>
      <c r="T9" s="144"/>
      <c r="U9" s="144"/>
      <c r="V9" s="144"/>
      <c r="W9" s="144"/>
      <c r="X9" s="144"/>
      <c r="Y9" s="144"/>
      <c r="Z9" s="145"/>
    </row>
    <row r="10" spans="1:26" ht="57.6">
      <c r="A10" s="73" t="s">
        <v>247</v>
      </c>
      <c r="B10" s="78" t="s">
        <v>248</v>
      </c>
      <c r="C10" s="64" t="s">
        <v>178</v>
      </c>
      <c r="D10" s="64" t="s">
        <v>167</v>
      </c>
      <c r="E10" s="64" t="s">
        <v>179</v>
      </c>
      <c r="F10" s="64" t="s">
        <v>23</v>
      </c>
      <c r="G10" s="64" t="s">
        <v>180</v>
      </c>
      <c r="H10" s="64" t="s">
        <v>181</v>
      </c>
      <c r="I10" s="64" t="s">
        <v>171</v>
      </c>
      <c r="J10" s="65" t="s">
        <v>182</v>
      </c>
      <c r="K10" s="70" t="s">
        <v>178</v>
      </c>
      <c r="L10" s="66" t="s">
        <v>167</v>
      </c>
      <c r="M10" s="66" t="s">
        <v>179</v>
      </c>
      <c r="N10" s="66" t="s">
        <v>23</v>
      </c>
      <c r="O10" s="66" t="s">
        <v>180</v>
      </c>
      <c r="P10" s="66" t="s">
        <v>181</v>
      </c>
      <c r="Q10" s="66" t="s">
        <v>171</v>
      </c>
      <c r="R10" s="67" t="s">
        <v>182</v>
      </c>
      <c r="S10" s="72" t="s">
        <v>178</v>
      </c>
      <c r="T10" s="68" t="s">
        <v>167</v>
      </c>
      <c r="U10" s="68" t="s">
        <v>179</v>
      </c>
      <c r="V10" s="68" t="s">
        <v>23</v>
      </c>
      <c r="W10" s="68" t="s">
        <v>180</v>
      </c>
      <c r="X10" s="68" t="s">
        <v>181</v>
      </c>
      <c r="Y10" s="68" t="s">
        <v>171</v>
      </c>
      <c r="Z10" s="69" t="s">
        <v>182</v>
      </c>
    </row>
    <row r="11" spans="1:26" ht="15.6">
      <c r="A11" s="56">
        <v>44287</v>
      </c>
      <c r="B11" s="50">
        <v>63.396976500000008</v>
      </c>
      <c r="C11" s="9">
        <v>2236.3000000000002</v>
      </c>
      <c r="D11" s="9">
        <v>475.69999999999993</v>
      </c>
      <c r="E11" s="9">
        <v>294.62213114754093</v>
      </c>
      <c r="F11" s="9">
        <v>319.89999999999998</v>
      </c>
      <c r="G11" s="9">
        <v>151.69999999999999</v>
      </c>
      <c r="H11" s="9">
        <v>164.1</v>
      </c>
      <c r="I11" s="9">
        <v>316.60000000000002</v>
      </c>
      <c r="J11" s="57">
        <v>157.6</v>
      </c>
      <c r="K11" s="62">
        <v>2284</v>
      </c>
      <c r="L11" s="9">
        <v>448.6</v>
      </c>
      <c r="M11" s="9">
        <v>309</v>
      </c>
      <c r="N11" s="9">
        <v>314.10000000000002</v>
      </c>
      <c r="O11" s="9">
        <v>142.1</v>
      </c>
      <c r="P11" s="9">
        <v>157.6</v>
      </c>
      <c r="Q11" s="9">
        <v>299.60000000000002</v>
      </c>
      <c r="R11" s="57">
        <v>158</v>
      </c>
      <c r="S11" s="62">
        <v>2252.9</v>
      </c>
      <c r="T11" s="9">
        <v>464.6</v>
      </c>
      <c r="U11" s="9">
        <v>313.20000000000005</v>
      </c>
      <c r="V11" s="9">
        <v>317.70000000000005</v>
      </c>
      <c r="W11" s="9">
        <v>146.6</v>
      </c>
      <c r="X11" s="9">
        <v>160.30000000000001</v>
      </c>
      <c r="Y11" s="9">
        <v>307.60000000000002</v>
      </c>
      <c r="Z11" s="57">
        <v>157.80000000000001</v>
      </c>
    </row>
    <row r="12" spans="1:26" ht="15.6">
      <c r="A12" s="56">
        <v>44317</v>
      </c>
      <c r="B12" s="50">
        <v>66.953084852941174</v>
      </c>
      <c r="C12" s="9">
        <v>2284.8999999999996</v>
      </c>
      <c r="D12" s="9">
        <v>490.4</v>
      </c>
      <c r="E12" s="9">
        <v>297.92213114754094</v>
      </c>
      <c r="F12" s="9">
        <v>328.4</v>
      </c>
      <c r="G12" s="9">
        <v>153.19999999999999</v>
      </c>
      <c r="H12" s="9">
        <v>167.6</v>
      </c>
      <c r="I12" s="9">
        <v>321.10000000000002</v>
      </c>
      <c r="J12" s="57">
        <v>161.1</v>
      </c>
      <c r="K12" s="62">
        <v>2322.9</v>
      </c>
      <c r="L12" s="9">
        <v>450.79999999999995</v>
      </c>
      <c r="M12" s="9">
        <v>311.7</v>
      </c>
      <c r="N12" s="9">
        <v>317.89999999999998</v>
      </c>
      <c r="O12" s="9">
        <v>145</v>
      </c>
      <c r="P12" s="9">
        <v>156.6</v>
      </c>
      <c r="Q12" s="9">
        <v>304.89999999999998</v>
      </c>
      <c r="R12" s="57">
        <v>159.5</v>
      </c>
      <c r="S12" s="62">
        <v>2297.6000000000004</v>
      </c>
      <c r="T12" s="9">
        <v>474.29999999999995</v>
      </c>
      <c r="U12" s="9">
        <v>316.29999999999995</v>
      </c>
      <c r="V12" s="9">
        <v>324.39999999999998</v>
      </c>
      <c r="W12" s="9">
        <v>148.9</v>
      </c>
      <c r="X12" s="9">
        <v>161.19999999999999</v>
      </c>
      <c r="Y12" s="9">
        <v>312.60000000000002</v>
      </c>
      <c r="Z12" s="57">
        <v>160.4</v>
      </c>
    </row>
    <row r="13" spans="1:26" ht="15.6">
      <c r="A13" s="56">
        <v>44348</v>
      </c>
      <c r="B13" s="50">
        <v>71.982647477272721</v>
      </c>
      <c r="C13" s="9">
        <v>2311.6999999999998</v>
      </c>
      <c r="D13" s="9">
        <v>489.80000000000007</v>
      </c>
      <c r="E13" s="9">
        <v>298.32213114754092</v>
      </c>
      <c r="F13" s="9">
        <v>329.1</v>
      </c>
      <c r="G13" s="9">
        <v>154.19999999999999</v>
      </c>
      <c r="H13" s="9">
        <v>166.8</v>
      </c>
      <c r="I13" s="9">
        <v>321.89999999999998</v>
      </c>
      <c r="J13" s="57">
        <v>162.1</v>
      </c>
      <c r="K13" s="62">
        <v>2349.7999999999997</v>
      </c>
      <c r="L13" s="9">
        <v>452.6</v>
      </c>
      <c r="M13" s="9">
        <v>310.3</v>
      </c>
      <c r="N13" s="9">
        <v>318.8</v>
      </c>
      <c r="O13" s="9">
        <v>147.5</v>
      </c>
      <c r="P13" s="9">
        <v>158.1</v>
      </c>
      <c r="Q13" s="9">
        <v>304.10000000000002</v>
      </c>
      <c r="R13" s="57">
        <v>160.4</v>
      </c>
      <c r="S13" s="62">
        <v>2324.7000000000003</v>
      </c>
      <c r="T13" s="9">
        <v>474.7</v>
      </c>
      <c r="U13" s="9">
        <v>315.3</v>
      </c>
      <c r="V13" s="9">
        <v>325.10000000000002</v>
      </c>
      <c r="W13" s="9">
        <v>150.69999999999999</v>
      </c>
      <c r="X13" s="9">
        <v>161.69999999999999</v>
      </c>
      <c r="Y13" s="9">
        <v>312.5</v>
      </c>
      <c r="Z13" s="57">
        <v>161.30000000000001</v>
      </c>
    </row>
    <row r="14" spans="1:26" ht="15.6">
      <c r="A14" s="56">
        <v>44378</v>
      </c>
      <c r="B14" s="50">
        <v>73.539060523809511</v>
      </c>
      <c r="C14" s="9">
        <v>2322.1</v>
      </c>
      <c r="D14" s="9">
        <v>492.40000000000003</v>
      </c>
      <c r="E14" s="9">
        <v>299.42213114754094</v>
      </c>
      <c r="F14" s="9">
        <v>330.8</v>
      </c>
      <c r="G14" s="9">
        <v>157.1</v>
      </c>
      <c r="H14" s="9">
        <v>167.2</v>
      </c>
      <c r="I14" s="9">
        <v>323.5</v>
      </c>
      <c r="J14" s="57">
        <v>163.19999999999999</v>
      </c>
      <c r="K14" s="62">
        <v>2367.3000000000002</v>
      </c>
      <c r="L14" s="9">
        <v>455.3</v>
      </c>
      <c r="M14" s="9">
        <v>312.2</v>
      </c>
      <c r="N14" s="9">
        <v>321.10000000000002</v>
      </c>
      <c r="O14" s="9">
        <v>149.5</v>
      </c>
      <c r="P14" s="9">
        <v>160.30000000000001</v>
      </c>
      <c r="Q14" s="9">
        <v>306.2</v>
      </c>
      <c r="R14" s="57">
        <v>161.80000000000001</v>
      </c>
      <c r="S14" s="62">
        <v>2338.1999999999998</v>
      </c>
      <c r="T14" s="9">
        <v>477.29999999999995</v>
      </c>
      <c r="U14" s="9">
        <v>317.3</v>
      </c>
      <c r="V14" s="9">
        <v>327.10000000000002</v>
      </c>
      <c r="W14" s="9">
        <v>153.1</v>
      </c>
      <c r="X14" s="9">
        <v>163.19999999999999</v>
      </c>
      <c r="Y14" s="9">
        <v>314.3</v>
      </c>
      <c r="Z14" s="57">
        <v>162.5</v>
      </c>
    </row>
    <row r="15" spans="1:26" ht="15.6">
      <c r="A15" s="56">
        <v>44409</v>
      </c>
      <c r="B15" s="50">
        <v>69.804724424999989</v>
      </c>
      <c r="C15" s="9">
        <v>2321</v>
      </c>
      <c r="D15" s="9">
        <v>495.90000000000003</v>
      </c>
      <c r="E15" s="9">
        <v>300.0221311475409</v>
      </c>
      <c r="F15" s="9">
        <v>331.4</v>
      </c>
      <c r="G15" s="9">
        <v>157.69999999999999</v>
      </c>
      <c r="H15" s="9">
        <v>167.5</v>
      </c>
      <c r="I15" s="9">
        <v>324.39999999999998</v>
      </c>
      <c r="J15" s="57">
        <v>163.6</v>
      </c>
      <c r="K15" s="62">
        <v>2354.4</v>
      </c>
      <c r="L15" s="9">
        <v>460.7</v>
      </c>
      <c r="M15" s="9">
        <v>315.29999999999995</v>
      </c>
      <c r="N15" s="9">
        <v>322.39999999999998</v>
      </c>
      <c r="O15" s="9">
        <v>150.4</v>
      </c>
      <c r="P15" s="9">
        <v>160.4</v>
      </c>
      <c r="Q15" s="9">
        <v>309.7</v>
      </c>
      <c r="R15" s="57">
        <v>162.30000000000001</v>
      </c>
      <c r="S15" s="62">
        <v>2334.1</v>
      </c>
      <c r="T15" s="9">
        <v>483</v>
      </c>
      <c r="U15" s="9">
        <v>319.60000000000002</v>
      </c>
      <c r="V15" s="9">
        <v>328.4</v>
      </c>
      <c r="W15" s="9">
        <v>154</v>
      </c>
      <c r="X15" s="9">
        <v>163.80000000000001</v>
      </c>
      <c r="Y15" s="9">
        <v>317.60000000000002</v>
      </c>
      <c r="Z15" s="57">
        <v>163.19999999999999</v>
      </c>
    </row>
    <row r="16" spans="1:26" ht="15.6">
      <c r="A16" s="56">
        <v>44440</v>
      </c>
      <c r="B16" s="50">
        <v>73.130738295454549</v>
      </c>
      <c r="C16" s="9">
        <v>2324.1</v>
      </c>
      <c r="D16" s="9">
        <v>498.4</v>
      </c>
      <c r="E16" s="9">
        <v>300.42213114754094</v>
      </c>
      <c r="F16" s="9">
        <v>332.1</v>
      </c>
      <c r="G16" s="9">
        <v>157.80000000000001</v>
      </c>
      <c r="H16" s="9">
        <v>168.5</v>
      </c>
      <c r="I16" s="9">
        <v>326.5</v>
      </c>
      <c r="J16" s="57">
        <v>164</v>
      </c>
      <c r="K16" s="62">
        <v>2354.4</v>
      </c>
      <c r="L16" s="9">
        <v>460.79999999999995</v>
      </c>
      <c r="M16" s="9">
        <v>315.39999999999998</v>
      </c>
      <c r="N16" s="9">
        <v>322.39999999999998</v>
      </c>
      <c r="O16" s="9">
        <v>150.5</v>
      </c>
      <c r="P16" s="9">
        <v>160.30000000000001</v>
      </c>
      <c r="Q16" s="9">
        <v>309.89999999999998</v>
      </c>
      <c r="R16" s="57">
        <v>162.30000000000001</v>
      </c>
      <c r="S16" s="62">
        <v>2334.1</v>
      </c>
      <c r="T16" s="9">
        <v>483.2</v>
      </c>
      <c r="U16" s="9">
        <v>319.60000000000002</v>
      </c>
      <c r="V16" s="9">
        <v>328.4</v>
      </c>
      <c r="W16" s="9">
        <v>154</v>
      </c>
      <c r="X16" s="9">
        <v>163.69999999999999</v>
      </c>
      <c r="Y16" s="9">
        <v>317.7</v>
      </c>
      <c r="Z16" s="57">
        <v>163.19999999999999</v>
      </c>
    </row>
    <row r="17" spans="1:26" ht="15.6">
      <c r="A17" s="56">
        <v>44470</v>
      </c>
      <c r="B17" s="50">
        <v>82.107393785714294</v>
      </c>
      <c r="C17" s="9">
        <v>2355.3999999999996</v>
      </c>
      <c r="D17" s="9">
        <v>502.00000000000006</v>
      </c>
      <c r="E17" s="9">
        <v>301.12213114754093</v>
      </c>
      <c r="F17" s="9">
        <v>333.6</v>
      </c>
      <c r="G17" s="9">
        <v>159.5</v>
      </c>
      <c r="H17" s="9">
        <v>169</v>
      </c>
      <c r="I17" s="9">
        <v>327.9</v>
      </c>
      <c r="J17" s="57">
        <v>166.3</v>
      </c>
      <c r="K17" s="62">
        <v>2395.4000000000005</v>
      </c>
      <c r="L17" s="9">
        <v>463.50000000000006</v>
      </c>
      <c r="M17" s="9">
        <v>317.89999999999998</v>
      </c>
      <c r="N17" s="9">
        <v>323.8</v>
      </c>
      <c r="O17" s="9">
        <v>152.19999999999999</v>
      </c>
      <c r="P17" s="9">
        <v>160.30000000000001</v>
      </c>
      <c r="Q17" s="9">
        <v>312.10000000000002</v>
      </c>
      <c r="R17" s="57">
        <v>164.6</v>
      </c>
      <c r="S17" s="62">
        <v>2368.1999999999998</v>
      </c>
      <c r="T17" s="9">
        <v>486.3</v>
      </c>
      <c r="U17" s="9">
        <v>322</v>
      </c>
      <c r="V17" s="9">
        <v>329.9</v>
      </c>
      <c r="W17" s="9">
        <v>155.69999999999999</v>
      </c>
      <c r="X17" s="9">
        <v>163.9</v>
      </c>
      <c r="Y17" s="9">
        <v>319.60000000000002</v>
      </c>
      <c r="Z17" s="57">
        <v>165.5</v>
      </c>
    </row>
    <row r="18" spans="1:26" ht="15.6">
      <c r="A18" s="56">
        <v>44501</v>
      </c>
      <c r="B18" s="50">
        <v>80.637301023809528</v>
      </c>
      <c r="C18" s="9">
        <v>2373.4</v>
      </c>
      <c r="D18" s="9">
        <v>506.2</v>
      </c>
      <c r="E18" s="9">
        <v>302.0221311475409</v>
      </c>
      <c r="F18" s="9">
        <v>335.8</v>
      </c>
      <c r="G18" s="9">
        <v>158.9</v>
      </c>
      <c r="H18" s="9">
        <v>169.3</v>
      </c>
      <c r="I18" s="9">
        <v>329</v>
      </c>
      <c r="J18" s="57">
        <v>167.6</v>
      </c>
      <c r="K18" s="62">
        <v>2414.8999999999996</v>
      </c>
      <c r="L18" s="9">
        <v>467.3</v>
      </c>
      <c r="M18" s="9">
        <v>319.39999999999998</v>
      </c>
      <c r="N18" s="9">
        <v>326</v>
      </c>
      <c r="O18" s="9">
        <v>151.19999999999999</v>
      </c>
      <c r="P18" s="9">
        <v>160.80000000000001</v>
      </c>
      <c r="Q18" s="9">
        <v>314</v>
      </c>
      <c r="R18" s="57">
        <v>165.6</v>
      </c>
      <c r="S18" s="62">
        <v>2387</v>
      </c>
      <c r="T18" s="9">
        <v>490.40000000000003</v>
      </c>
      <c r="U18" s="9">
        <v>323.5</v>
      </c>
      <c r="V18" s="9">
        <v>332.1</v>
      </c>
      <c r="W18" s="9">
        <v>154.80000000000001</v>
      </c>
      <c r="X18" s="9">
        <v>164.3</v>
      </c>
      <c r="Y18" s="9">
        <v>321.20000000000005</v>
      </c>
      <c r="Z18" s="57">
        <v>166.7</v>
      </c>
    </row>
    <row r="19" spans="1:26" ht="15.6">
      <c r="A19" s="56">
        <v>44531</v>
      </c>
      <c r="B19" s="50">
        <v>73.298823523809531</v>
      </c>
      <c r="C19" s="9">
        <v>2359</v>
      </c>
      <c r="D19" s="9">
        <v>510.3</v>
      </c>
      <c r="E19" s="9">
        <v>303.0221311475409</v>
      </c>
      <c r="F19" s="9">
        <v>336.8</v>
      </c>
      <c r="G19" s="9">
        <v>160.1</v>
      </c>
      <c r="H19" s="9">
        <v>169.7</v>
      </c>
      <c r="I19" s="9">
        <v>330.5</v>
      </c>
      <c r="J19" s="57">
        <v>167</v>
      </c>
      <c r="K19" s="62">
        <v>2403.1000000000004</v>
      </c>
      <c r="L19" s="9">
        <v>470.7</v>
      </c>
      <c r="M19" s="9">
        <v>319.39999999999998</v>
      </c>
      <c r="N19" s="9">
        <v>327.5</v>
      </c>
      <c r="O19" s="9">
        <v>151.80000000000001</v>
      </c>
      <c r="P19" s="9">
        <v>160.6</v>
      </c>
      <c r="Q19" s="9">
        <v>315.39999999999998</v>
      </c>
      <c r="R19" s="57">
        <v>165.2</v>
      </c>
      <c r="S19" s="62">
        <v>2373.3000000000002</v>
      </c>
      <c r="T19" s="9">
        <v>494.2</v>
      </c>
      <c r="U19" s="9">
        <v>323.60000000000002</v>
      </c>
      <c r="V19" s="9">
        <v>333.2</v>
      </c>
      <c r="W19" s="9">
        <v>155.69999999999999</v>
      </c>
      <c r="X19" s="9">
        <v>164.4</v>
      </c>
      <c r="Y19" s="9">
        <v>322.60000000000002</v>
      </c>
      <c r="Z19" s="57">
        <v>166.2</v>
      </c>
    </row>
    <row r="20" spans="1:26" ht="15.6">
      <c r="A20" s="56">
        <v>44562</v>
      </c>
      <c r="B20" s="50">
        <v>84.666318799999985</v>
      </c>
      <c r="C20" s="9">
        <v>2343.6999999999998</v>
      </c>
      <c r="D20" s="9">
        <v>515.20000000000005</v>
      </c>
      <c r="E20" s="9">
        <v>304.0221311475409</v>
      </c>
      <c r="F20" s="9">
        <v>337.9</v>
      </c>
      <c r="G20" s="9">
        <v>160.80000000000001</v>
      </c>
      <c r="H20" s="9">
        <v>169.9</v>
      </c>
      <c r="I20" s="9">
        <v>331.5</v>
      </c>
      <c r="J20" s="57">
        <v>166.4</v>
      </c>
      <c r="K20" s="62">
        <v>2383.1</v>
      </c>
      <c r="L20" s="9">
        <v>475.4</v>
      </c>
      <c r="M20" s="9">
        <v>321.3</v>
      </c>
      <c r="N20" s="9">
        <v>328.9</v>
      </c>
      <c r="O20" s="9">
        <v>152.69999999999999</v>
      </c>
      <c r="P20" s="9">
        <v>161</v>
      </c>
      <c r="Q20" s="9">
        <v>317</v>
      </c>
      <c r="R20" s="57">
        <v>165</v>
      </c>
      <c r="S20" s="62">
        <v>2356.3999999999996</v>
      </c>
      <c r="T20" s="9">
        <v>499.1</v>
      </c>
      <c r="U20" s="9">
        <v>325.60000000000002</v>
      </c>
      <c r="V20" s="9">
        <v>334.4</v>
      </c>
      <c r="W20" s="9">
        <v>156.5</v>
      </c>
      <c r="X20" s="9">
        <v>164.7</v>
      </c>
      <c r="Y20" s="9">
        <v>323.89999999999998</v>
      </c>
      <c r="Z20" s="57">
        <v>165.7</v>
      </c>
    </row>
    <row r="21" spans="1:26" ht="15.6">
      <c r="A21" s="56">
        <v>44593</v>
      </c>
      <c r="B21" s="50">
        <v>94.067715194444446</v>
      </c>
      <c r="C21" s="9">
        <v>2341.9</v>
      </c>
      <c r="D21" s="9">
        <v>518.79999999999995</v>
      </c>
      <c r="E21" s="9">
        <v>304.82213114754092</v>
      </c>
      <c r="F21" s="9">
        <v>339.8</v>
      </c>
      <c r="G21" s="9">
        <v>161.19999999999999</v>
      </c>
      <c r="H21" s="9">
        <v>170.3</v>
      </c>
      <c r="I21" s="9">
        <v>332.8</v>
      </c>
      <c r="J21" s="57">
        <v>166.7</v>
      </c>
      <c r="K21" s="62">
        <v>2380</v>
      </c>
      <c r="L21" s="9">
        <v>479.5</v>
      </c>
      <c r="M21" s="9">
        <v>322.89999999999998</v>
      </c>
      <c r="N21" s="9">
        <v>331.4</v>
      </c>
      <c r="O21" s="9">
        <v>153.1</v>
      </c>
      <c r="P21" s="9">
        <v>162</v>
      </c>
      <c r="Q21" s="9">
        <v>318.89999999999998</v>
      </c>
      <c r="R21" s="57">
        <v>165.5</v>
      </c>
      <c r="S21" s="62">
        <v>2354.0000000000005</v>
      </c>
      <c r="T21" s="9">
        <v>502.80000000000007</v>
      </c>
      <c r="U21" s="9">
        <v>327.3</v>
      </c>
      <c r="V21" s="9">
        <v>336.6</v>
      </c>
      <c r="W21" s="9">
        <v>156.9</v>
      </c>
      <c r="X21" s="9">
        <v>165.4</v>
      </c>
      <c r="Y21" s="9">
        <v>325.60000000000002</v>
      </c>
      <c r="Z21" s="57">
        <v>166.1</v>
      </c>
    </row>
    <row r="22" spans="1:26" ht="15.6">
      <c r="A22" s="56">
        <v>44621</v>
      </c>
      <c r="B22" s="50">
        <v>112.87479254347826</v>
      </c>
      <c r="C22" s="9">
        <v>2371.4000000000005</v>
      </c>
      <c r="D22" s="9">
        <v>523.70000000000005</v>
      </c>
      <c r="E22" s="9">
        <v>305.62213114754093</v>
      </c>
      <c r="F22" s="9">
        <v>343.4</v>
      </c>
      <c r="G22" s="9">
        <v>162</v>
      </c>
      <c r="H22" s="9">
        <v>170.6</v>
      </c>
      <c r="I22" s="9">
        <v>334.9</v>
      </c>
      <c r="J22" s="57">
        <v>168.7</v>
      </c>
      <c r="K22" s="62">
        <v>2393.8000000000002</v>
      </c>
      <c r="L22" s="9">
        <v>484.6</v>
      </c>
      <c r="M22" s="9">
        <v>323.89999999999998</v>
      </c>
      <c r="N22" s="9">
        <v>335</v>
      </c>
      <c r="O22" s="9">
        <v>154.19999999999999</v>
      </c>
      <c r="P22" s="9">
        <v>162.69999999999999</v>
      </c>
      <c r="Q22" s="9">
        <v>321.39999999999998</v>
      </c>
      <c r="R22" s="57">
        <v>166.5</v>
      </c>
      <c r="S22" s="62">
        <v>2377.9</v>
      </c>
      <c r="T22" s="9">
        <v>507.79999999999995</v>
      </c>
      <c r="U22" s="9">
        <v>328.1</v>
      </c>
      <c r="V22" s="9">
        <v>340.2</v>
      </c>
      <c r="W22" s="9">
        <v>157.9</v>
      </c>
      <c r="X22" s="9">
        <v>166</v>
      </c>
      <c r="Y22" s="9">
        <v>327.9</v>
      </c>
      <c r="Z22" s="57">
        <v>167.7</v>
      </c>
    </row>
    <row r="23" spans="1:26" ht="15.6">
      <c r="A23" s="56">
        <v>44652</v>
      </c>
      <c r="B23" s="50">
        <v>102.96599786842103</v>
      </c>
      <c r="C23" s="9">
        <v>2399.4</v>
      </c>
      <c r="D23" s="9">
        <v>529.70000000000005</v>
      </c>
      <c r="E23" s="9">
        <v>306.82213114754092</v>
      </c>
      <c r="F23" s="9">
        <v>346</v>
      </c>
      <c r="G23" s="9">
        <v>166.2</v>
      </c>
      <c r="H23" s="9">
        <v>170.9</v>
      </c>
      <c r="I23" s="9">
        <v>337.4</v>
      </c>
      <c r="J23" s="57">
        <v>170.8</v>
      </c>
      <c r="K23" s="62">
        <v>2427.5</v>
      </c>
      <c r="L23" s="9">
        <v>489.2</v>
      </c>
      <c r="M23" s="9">
        <v>326.8</v>
      </c>
      <c r="N23" s="9">
        <v>337.4</v>
      </c>
      <c r="O23" s="9">
        <v>159.30000000000001</v>
      </c>
      <c r="P23" s="9">
        <v>164</v>
      </c>
      <c r="Q23" s="9">
        <v>325.29999999999995</v>
      </c>
      <c r="R23" s="57">
        <v>169.2</v>
      </c>
      <c r="S23" s="62">
        <v>2408.2000000000003</v>
      </c>
      <c r="T23" s="9">
        <v>513.20000000000005</v>
      </c>
      <c r="U23" s="9">
        <v>331</v>
      </c>
      <c r="V23" s="9">
        <v>342.8</v>
      </c>
      <c r="W23" s="9">
        <v>162.6</v>
      </c>
      <c r="X23" s="9">
        <v>166.9</v>
      </c>
      <c r="Y23" s="9">
        <v>331.20000000000005</v>
      </c>
      <c r="Z23" s="57">
        <v>170.1</v>
      </c>
    </row>
    <row r="24" spans="1:26" ht="15.6">
      <c r="A24" s="56">
        <v>44682</v>
      </c>
      <c r="B24" s="50">
        <v>109.50503773684208</v>
      </c>
      <c r="C24" s="9">
        <v>2419.7000000000003</v>
      </c>
      <c r="D24" s="9">
        <v>535.5</v>
      </c>
      <c r="E24" s="9">
        <v>308.0221311475409</v>
      </c>
      <c r="F24" s="9">
        <v>346.2</v>
      </c>
      <c r="G24" s="9">
        <v>167.1</v>
      </c>
      <c r="H24" s="9">
        <v>171.8</v>
      </c>
      <c r="I24" s="9">
        <v>338.5</v>
      </c>
      <c r="J24" s="57">
        <v>172.5</v>
      </c>
      <c r="K24" s="62">
        <v>2459.7000000000003</v>
      </c>
      <c r="L24" s="9">
        <v>493.7</v>
      </c>
      <c r="M24" s="9">
        <v>328.6</v>
      </c>
      <c r="N24" s="9">
        <v>338.29999999999995</v>
      </c>
      <c r="O24" s="9">
        <v>159.4</v>
      </c>
      <c r="P24" s="9">
        <v>165.2</v>
      </c>
      <c r="Q24" s="9">
        <v>327</v>
      </c>
      <c r="R24" s="57">
        <v>170.8</v>
      </c>
      <c r="S24" s="62">
        <v>2433.0000000000005</v>
      </c>
      <c r="T24" s="9">
        <v>518.6</v>
      </c>
      <c r="U24" s="9">
        <v>332.7</v>
      </c>
      <c r="V24" s="9">
        <v>343.20000000000005</v>
      </c>
      <c r="W24" s="9">
        <v>163</v>
      </c>
      <c r="X24" s="9">
        <v>167.9</v>
      </c>
      <c r="Y24" s="9">
        <v>332.6</v>
      </c>
      <c r="Z24" s="57">
        <v>171.7</v>
      </c>
    </row>
    <row r="25" spans="1:26" ht="15.6">
      <c r="A25" s="56">
        <v>44713</v>
      </c>
      <c r="B25" s="50">
        <v>116.01138504999999</v>
      </c>
      <c r="C25" s="9">
        <v>2441.2000000000003</v>
      </c>
      <c r="D25" s="9">
        <v>539.79999999999995</v>
      </c>
      <c r="E25" s="9">
        <v>309.42213114754094</v>
      </c>
      <c r="F25" s="9">
        <v>347.7</v>
      </c>
      <c r="G25" s="9">
        <v>165.5</v>
      </c>
      <c r="H25" s="9">
        <v>172.6</v>
      </c>
      <c r="I25" s="9">
        <v>339</v>
      </c>
      <c r="J25" s="57">
        <v>173.6</v>
      </c>
      <c r="K25" s="62">
        <v>2485.8000000000002</v>
      </c>
      <c r="L25" s="9">
        <v>498.4</v>
      </c>
      <c r="M25" s="9">
        <v>328.9</v>
      </c>
      <c r="N25" s="9">
        <v>340.1</v>
      </c>
      <c r="O25" s="9">
        <v>157.19999999999999</v>
      </c>
      <c r="P25" s="9">
        <v>166.5</v>
      </c>
      <c r="Q25" s="9">
        <v>327.9</v>
      </c>
      <c r="R25" s="57">
        <v>171.4</v>
      </c>
      <c r="S25" s="62">
        <v>2456.2000000000003</v>
      </c>
      <c r="T25" s="9">
        <v>523</v>
      </c>
      <c r="U25" s="9">
        <v>333.20000000000005</v>
      </c>
      <c r="V25" s="9">
        <v>344.8</v>
      </c>
      <c r="W25" s="9">
        <v>161.1</v>
      </c>
      <c r="X25" s="9">
        <v>169</v>
      </c>
      <c r="Y25" s="9">
        <v>333.3</v>
      </c>
      <c r="Z25" s="57">
        <v>172.6</v>
      </c>
    </row>
    <row r="26" spans="1:26" ht="15.6">
      <c r="A26" s="56">
        <v>44743</v>
      </c>
      <c r="B26" s="50">
        <v>105.49124737500001</v>
      </c>
      <c r="C26" s="9">
        <v>2445.6999999999998</v>
      </c>
      <c r="D26" s="9">
        <v>544</v>
      </c>
      <c r="E26" s="9">
        <v>310.42213114754094</v>
      </c>
      <c r="F26" s="9">
        <v>348.5</v>
      </c>
      <c r="G26" s="9">
        <v>166.3</v>
      </c>
      <c r="H26" s="9">
        <v>174.7</v>
      </c>
      <c r="I26" s="9">
        <v>340.4</v>
      </c>
      <c r="J26" s="57">
        <v>174.3</v>
      </c>
      <c r="K26" s="62">
        <v>2490.1999999999998</v>
      </c>
      <c r="L26" s="9">
        <v>502</v>
      </c>
      <c r="M26" s="9">
        <v>330.9</v>
      </c>
      <c r="N26" s="9">
        <v>341.5</v>
      </c>
      <c r="O26" s="9">
        <v>157.4</v>
      </c>
      <c r="P26" s="9">
        <v>169.1</v>
      </c>
      <c r="Q26" s="9">
        <v>329.29999999999995</v>
      </c>
      <c r="R26" s="57">
        <v>172.3</v>
      </c>
      <c r="S26" s="62">
        <v>2460.9</v>
      </c>
      <c r="T26" s="9">
        <v>526.90000000000009</v>
      </c>
      <c r="U26" s="9">
        <v>335.20000000000005</v>
      </c>
      <c r="V26" s="9">
        <v>345.79999999999995</v>
      </c>
      <c r="W26" s="9">
        <v>161.6</v>
      </c>
      <c r="X26" s="9">
        <v>171.4</v>
      </c>
      <c r="Y26" s="9">
        <v>334.70000000000005</v>
      </c>
      <c r="Z26" s="57">
        <v>173.4</v>
      </c>
    </row>
    <row r="27" spans="1:26" ht="15.6">
      <c r="A27" s="56">
        <v>44774</v>
      </c>
      <c r="B27" s="50">
        <v>97.404465428571427</v>
      </c>
      <c r="C27" s="9">
        <v>2449.4999999999995</v>
      </c>
      <c r="D27" s="9">
        <v>547.9</v>
      </c>
      <c r="E27" s="9">
        <v>311.42213114754094</v>
      </c>
      <c r="F27" s="9">
        <v>350.5</v>
      </c>
      <c r="G27" s="9">
        <v>166.6</v>
      </c>
      <c r="H27" s="9">
        <v>175.7</v>
      </c>
      <c r="I27" s="9">
        <v>341.9</v>
      </c>
      <c r="J27" s="57">
        <v>175.3</v>
      </c>
      <c r="K27" s="62">
        <v>2492.3999999999996</v>
      </c>
      <c r="L27" s="9">
        <v>505.29999999999995</v>
      </c>
      <c r="M27" s="9">
        <v>333.2</v>
      </c>
      <c r="N27" s="9">
        <v>344</v>
      </c>
      <c r="O27" s="9">
        <v>157.69999999999999</v>
      </c>
      <c r="P27" s="9">
        <v>169.9</v>
      </c>
      <c r="Q27" s="9">
        <v>330.5</v>
      </c>
      <c r="R27" s="57">
        <v>173.1</v>
      </c>
      <c r="S27" s="62">
        <v>2464.2000000000003</v>
      </c>
      <c r="T27" s="9">
        <v>530.70000000000005</v>
      </c>
      <c r="U27" s="9">
        <v>337.5</v>
      </c>
      <c r="V27" s="9">
        <v>348</v>
      </c>
      <c r="W27" s="9">
        <v>161.9</v>
      </c>
      <c r="X27" s="9">
        <v>172.3</v>
      </c>
      <c r="Y27" s="9">
        <v>336</v>
      </c>
      <c r="Z27" s="57">
        <v>174.3</v>
      </c>
    </row>
    <row r="28" spans="1:26" ht="15.6">
      <c r="A28" s="56">
        <v>44805</v>
      </c>
      <c r="B28" s="50">
        <v>90.706344809523813</v>
      </c>
      <c r="C28" s="9">
        <v>2462.3000000000002</v>
      </c>
      <c r="D28" s="9">
        <v>552.5</v>
      </c>
      <c r="E28" s="9">
        <v>312.72213114754095</v>
      </c>
      <c r="F28" s="9">
        <v>351</v>
      </c>
      <c r="G28" s="9">
        <v>166.9</v>
      </c>
      <c r="H28" s="9">
        <v>176.2</v>
      </c>
      <c r="I28" s="9">
        <v>343.1</v>
      </c>
      <c r="J28" s="57">
        <v>176.4</v>
      </c>
      <c r="K28" s="62">
        <v>2506.1</v>
      </c>
      <c r="L28" s="9">
        <v>509.7</v>
      </c>
      <c r="M28" s="9">
        <v>334.5</v>
      </c>
      <c r="N28" s="9">
        <v>344.9</v>
      </c>
      <c r="O28" s="9">
        <v>158.19999999999999</v>
      </c>
      <c r="P28" s="9">
        <v>170.9</v>
      </c>
      <c r="Q28" s="9">
        <v>331.9</v>
      </c>
      <c r="R28" s="57">
        <v>174.1</v>
      </c>
      <c r="S28" s="62">
        <v>2476.8000000000002</v>
      </c>
      <c r="T28" s="9">
        <v>535.1</v>
      </c>
      <c r="U28" s="9">
        <v>339</v>
      </c>
      <c r="V28" s="9">
        <v>348.70000000000005</v>
      </c>
      <c r="W28" s="9">
        <v>162.30000000000001</v>
      </c>
      <c r="X28" s="9">
        <v>173.1</v>
      </c>
      <c r="Y28" s="9">
        <v>337.29999999999995</v>
      </c>
      <c r="Z28" s="57">
        <v>175.3</v>
      </c>
    </row>
    <row r="29" spans="1:26" ht="15.6">
      <c r="A29" s="56">
        <v>44835</v>
      </c>
      <c r="B29" s="50">
        <v>91.698948700000003</v>
      </c>
      <c r="C29" s="9">
        <v>2479.4</v>
      </c>
      <c r="D29" s="9">
        <v>556.4</v>
      </c>
      <c r="E29" s="9">
        <v>313.5221311475409</v>
      </c>
      <c r="F29" s="9">
        <v>353.2</v>
      </c>
      <c r="G29" s="9">
        <v>167.4</v>
      </c>
      <c r="H29" s="9">
        <v>176.5</v>
      </c>
      <c r="I29" s="9">
        <v>344.5</v>
      </c>
      <c r="J29" s="57">
        <v>177.9</v>
      </c>
      <c r="K29" s="62">
        <v>2522.4</v>
      </c>
      <c r="L29" s="9">
        <v>511.70000000000005</v>
      </c>
      <c r="M29" s="9">
        <v>337.2</v>
      </c>
      <c r="N29" s="9">
        <v>347</v>
      </c>
      <c r="O29" s="9">
        <v>158.80000000000001</v>
      </c>
      <c r="P29" s="9">
        <v>171.2</v>
      </c>
      <c r="Q29" s="9">
        <v>333.1</v>
      </c>
      <c r="R29" s="57">
        <v>175.3</v>
      </c>
      <c r="S29" s="62">
        <v>2493.6000000000004</v>
      </c>
      <c r="T29" s="9">
        <v>538.20000000000005</v>
      </c>
      <c r="U29" s="9">
        <v>341.6</v>
      </c>
      <c r="V29" s="9">
        <v>350.79999999999995</v>
      </c>
      <c r="W29" s="9">
        <v>162.9</v>
      </c>
      <c r="X29" s="9">
        <v>173.4</v>
      </c>
      <c r="Y29" s="9">
        <v>338.7</v>
      </c>
      <c r="Z29" s="57">
        <v>176.7</v>
      </c>
    </row>
    <row r="30" spans="1:26" ht="15.6">
      <c r="A30" s="56">
        <v>44866</v>
      </c>
      <c r="B30" s="50">
        <v>87.552266068181822</v>
      </c>
      <c r="C30" s="9">
        <v>2483.1999999999998</v>
      </c>
      <c r="D30" s="9">
        <v>559.29999999999995</v>
      </c>
      <c r="E30" s="9">
        <v>314.62213114754093</v>
      </c>
      <c r="F30" s="9">
        <v>355.70000000000005</v>
      </c>
      <c r="G30" s="9">
        <v>167.5</v>
      </c>
      <c r="H30" s="9">
        <v>176.9</v>
      </c>
      <c r="I30" s="9">
        <v>345.4</v>
      </c>
      <c r="J30" s="57">
        <v>177.8</v>
      </c>
      <c r="K30" s="62">
        <v>2515</v>
      </c>
      <c r="L30" s="9">
        <v>514.9</v>
      </c>
      <c r="M30" s="9">
        <v>338.70000000000005</v>
      </c>
      <c r="N30" s="9">
        <v>349.6</v>
      </c>
      <c r="O30" s="9">
        <v>158.9</v>
      </c>
      <c r="P30" s="9">
        <v>171.5</v>
      </c>
      <c r="Q30" s="9">
        <v>334.1</v>
      </c>
      <c r="R30" s="57">
        <v>174.1</v>
      </c>
      <c r="S30" s="62">
        <v>2493.7000000000003</v>
      </c>
      <c r="T30" s="9">
        <v>541.4</v>
      </c>
      <c r="U30" s="9">
        <v>343.20000000000005</v>
      </c>
      <c r="V30" s="9">
        <v>353.4</v>
      </c>
      <c r="W30" s="9">
        <v>163</v>
      </c>
      <c r="X30" s="9">
        <v>173.7</v>
      </c>
      <c r="Y30" s="9">
        <v>339.6</v>
      </c>
      <c r="Z30" s="57">
        <v>176.5</v>
      </c>
    </row>
    <row r="31" spans="1:26" ht="15.6">
      <c r="A31" s="56">
        <v>44896</v>
      </c>
      <c r="B31" s="50">
        <v>78.100942275000008</v>
      </c>
      <c r="C31" s="9">
        <v>2473</v>
      </c>
      <c r="D31" s="9">
        <v>561.79999999999995</v>
      </c>
      <c r="E31" s="9">
        <v>315.5221311475409</v>
      </c>
      <c r="F31" s="9">
        <v>359.2</v>
      </c>
      <c r="G31" s="9">
        <v>167.8</v>
      </c>
      <c r="H31" s="9">
        <v>177.3</v>
      </c>
      <c r="I31" s="9">
        <v>346.7</v>
      </c>
      <c r="J31" s="57">
        <v>177.1</v>
      </c>
      <c r="K31" s="62">
        <v>2496.8999999999996</v>
      </c>
      <c r="L31" s="9">
        <v>517.9</v>
      </c>
      <c r="M31" s="9">
        <v>338</v>
      </c>
      <c r="N31" s="9">
        <v>353.2</v>
      </c>
      <c r="O31" s="9">
        <v>159.4</v>
      </c>
      <c r="P31" s="9">
        <v>171.8</v>
      </c>
      <c r="Q31" s="9">
        <v>335.29999999999995</v>
      </c>
      <c r="R31" s="57">
        <v>174.1</v>
      </c>
      <c r="S31" s="62">
        <v>2480.7000000000003</v>
      </c>
      <c r="T31" s="9">
        <v>544</v>
      </c>
      <c r="U31" s="9">
        <v>342.79999999999995</v>
      </c>
      <c r="V31" s="9">
        <v>356.9</v>
      </c>
      <c r="W31" s="9">
        <v>163.4</v>
      </c>
      <c r="X31" s="9">
        <v>174.1</v>
      </c>
      <c r="Y31" s="9">
        <v>340.9</v>
      </c>
      <c r="Z31" s="57">
        <v>175.7</v>
      </c>
    </row>
    <row r="32" spans="1:26" ht="15.6">
      <c r="A32" s="56">
        <v>44927</v>
      </c>
      <c r="B32" s="50">
        <v>80.922269684210534</v>
      </c>
      <c r="C32" s="9">
        <v>2480.1000000000004</v>
      </c>
      <c r="D32" s="9">
        <v>563.9</v>
      </c>
      <c r="E32" s="9">
        <v>316.32213114754092</v>
      </c>
      <c r="F32" s="9">
        <v>363.1</v>
      </c>
      <c r="G32" s="9">
        <v>168.2</v>
      </c>
      <c r="H32" s="9">
        <v>177.8</v>
      </c>
      <c r="I32" s="9">
        <v>348.3</v>
      </c>
      <c r="J32" s="57">
        <v>177.8</v>
      </c>
      <c r="K32" s="62">
        <v>2511.8000000000002</v>
      </c>
      <c r="L32" s="9">
        <v>520.6</v>
      </c>
      <c r="M32" s="9">
        <v>340.1</v>
      </c>
      <c r="N32" s="9">
        <v>357.3</v>
      </c>
      <c r="O32" s="9">
        <v>159.5</v>
      </c>
      <c r="P32" s="9">
        <v>171.8</v>
      </c>
      <c r="Q32" s="9">
        <v>336.70000000000005</v>
      </c>
      <c r="R32" s="57">
        <v>174.9</v>
      </c>
      <c r="S32" s="62">
        <v>2490.8999999999996</v>
      </c>
      <c r="T32" s="9">
        <v>546.29999999999995</v>
      </c>
      <c r="U32" s="9">
        <v>345</v>
      </c>
      <c r="V32" s="9">
        <v>360.9</v>
      </c>
      <c r="W32" s="9">
        <v>163.6</v>
      </c>
      <c r="X32" s="9">
        <v>174.3</v>
      </c>
      <c r="Y32" s="9">
        <v>342.3</v>
      </c>
      <c r="Z32" s="57">
        <v>176.5</v>
      </c>
    </row>
    <row r="33" spans="1:26" ht="15.6">
      <c r="A33" s="56">
        <v>44958</v>
      </c>
      <c r="B33" s="50">
        <v>82.278706675000009</v>
      </c>
      <c r="C33" s="9">
        <v>2464</v>
      </c>
      <c r="D33" s="9">
        <v>566.6</v>
      </c>
      <c r="E33" s="9">
        <v>317.72213114754095</v>
      </c>
      <c r="F33" s="9">
        <v>367.29999999999995</v>
      </c>
      <c r="G33" s="9">
        <v>169</v>
      </c>
      <c r="H33" s="9">
        <v>178.5</v>
      </c>
      <c r="I33" s="9">
        <v>350.70000000000005</v>
      </c>
      <c r="J33" s="57">
        <v>178</v>
      </c>
      <c r="K33" s="62">
        <v>2505.8999999999996</v>
      </c>
      <c r="L33" s="9">
        <v>525.5</v>
      </c>
      <c r="M33" s="9">
        <v>342.7</v>
      </c>
      <c r="N33" s="9">
        <v>362.20000000000005</v>
      </c>
      <c r="O33" s="9">
        <v>159.80000000000001</v>
      </c>
      <c r="P33" s="9">
        <v>172.5</v>
      </c>
      <c r="Q33" s="9">
        <v>338.4</v>
      </c>
      <c r="R33" s="57">
        <v>176.3</v>
      </c>
      <c r="S33" s="62">
        <v>2478.6</v>
      </c>
      <c r="T33" s="9">
        <v>550</v>
      </c>
      <c r="U33" s="9">
        <v>347.7</v>
      </c>
      <c r="V33" s="9">
        <v>365.4</v>
      </c>
      <c r="W33" s="9">
        <v>164.2</v>
      </c>
      <c r="X33" s="9">
        <v>175</v>
      </c>
      <c r="Y33" s="9">
        <v>344.4</v>
      </c>
      <c r="Z33" s="57">
        <v>177.2</v>
      </c>
    </row>
    <row r="34" spans="1:26" ht="15.6">
      <c r="A34" s="56">
        <v>44986</v>
      </c>
      <c r="B34" s="50">
        <v>78.539480282608693</v>
      </c>
      <c r="C34" s="9">
        <v>2464.2000000000003</v>
      </c>
      <c r="D34" s="9">
        <v>566.6</v>
      </c>
      <c r="E34" s="9">
        <v>317.72213114754095</v>
      </c>
      <c r="F34" s="9">
        <v>367.29999999999995</v>
      </c>
      <c r="G34" s="9">
        <v>169</v>
      </c>
      <c r="H34" s="9">
        <v>178.5</v>
      </c>
      <c r="I34" s="9">
        <v>350.70000000000005</v>
      </c>
      <c r="J34" s="57">
        <v>178</v>
      </c>
      <c r="K34" s="62">
        <v>2506.1</v>
      </c>
      <c r="L34" s="9">
        <v>525.4</v>
      </c>
      <c r="M34" s="9">
        <v>342.7</v>
      </c>
      <c r="N34" s="9">
        <v>362.3</v>
      </c>
      <c r="O34" s="9">
        <v>159.80000000000001</v>
      </c>
      <c r="P34" s="9">
        <v>172.5</v>
      </c>
      <c r="Q34" s="9">
        <v>338.4</v>
      </c>
      <c r="R34" s="57">
        <v>176.3</v>
      </c>
      <c r="S34" s="62">
        <v>2478.6999999999998</v>
      </c>
      <c r="T34" s="9">
        <v>549.9</v>
      </c>
      <c r="U34" s="9">
        <v>347.7</v>
      </c>
      <c r="V34" s="9">
        <v>365.4</v>
      </c>
      <c r="W34" s="9">
        <v>164.2</v>
      </c>
      <c r="X34" s="9">
        <v>175</v>
      </c>
      <c r="Y34" s="9">
        <v>344.4</v>
      </c>
      <c r="Z34" s="57">
        <v>177.2</v>
      </c>
    </row>
    <row r="35" spans="1:26" ht="15.6">
      <c r="A35" s="56">
        <v>45017</v>
      </c>
      <c r="B35" s="50">
        <v>83.755358416666667</v>
      </c>
      <c r="C35" s="9">
        <v>2473.6999999999998</v>
      </c>
      <c r="D35" s="9">
        <v>568.20000000000005</v>
      </c>
      <c r="E35" s="9">
        <v>318.22213114754095</v>
      </c>
      <c r="F35" s="9">
        <v>371</v>
      </c>
      <c r="G35" s="9">
        <v>169.4</v>
      </c>
      <c r="H35" s="9">
        <v>179.4</v>
      </c>
      <c r="I35" s="9">
        <v>352.1</v>
      </c>
      <c r="J35" s="57">
        <v>178.8</v>
      </c>
      <c r="K35" s="62">
        <v>2521.2000000000003</v>
      </c>
      <c r="L35" s="9">
        <v>527.6</v>
      </c>
      <c r="M35" s="9">
        <v>344.79999999999995</v>
      </c>
      <c r="N35" s="9">
        <v>365.9</v>
      </c>
      <c r="O35" s="9">
        <v>160.1</v>
      </c>
      <c r="P35" s="9">
        <v>174.2</v>
      </c>
      <c r="Q35" s="9">
        <v>339.70000000000005</v>
      </c>
      <c r="R35" s="57">
        <v>177.4</v>
      </c>
      <c r="S35" s="62">
        <v>2490.2000000000003</v>
      </c>
      <c r="T35" s="9">
        <v>551.79999999999995</v>
      </c>
      <c r="U35" s="9">
        <v>349.79999999999995</v>
      </c>
      <c r="V35" s="9">
        <v>369</v>
      </c>
      <c r="W35" s="9">
        <v>164.5</v>
      </c>
      <c r="X35" s="9">
        <v>176.4</v>
      </c>
      <c r="Y35" s="9">
        <v>345.7</v>
      </c>
      <c r="Z35" s="57">
        <v>178.1</v>
      </c>
    </row>
    <row r="36" spans="1:26" ht="16.149999999999999" thickBot="1">
      <c r="A36" s="58">
        <v>45047</v>
      </c>
      <c r="B36" s="59">
        <v>74.981547824999993</v>
      </c>
      <c r="C36" s="60">
        <v>2490.6000000000008</v>
      </c>
      <c r="D36" s="60">
        <v>569.90000000000009</v>
      </c>
      <c r="E36" s="60">
        <v>318.92213114754094</v>
      </c>
      <c r="F36" s="60">
        <v>372.70000000000005</v>
      </c>
      <c r="G36" s="60">
        <v>169.7</v>
      </c>
      <c r="H36" s="60">
        <v>180.3</v>
      </c>
      <c r="I36" s="60">
        <v>353.3</v>
      </c>
      <c r="J36" s="61">
        <v>179.8</v>
      </c>
      <c r="K36" s="71">
        <v>2539.2999999999997</v>
      </c>
      <c r="L36" s="60">
        <v>528.70000000000005</v>
      </c>
      <c r="M36" s="60">
        <v>345.7</v>
      </c>
      <c r="N36" s="60">
        <v>367.79999999999995</v>
      </c>
      <c r="O36" s="60">
        <v>160.4</v>
      </c>
      <c r="P36" s="60">
        <v>174.8</v>
      </c>
      <c r="Q36" s="60">
        <v>340.79999999999995</v>
      </c>
      <c r="R36" s="61">
        <v>178.2</v>
      </c>
      <c r="S36" s="71">
        <v>2507.9</v>
      </c>
      <c r="T36" s="60">
        <v>553.20000000000005</v>
      </c>
      <c r="U36" s="60">
        <v>350.79999999999995</v>
      </c>
      <c r="V36" s="60">
        <v>370.9</v>
      </c>
      <c r="W36" s="60">
        <v>164.8</v>
      </c>
      <c r="X36" s="60">
        <v>177.1</v>
      </c>
      <c r="Y36" s="60">
        <v>346.9</v>
      </c>
      <c r="Z36" s="61">
        <v>179.1</v>
      </c>
    </row>
    <row r="37" spans="1:26">
      <c r="A37" s="55"/>
      <c r="Z37" s="79"/>
    </row>
    <row r="38" spans="1:26">
      <c r="A38" s="55"/>
      <c r="Z38" s="79"/>
    </row>
    <row r="39" spans="1:26">
      <c r="A39" s="80" t="s">
        <v>249</v>
      </c>
      <c r="Z39" s="79"/>
    </row>
    <row r="40" spans="1:26">
      <c r="A40" s="80"/>
      <c r="Z40" s="79"/>
    </row>
    <row r="41" spans="1:26" ht="28.15" customHeight="1" thickBot="1">
      <c r="A41" s="55"/>
      <c r="C41" s="64" t="s">
        <v>178</v>
      </c>
      <c r="D41" s="64" t="s">
        <v>167</v>
      </c>
      <c r="E41" s="64" t="s">
        <v>179</v>
      </c>
      <c r="F41" s="64" t="s">
        <v>23</v>
      </c>
      <c r="G41" s="64" t="s">
        <v>180</v>
      </c>
      <c r="H41" s="64" t="s">
        <v>181</v>
      </c>
      <c r="I41" s="64" t="s">
        <v>171</v>
      </c>
      <c r="J41" s="65" t="s">
        <v>182</v>
      </c>
      <c r="K41" s="64" t="s">
        <v>178</v>
      </c>
      <c r="L41" s="64" t="s">
        <v>167</v>
      </c>
      <c r="M41" s="64" t="s">
        <v>179</v>
      </c>
      <c r="N41" s="64" t="s">
        <v>23</v>
      </c>
      <c r="O41" s="64" t="s">
        <v>180</v>
      </c>
      <c r="P41" s="64" t="s">
        <v>181</v>
      </c>
      <c r="Q41" s="64" t="s">
        <v>171</v>
      </c>
      <c r="R41" s="65" t="s">
        <v>182</v>
      </c>
      <c r="S41" s="64" t="s">
        <v>178</v>
      </c>
      <c r="T41" s="64" t="s">
        <v>167</v>
      </c>
      <c r="U41" s="64" t="s">
        <v>179</v>
      </c>
      <c r="V41" s="64" t="s">
        <v>23</v>
      </c>
      <c r="W41" s="64" t="s">
        <v>180</v>
      </c>
      <c r="X41" s="64" t="s">
        <v>181</v>
      </c>
      <c r="Y41" s="64" t="s">
        <v>171</v>
      </c>
      <c r="Z41" s="65" t="s">
        <v>182</v>
      </c>
    </row>
    <row r="42" spans="1:26" ht="15" thickBot="1">
      <c r="A42" s="51" t="s">
        <v>250</v>
      </c>
      <c r="B42" s="52"/>
      <c r="C42" s="53">
        <f>CORREL($B$11:$B$36,C11:C36)</f>
        <v>0.42042571777941007</v>
      </c>
      <c r="D42" s="53">
        <f t="shared" ref="D42:Z42" si="0">CORREL($B$11:$B$36,D11:D36)</f>
        <v>0.37456852415866559</v>
      </c>
      <c r="E42" s="53">
        <f t="shared" si="0"/>
        <v>0.30660101768569292</v>
      </c>
      <c r="F42" s="53">
        <f t="shared" si="0"/>
        <v>0.25376356805913375</v>
      </c>
      <c r="G42" s="54">
        <f t="shared" si="0"/>
        <v>0.49646430328725349</v>
      </c>
      <c r="H42" s="53">
        <f t="shared" si="0"/>
        <v>0.24735977404230397</v>
      </c>
      <c r="I42" s="53">
        <f t="shared" si="0"/>
        <v>0.35143093447535678</v>
      </c>
      <c r="J42" s="75">
        <f t="shared" si="0"/>
        <v>0.39312305017293386</v>
      </c>
      <c r="K42" s="74">
        <f t="shared" si="0"/>
        <v>0.40257927471646998</v>
      </c>
      <c r="L42" s="53">
        <f t="shared" si="0"/>
        <v>0.35022433950058585</v>
      </c>
      <c r="M42" s="53">
        <f t="shared" si="0"/>
        <v>0.30796102775077266</v>
      </c>
      <c r="N42" s="53">
        <f t="shared" si="0"/>
        <v>0.24238422917594377</v>
      </c>
      <c r="O42" s="54">
        <f t="shared" si="0"/>
        <v>0.53583549947068165</v>
      </c>
      <c r="P42" s="53">
        <f t="shared" si="0"/>
        <v>0.27327717518229311</v>
      </c>
      <c r="Q42" s="53">
        <f t="shared" si="0"/>
        <v>0.41032127254989065</v>
      </c>
      <c r="R42" s="75">
        <f t="shared" si="0"/>
        <v>0.3807795468551527</v>
      </c>
      <c r="S42" s="74">
        <f t="shared" si="0"/>
        <v>0.41108224702125623</v>
      </c>
      <c r="T42" s="53">
        <f t="shared" si="0"/>
        <v>0.36398856585113443</v>
      </c>
      <c r="U42" s="53">
        <f t="shared" si="0"/>
        <v>0.29251881341769848</v>
      </c>
      <c r="V42" s="53">
        <f t="shared" si="0"/>
        <v>0.2484108217865591</v>
      </c>
      <c r="W42" s="54">
        <f t="shared" si="0"/>
        <v>0.51557042552906418</v>
      </c>
      <c r="X42" s="53">
        <f t="shared" si="0"/>
        <v>0.26029261296803224</v>
      </c>
      <c r="Y42" s="53">
        <f t="shared" si="0"/>
        <v>0.38458154619380075</v>
      </c>
      <c r="Z42" s="115">
        <f t="shared" si="0"/>
        <v>0.38680786018358077</v>
      </c>
    </row>
    <row r="43" spans="1:26">
      <c r="A43" s="55"/>
      <c r="C43" s="140" t="s">
        <v>30</v>
      </c>
      <c r="D43" s="141"/>
      <c r="E43" s="141"/>
      <c r="F43" s="141"/>
      <c r="G43" s="141"/>
      <c r="H43" s="141"/>
      <c r="I43" s="141"/>
      <c r="J43" s="142"/>
      <c r="K43" s="143" t="s">
        <v>33</v>
      </c>
      <c r="L43" s="141"/>
      <c r="M43" s="141"/>
      <c r="N43" s="141"/>
      <c r="O43" s="141"/>
      <c r="P43" s="141"/>
      <c r="Q43" s="141"/>
      <c r="R43" s="142"/>
      <c r="S43" s="143" t="s">
        <v>35</v>
      </c>
      <c r="T43" s="141"/>
      <c r="U43" s="141"/>
      <c r="V43" s="141"/>
      <c r="W43" s="141"/>
      <c r="X43" s="141"/>
      <c r="Y43" s="141"/>
      <c r="Z43" s="142"/>
    </row>
    <row r="44" spans="1:26">
      <c r="A44" s="55"/>
      <c r="Z44" s="79"/>
    </row>
    <row r="45" spans="1:26">
      <c r="A45" s="80" t="s">
        <v>251</v>
      </c>
      <c r="Z45" s="79"/>
    </row>
    <row r="46" spans="1:26" ht="15" thickBot="1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6"/>
    </row>
    <row r="54" spans="3:10">
      <c r="C54" s="76"/>
      <c r="D54" s="76"/>
      <c r="E54" s="76"/>
      <c r="F54" s="76"/>
      <c r="G54" s="76"/>
      <c r="H54" s="76"/>
      <c r="I54" s="76"/>
      <c r="J54" s="76"/>
    </row>
  </sheetData>
  <mergeCells count="10">
    <mergeCell ref="C43:J43"/>
    <mergeCell ref="K43:R43"/>
    <mergeCell ref="S43:Z43"/>
    <mergeCell ref="A1:Z1"/>
    <mergeCell ref="C9:J9"/>
    <mergeCell ref="C8:J8"/>
    <mergeCell ref="K8:R8"/>
    <mergeCell ref="K9:R9"/>
    <mergeCell ref="S8:Z8"/>
    <mergeCell ref="S9:Z9"/>
  </mergeCells>
  <pageMargins left="0.23622047244094491" right="0.23622047244094491" top="0.74803149606299213" bottom="0.74803149606299213" header="0.31496062992125984" footer="0.31496062992125984"/>
  <pageSetup paperSize="13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B1DC5C-902E-49CA-9B68-A64BBACE9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KPW .</dc:creator>
  <cp:keywords/>
  <dc:description/>
  <cp:lastModifiedBy/>
  <cp:revision/>
  <dcterms:created xsi:type="dcterms:W3CDTF">2015-06-05T18:17:20Z</dcterms:created>
  <dcterms:modified xsi:type="dcterms:W3CDTF">2026-08-27T12:47:41Z</dcterms:modified>
  <cp:category/>
  <cp:contentStatus/>
</cp:coreProperties>
</file>