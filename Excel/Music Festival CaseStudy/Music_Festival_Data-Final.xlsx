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f5cae351361fa/Coding Ninja/Case study/Excel/Music Festival Case study/"/>
    </mc:Choice>
  </mc:AlternateContent>
  <xr:revisionPtr revIDLastSave="149" documentId="8_{7D9B2B3D-1E24-4CF6-B4BB-65CED7F5A091}" xr6:coauthVersionLast="47" xr6:coauthVersionMax="47" xr10:uidLastSave="{E893FE24-5585-45F2-AA42-E858C7CB8F28}"/>
  <bookViews>
    <workbookView xWindow="-108" yWindow="-108" windowWidth="23256" windowHeight="12456" firstSheet="4" activeTab="11" xr2:uid="{875E51C1-8B0F-456E-BFE5-F9085729170C}"/>
  </bookViews>
  <sheets>
    <sheet name="Music_Festival_Data" sheetId="1" r:id="rId1"/>
    <sheet name="Artist_Popularity_Data" sheetId="14" r:id="rId2"/>
    <sheet name="Missing Values &amp; Outliers" sheetId="2" r:id="rId3"/>
    <sheet name="Data_Validation_Summary" sheetId="4" r:id="rId4"/>
    <sheet name="Cleaned Data" sheetId="5" r:id="rId5"/>
    <sheet name="Stage2" sheetId="6" r:id="rId6"/>
    <sheet name="Stage3" sheetId="9" r:id="rId7"/>
    <sheet name="Stage4" sheetId="11" r:id="rId8"/>
    <sheet name="Stage5" sheetId="16" r:id="rId9"/>
    <sheet name="Stage6" sheetId="18" r:id="rId10"/>
    <sheet name="Dashboard" sheetId="21" r:id="rId11"/>
    <sheet name="Thumbnail" sheetId="24" r:id="rId12"/>
  </sheets>
  <externalReferences>
    <externalReference r:id="rId13"/>
  </externalReferences>
  <definedNames>
    <definedName name="_xlnm._FilterDatabase" localSheetId="1" hidden="1">Artist_Popularity_Data!$A$1:$I$1</definedName>
    <definedName name="_xlnm._FilterDatabase" localSheetId="4" hidden="1">'Cleaned Data'!$A$1:$M$93</definedName>
    <definedName name="_xlnm._FilterDatabase" localSheetId="0" hidden="1">Music_Festival_Data!$A$1:$N$106</definedName>
  </definedNames>
  <calcPr calcId="191029"/>
  <pivotCaches>
    <pivotCache cacheId="0" r:id="rId14"/>
    <pivotCache cacheId="24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1" l="1"/>
  <c r="B5" i="21"/>
  <c r="C5" i="21"/>
  <c r="C23" i="21"/>
  <c r="B26" i="21"/>
  <c r="B23" i="21"/>
  <c r="F6" i="11"/>
  <c r="B24" i="21" s="1"/>
  <c r="F7" i="11"/>
  <c r="F8" i="11"/>
  <c r="B28" i="21" s="1"/>
  <c r="F9" i="11"/>
  <c r="F10" i="11"/>
  <c r="F11" i="11"/>
  <c r="B25" i="21" s="1"/>
  <c r="F12" i="11"/>
  <c r="F13" i="11"/>
  <c r="F14" i="11"/>
  <c r="B27" i="21" s="1"/>
  <c r="F15" i="11"/>
  <c r="F5" i="11"/>
  <c r="E6" i="11"/>
  <c r="C24" i="21" s="1"/>
  <c r="E7" i="11"/>
  <c r="C26" i="21" s="1"/>
  <c r="E8" i="11"/>
  <c r="C28" i="21" s="1"/>
  <c r="E9" i="11"/>
  <c r="E10" i="11"/>
  <c r="E11" i="11"/>
  <c r="C25" i="21" s="1"/>
  <c r="E12" i="11"/>
  <c r="E13" i="11"/>
  <c r="E14" i="11"/>
  <c r="C27" i="21" s="1"/>
  <c r="E15" i="11"/>
  <c r="E5" i="11"/>
  <c r="I5" i="21"/>
  <c r="I6" i="21"/>
  <c r="I7" i="21"/>
  <c r="I8" i="21"/>
  <c r="I9" i="21"/>
  <c r="D35" i="21"/>
  <c r="C35" i="21"/>
  <c r="B35" i="21"/>
  <c r="D34" i="21"/>
  <c r="C34" i="21"/>
  <c r="B34" i="21"/>
  <c r="D28" i="21"/>
  <c r="D27" i="21"/>
  <c r="D26" i="21"/>
  <c r="D25" i="21"/>
  <c r="D24" i="21"/>
  <c r="D11" i="21"/>
  <c r="C11" i="21"/>
  <c r="B11" i="21"/>
  <c r="D10" i="21"/>
  <c r="C10" i="21"/>
  <c r="B10" i="21"/>
  <c r="C20" i="21"/>
  <c r="B20" i="21"/>
  <c r="D9" i="21"/>
  <c r="C9" i="21"/>
  <c r="B9" i="21"/>
  <c r="C19" i="21"/>
  <c r="B19" i="21"/>
  <c r="C18" i="21"/>
  <c r="B18" i="21"/>
  <c r="C17" i="21"/>
  <c r="B17" i="21"/>
  <c r="C16" i="21"/>
  <c r="B16" i="21"/>
  <c r="D5" i="21"/>
  <c r="G66" i="18"/>
  <c r="E60" i="18"/>
  <c r="E61" i="18"/>
  <c r="E62" i="18"/>
  <c r="F86" i="18" s="1"/>
  <c r="E63" i="18"/>
  <c r="E64" i="18"/>
  <c r="E65" i="18"/>
  <c r="E66" i="18"/>
  <c r="E67" i="18"/>
  <c r="E68" i="18"/>
  <c r="E59" i="18"/>
  <c r="F89" i="18" s="1"/>
  <c r="D60" i="18"/>
  <c r="G60" i="18" s="1"/>
  <c r="D61" i="18"/>
  <c r="G61" i="18" s="1"/>
  <c r="D62" i="18"/>
  <c r="G62" i="18" s="1"/>
  <c r="D63" i="18"/>
  <c r="G63" i="18" s="1"/>
  <c r="D64" i="18"/>
  <c r="G64" i="18" s="1"/>
  <c r="D65" i="18"/>
  <c r="G65" i="18" s="1"/>
  <c r="D66" i="18"/>
  <c r="D67" i="18"/>
  <c r="F67" i="18" s="1"/>
  <c r="D68" i="18"/>
  <c r="G68" i="18" s="1"/>
  <c r="D59" i="18"/>
  <c r="G78" i="18" s="1"/>
  <c r="C60" i="18"/>
  <c r="C61" i="18"/>
  <c r="C62" i="18"/>
  <c r="C63" i="18"/>
  <c r="C64" i="18"/>
  <c r="F64" i="18" s="1"/>
  <c r="C65" i="18"/>
  <c r="C66" i="18"/>
  <c r="C67" i="18"/>
  <c r="C68" i="18"/>
  <c r="C59" i="18"/>
  <c r="E40" i="18"/>
  <c r="E41" i="18"/>
  <c r="E42" i="18"/>
  <c r="E43" i="18"/>
  <c r="E44" i="18"/>
  <c r="E45" i="18"/>
  <c r="E46" i="18"/>
  <c r="E47" i="18"/>
  <c r="E48" i="18"/>
  <c r="E39" i="18"/>
  <c r="K23" i="18"/>
  <c r="D40" i="18" s="1"/>
  <c r="F40" i="18" s="1"/>
  <c r="K24" i="18"/>
  <c r="D41" i="18" s="1"/>
  <c r="K25" i="18"/>
  <c r="D42" i="18" s="1"/>
  <c r="K26" i="18"/>
  <c r="D43" i="18" s="1"/>
  <c r="K27" i="18"/>
  <c r="D44" i="18" s="1"/>
  <c r="K28" i="18"/>
  <c r="D45" i="18" s="1"/>
  <c r="K29" i="18"/>
  <c r="D46" i="18" s="1"/>
  <c r="K30" i="18"/>
  <c r="D47" i="18" s="1"/>
  <c r="K31" i="18"/>
  <c r="D48" i="18" s="1"/>
  <c r="F48" i="18" s="1"/>
  <c r="K22" i="18"/>
  <c r="D39" i="18" s="1"/>
  <c r="K6" i="18"/>
  <c r="C40" i="18" s="1"/>
  <c r="K7" i="18"/>
  <c r="C41" i="18" s="1"/>
  <c r="K8" i="18"/>
  <c r="C42" i="18" s="1"/>
  <c r="K9" i="18"/>
  <c r="C43" i="18" s="1"/>
  <c r="K10" i="18"/>
  <c r="C44" i="18" s="1"/>
  <c r="K11" i="18"/>
  <c r="C45" i="18" s="1"/>
  <c r="K12" i="18"/>
  <c r="C46" i="18" s="1"/>
  <c r="K13" i="18"/>
  <c r="C47" i="18" s="1"/>
  <c r="K14" i="18"/>
  <c r="C48" i="18" s="1"/>
  <c r="K5" i="18"/>
  <c r="C39" i="18" s="1"/>
  <c r="G6" i="16"/>
  <c r="G7" i="16"/>
  <c r="G8" i="16"/>
  <c r="G9" i="16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0" i="21" s="1"/>
  <c r="G5" i="16"/>
  <c r="H5" i="16" s="1"/>
  <c r="F6" i="16"/>
  <c r="F7" i="16"/>
  <c r="H7" i="16" s="1"/>
  <c r="F8" i="16"/>
  <c r="H8" i="16" s="1"/>
  <c r="F9" i="16"/>
  <c r="G9" i="21" s="1"/>
  <c r="F10" i="16"/>
  <c r="F11" i="16"/>
  <c r="G7" i="21" s="1"/>
  <c r="F12" i="16"/>
  <c r="G5" i="21" s="1"/>
  <c r="F13" i="16"/>
  <c r="G8" i="21" s="1"/>
  <c r="F14" i="16"/>
  <c r="G6" i="21" s="1"/>
  <c r="F15" i="16"/>
  <c r="H15" i="16" s="1"/>
  <c r="F5" i="16"/>
  <c r="I60" i="16"/>
  <c r="I61" i="16"/>
  <c r="I62" i="16"/>
  <c r="I63" i="16"/>
  <c r="I64" i="16"/>
  <c r="I65" i="16"/>
  <c r="I66" i="16"/>
  <c r="I67" i="16"/>
  <c r="I68" i="16"/>
  <c r="I69" i="16"/>
  <c r="I59" i="16"/>
  <c r="G60" i="16"/>
  <c r="G61" i="16"/>
  <c r="G62" i="16"/>
  <c r="G63" i="16"/>
  <c r="G64" i="16"/>
  <c r="G65" i="16"/>
  <c r="G66" i="16"/>
  <c r="G67" i="16"/>
  <c r="G68" i="16"/>
  <c r="G69" i="16"/>
  <c r="G59" i="16"/>
  <c r="H60" i="16"/>
  <c r="H61" i="16"/>
  <c r="H62" i="16"/>
  <c r="H63" i="16"/>
  <c r="H64" i="16"/>
  <c r="H65" i="16"/>
  <c r="H66" i="16"/>
  <c r="H67" i="16"/>
  <c r="H68" i="16"/>
  <c r="H69" i="16"/>
  <c r="H59" i="16"/>
  <c r="H27" i="16"/>
  <c r="H28" i="16"/>
  <c r="H29" i="16"/>
  <c r="H30" i="16"/>
  <c r="H31" i="16"/>
  <c r="H32" i="16"/>
  <c r="H33" i="16"/>
  <c r="H34" i="16"/>
  <c r="H35" i="16"/>
  <c r="H36" i="16"/>
  <c r="G27" i="16"/>
  <c r="G28" i="16"/>
  <c r="G29" i="16"/>
  <c r="G30" i="16"/>
  <c r="G31" i="16"/>
  <c r="G32" i="16"/>
  <c r="G33" i="16"/>
  <c r="G34" i="16"/>
  <c r="G35" i="16"/>
  <c r="G36" i="16"/>
  <c r="G26" i="16"/>
  <c r="H26" i="16"/>
  <c r="D74" i="1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2" i="5"/>
  <c r="F56" i="11"/>
  <c r="C60" i="11" s="1"/>
  <c r="F55" i="11"/>
  <c r="B60" i="11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2" i="5"/>
  <c r="N3" i="5" a="1"/>
  <c r="N3" i="5" s="1"/>
  <c r="N4" i="5" a="1"/>
  <c r="N4" i="5" s="1"/>
  <c r="N5" i="5" a="1"/>
  <c r="N5" i="5" s="1"/>
  <c r="N6" i="5" a="1"/>
  <c r="N6" i="5" s="1"/>
  <c r="N7" i="5" a="1"/>
  <c r="N7" i="5" s="1"/>
  <c r="N8" i="5" a="1"/>
  <c r="N8" i="5" s="1"/>
  <c r="N9" i="5" a="1"/>
  <c r="N9" i="5" s="1"/>
  <c r="N10" i="5" a="1"/>
  <c r="N10" i="5" s="1"/>
  <c r="N11" i="5" a="1"/>
  <c r="N11" i="5" s="1"/>
  <c r="N12" i="5" a="1"/>
  <c r="N12" i="5" s="1"/>
  <c r="N13" i="5" a="1"/>
  <c r="N13" i="5" s="1"/>
  <c r="N14" i="5" a="1"/>
  <c r="N14" i="5" s="1"/>
  <c r="N15" i="5" a="1"/>
  <c r="N15" i="5" s="1"/>
  <c r="N16" i="5" a="1"/>
  <c r="N16" i="5" s="1"/>
  <c r="N17" i="5" a="1"/>
  <c r="N17" i="5" s="1"/>
  <c r="N18" i="5" a="1"/>
  <c r="N18" i="5" s="1"/>
  <c r="N19" i="5" a="1"/>
  <c r="N19" i="5" s="1"/>
  <c r="N20" i="5" a="1"/>
  <c r="N20" i="5" s="1"/>
  <c r="N21" i="5" a="1"/>
  <c r="N21" i="5" s="1"/>
  <c r="N22" i="5" a="1"/>
  <c r="N22" i="5" s="1"/>
  <c r="N23" i="5" a="1"/>
  <c r="N23" i="5" s="1"/>
  <c r="N24" i="5" a="1"/>
  <c r="N24" i="5" s="1"/>
  <c r="N25" i="5" a="1"/>
  <c r="N25" i="5" s="1"/>
  <c r="N26" i="5" a="1"/>
  <c r="N26" i="5" s="1"/>
  <c r="N27" i="5" a="1"/>
  <c r="N27" i="5" s="1"/>
  <c r="N28" i="5" a="1"/>
  <c r="N28" i="5" s="1"/>
  <c r="N29" i="5" a="1"/>
  <c r="N29" i="5" s="1"/>
  <c r="N30" i="5" a="1"/>
  <c r="N30" i="5" s="1"/>
  <c r="N31" i="5" a="1"/>
  <c r="N31" i="5" s="1"/>
  <c r="N32" i="5" a="1"/>
  <c r="N32" i="5" s="1"/>
  <c r="N33" i="5" a="1"/>
  <c r="N33" i="5" s="1"/>
  <c r="N34" i="5" a="1"/>
  <c r="N34" i="5" s="1"/>
  <c r="N35" i="5" a="1"/>
  <c r="N35" i="5" s="1"/>
  <c r="N36" i="5" a="1"/>
  <c r="N36" i="5" s="1"/>
  <c r="N37" i="5" a="1"/>
  <c r="N37" i="5" s="1"/>
  <c r="N38" i="5" a="1"/>
  <c r="N38" i="5" s="1"/>
  <c r="N39" i="5" a="1"/>
  <c r="N39" i="5" s="1"/>
  <c r="N40" i="5" a="1"/>
  <c r="N40" i="5" s="1"/>
  <c r="N41" i="5" a="1"/>
  <c r="N41" i="5" s="1"/>
  <c r="N42" i="5" a="1"/>
  <c r="N42" i="5" s="1"/>
  <c r="N43" i="5" a="1"/>
  <c r="N43" i="5" s="1"/>
  <c r="N44" i="5" a="1"/>
  <c r="N44" i="5" s="1"/>
  <c r="N45" i="5" a="1"/>
  <c r="N45" i="5" s="1"/>
  <c r="N46" i="5" a="1"/>
  <c r="N46" i="5" s="1"/>
  <c r="N47" i="5" a="1"/>
  <c r="N47" i="5" s="1"/>
  <c r="N48" i="5" a="1"/>
  <c r="N48" i="5" s="1"/>
  <c r="N49" i="5" a="1"/>
  <c r="N49" i="5" s="1"/>
  <c r="N50" i="5" a="1"/>
  <c r="N50" i="5" s="1"/>
  <c r="N51" i="5" a="1"/>
  <c r="N51" i="5" s="1"/>
  <c r="N52" i="5" a="1"/>
  <c r="N52" i="5" s="1"/>
  <c r="N53" i="5" a="1"/>
  <c r="N53" i="5" s="1"/>
  <c r="N54" i="5" a="1"/>
  <c r="N54" i="5" s="1"/>
  <c r="N55" i="5" a="1"/>
  <c r="N55" i="5" s="1"/>
  <c r="N56" i="5" a="1"/>
  <c r="N56" i="5" s="1"/>
  <c r="N57" i="5" a="1"/>
  <c r="N57" i="5" s="1"/>
  <c r="N58" i="5" a="1"/>
  <c r="N58" i="5" s="1"/>
  <c r="N59" i="5" a="1"/>
  <c r="N59" i="5" s="1"/>
  <c r="N60" i="5" a="1"/>
  <c r="N60" i="5" s="1"/>
  <c r="N61" i="5" a="1"/>
  <c r="N61" i="5" s="1"/>
  <c r="N62" i="5" a="1"/>
  <c r="N62" i="5" s="1"/>
  <c r="N63" i="5" a="1"/>
  <c r="N63" i="5" s="1"/>
  <c r="N64" i="5" a="1"/>
  <c r="N64" i="5" s="1"/>
  <c r="N65" i="5" a="1"/>
  <c r="N65" i="5" s="1"/>
  <c r="N66" i="5" a="1"/>
  <c r="N66" i="5" s="1"/>
  <c r="N67" i="5" a="1"/>
  <c r="N67" i="5" s="1"/>
  <c r="N68" i="5" a="1"/>
  <c r="N68" i="5" s="1"/>
  <c r="N69" i="5" a="1"/>
  <c r="N69" i="5" s="1"/>
  <c r="N70" i="5" a="1"/>
  <c r="N70" i="5" s="1"/>
  <c r="N71" i="5" a="1"/>
  <c r="N71" i="5" s="1"/>
  <c r="N72" i="5" a="1"/>
  <c r="N72" i="5" s="1"/>
  <c r="N73" i="5" a="1"/>
  <c r="N73" i="5" s="1"/>
  <c r="N74" i="5" a="1"/>
  <c r="N74" i="5" s="1"/>
  <c r="N75" i="5" a="1"/>
  <c r="N75" i="5" s="1"/>
  <c r="N76" i="5" a="1"/>
  <c r="N76" i="5" s="1"/>
  <c r="N77" i="5" a="1"/>
  <c r="N77" i="5" s="1"/>
  <c r="N78" i="5" a="1"/>
  <c r="N78" i="5" s="1"/>
  <c r="N79" i="5" a="1"/>
  <c r="N79" i="5" s="1"/>
  <c r="N80" i="5" a="1"/>
  <c r="N80" i="5" s="1"/>
  <c r="N81" i="5" a="1"/>
  <c r="N81" i="5" s="1"/>
  <c r="N82" i="5" a="1"/>
  <c r="N82" i="5" s="1"/>
  <c r="N83" i="5" a="1"/>
  <c r="N83" i="5" s="1"/>
  <c r="N84" i="5" a="1"/>
  <c r="N84" i="5" s="1"/>
  <c r="N85" i="5" a="1"/>
  <c r="N85" i="5" s="1"/>
  <c r="N86" i="5" a="1"/>
  <c r="N86" i="5" s="1"/>
  <c r="N87" i="5" a="1"/>
  <c r="N87" i="5" s="1"/>
  <c r="N88" i="5" a="1"/>
  <c r="N88" i="5" s="1"/>
  <c r="N89" i="5" a="1"/>
  <c r="N89" i="5" s="1"/>
  <c r="N90" i="5" a="1"/>
  <c r="N90" i="5" s="1"/>
  <c r="N91" i="5" a="1"/>
  <c r="N91" i="5" s="1"/>
  <c r="N92" i="5" a="1"/>
  <c r="N92" i="5" s="1"/>
  <c r="N93" i="5" a="1"/>
  <c r="N93" i="5" s="1"/>
  <c r="N2" i="5" a="1"/>
  <c r="N2" i="5" s="1"/>
  <c r="C46" i="9"/>
  <c r="B12" i="4"/>
  <c r="B52" i="4"/>
  <c r="B51" i="4"/>
  <c r="B50" i="4"/>
  <c r="B49" i="4"/>
  <c r="B48" i="4"/>
  <c r="B5" i="4"/>
  <c r="K13" i="2"/>
  <c r="K12" i="2"/>
  <c r="K6" i="2"/>
  <c r="K7" i="2" s="1"/>
  <c r="K9" i="2" s="1"/>
  <c r="K5" i="2"/>
  <c r="E14" i="2"/>
  <c r="E13" i="2"/>
  <c r="H93" i="1" s="1"/>
  <c r="E5" i="2"/>
  <c r="G62" i="1" s="1"/>
  <c r="E6" i="2"/>
  <c r="Q3" i="2"/>
  <c r="R3" i="2"/>
  <c r="S3" i="2"/>
  <c r="T3" i="2"/>
  <c r="U3" i="2"/>
  <c r="X3" i="2"/>
  <c r="Y3" i="2"/>
  <c r="Z3" i="2"/>
  <c r="P3" i="2"/>
  <c r="D77" i="16"/>
  <c r="B61" i="11"/>
  <c r="B53" i="4"/>
  <c r="C86" i="16"/>
  <c r="C61" i="11"/>
  <c r="C85" i="16"/>
  <c r="C84" i="16"/>
  <c r="B54" i="4"/>
  <c r="D18" i="16" l="1"/>
  <c r="G10" i="21" s="1"/>
  <c r="H9" i="16"/>
  <c r="H7" i="21"/>
  <c r="H6" i="16"/>
  <c r="F43" i="18"/>
  <c r="H9" i="21"/>
  <c r="F42" i="18"/>
  <c r="F39" i="18"/>
  <c r="F41" i="18"/>
  <c r="H5" i="21"/>
  <c r="F47" i="18"/>
  <c r="H6" i="21"/>
  <c r="F46" i="18"/>
  <c r="F66" i="18"/>
  <c r="F45" i="18"/>
  <c r="H8" i="21"/>
  <c r="F44" i="18"/>
  <c r="H60" i="18"/>
  <c r="H64" i="18"/>
  <c r="H66" i="18"/>
  <c r="H62" i="18"/>
  <c r="D80" i="18"/>
  <c r="F65" i="18"/>
  <c r="G67" i="18"/>
  <c r="D78" i="18" s="1"/>
  <c r="E71" i="18"/>
  <c r="G79" i="18"/>
  <c r="E86" i="18"/>
  <c r="F63" i="18"/>
  <c r="H77" i="18"/>
  <c r="E87" i="18"/>
  <c r="G80" i="18"/>
  <c r="F62" i="18"/>
  <c r="H78" i="18"/>
  <c r="F87" i="18"/>
  <c r="F59" i="18"/>
  <c r="F61" i="18"/>
  <c r="H76" i="18"/>
  <c r="H79" i="18"/>
  <c r="E88" i="18"/>
  <c r="F68" i="18"/>
  <c r="F60" i="18"/>
  <c r="G76" i="18"/>
  <c r="H68" i="18" s="1"/>
  <c r="H80" i="18"/>
  <c r="F88" i="18"/>
  <c r="G59" i="18"/>
  <c r="G77" i="18"/>
  <c r="E85" i="18"/>
  <c r="E89" i="18"/>
  <c r="F85" i="18"/>
  <c r="C88" i="16"/>
  <c r="D85" i="16"/>
  <c r="C87" i="16"/>
  <c r="D86" i="16"/>
  <c r="C76" i="16"/>
  <c r="D76" i="16" s="1"/>
  <c r="C75" i="16"/>
  <c r="D75" i="16" s="1"/>
  <c r="F44" i="16"/>
  <c r="C44" i="16"/>
  <c r="C43" i="16"/>
  <c r="D43" i="16"/>
  <c r="D44" i="16"/>
  <c r="F43" i="16"/>
  <c r="C20" i="16"/>
  <c r="D20" i="16" s="1"/>
  <c r="C19" i="16"/>
  <c r="D19" i="16" s="1"/>
  <c r="D25" i="4"/>
  <c r="D24" i="4"/>
  <c r="F57" i="11"/>
  <c r="K14" i="2"/>
  <c r="K16" i="2" s="1"/>
  <c r="K8" i="2"/>
  <c r="B33" i="4" s="1"/>
  <c r="E7" i="2"/>
  <c r="G79" i="1"/>
  <c r="G65" i="1"/>
  <c r="G8" i="1"/>
  <c r="E15" i="2"/>
  <c r="G32" i="1"/>
  <c r="H41" i="1"/>
  <c r="G99" i="1"/>
  <c r="G25" i="1"/>
  <c r="G37" i="1"/>
  <c r="H58" i="1"/>
  <c r="G59" i="1"/>
  <c r="H59" i="1"/>
  <c r="H65" i="1"/>
  <c r="H63" i="1"/>
  <c r="G61" i="1"/>
  <c r="H7" i="1"/>
  <c r="H88" i="1"/>
  <c r="H76" i="1"/>
  <c r="H10" i="1"/>
  <c r="D87" i="16" l="1"/>
  <c r="D88" i="16" s="1"/>
  <c r="H67" i="18"/>
  <c r="H65" i="18"/>
  <c r="D77" i="18"/>
  <c r="C78" i="18"/>
  <c r="C77" i="18"/>
  <c r="C76" i="18"/>
  <c r="C80" i="18"/>
  <c r="D76" i="18"/>
  <c r="C79" i="18"/>
  <c r="H59" i="18"/>
  <c r="H63" i="18"/>
  <c r="H61" i="18"/>
  <c r="D79" i="18"/>
  <c r="E44" i="16"/>
  <c r="C48" i="16" s="1"/>
  <c r="E43" i="16"/>
  <c r="K15" i="2"/>
  <c r="B34" i="4" s="1"/>
  <c r="J3" i="1"/>
  <c r="J11" i="1"/>
  <c r="J19" i="1"/>
  <c r="J27" i="1"/>
  <c r="J35" i="1"/>
  <c r="J43" i="1"/>
  <c r="J51" i="1"/>
  <c r="J59" i="1"/>
  <c r="J67" i="1"/>
  <c r="J75" i="1"/>
  <c r="J83" i="1"/>
  <c r="J91" i="1"/>
  <c r="J99" i="1"/>
  <c r="J2" i="1"/>
  <c r="J49" i="1"/>
  <c r="J89" i="1"/>
  <c r="J50" i="1"/>
  <c r="J66" i="1"/>
  <c r="J82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41" i="1"/>
  <c r="J90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33" i="1"/>
  <c r="J65" i="1"/>
  <c r="J42" i="1"/>
  <c r="J58" i="1"/>
  <c r="J74" i="1"/>
  <c r="J106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25" i="1"/>
  <c r="J97" i="1"/>
  <c r="J34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81" i="1"/>
  <c r="J26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7" i="1"/>
  <c r="J73" i="1"/>
  <c r="J10" i="1"/>
  <c r="J98" i="1"/>
  <c r="J9" i="1"/>
  <c r="J57" i="1"/>
  <c r="J105" i="1"/>
  <c r="J18" i="1"/>
  <c r="W3" i="2"/>
  <c r="V3" i="2"/>
  <c r="C50" i="16" l="1"/>
  <c r="C47" i="16"/>
  <c r="C49" i="16" s="1"/>
  <c r="C51" i="16"/>
  <c r="L8" i="1"/>
  <c r="L16" i="1"/>
  <c r="L24" i="1"/>
  <c r="L32" i="1"/>
  <c r="L40" i="1"/>
  <c r="L48" i="1"/>
  <c r="L56" i="1"/>
  <c r="L64" i="1"/>
  <c r="L72" i="1"/>
  <c r="L80" i="1"/>
  <c r="L88" i="1"/>
  <c r="L96" i="1"/>
  <c r="L104" i="1"/>
  <c r="L4" i="1"/>
  <c r="L20" i="1"/>
  <c r="L36" i="1"/>
  <c r="L60" i="1"/>
  <c r="L68" i="1"/>
  <c r="L84" i="1"/>
  <c r="L100" i="1"/>
  <c r="L9" i="1"/>
  <c r="L17" i="1"/>
  <c r="L25" i="1"/>
  <c r="L33" i="1"/>
  <c r="L41" i="1"/>
  <c r="L49" i="1"/>
  <c r="L57" i="1"/>
  <c r="L65" i="1"/>
  <c r="L73" i="1"/>
  <c r="L81" i="1"/>
  <c r="L89" i="1"/>
  <c r="L97" i="1"/>
  <c r="L105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52" i="1"/>
  <c r="L44" i="1"/>
  <c r="L3" i="1"/>
  <c r="L11" i="1"/>
  <c r="L19" i="1"/>
  <c r="L27" i="1"/>
  <c r="L35" i="1"/>
  <c r="L43" i="1"/>
  <c r="L51" i="1"/>
  <c r="L59" i="1"/>
  <c r="L67" i="1"/>
  <c r="L75" i="1"/>
  <c r="L83" i="1"/>
  <c r="L91" i="1"/>
  <c r="L99" i="1"/>
  <c r="L2" i="1"/>
  <c r="L5" i="1"/>
  <c r="L13" i="1"/>
  <c r="L21" i="1"/>
  <c r="L29" i="1"/>
  <c r="L37" i="1"/>
  <c r="L45" i="1"/>
  <c r="L53" i="1"/>
  <c r="L61" i="1"/>
  <c r="L69" i="1"/>
  <c r="L77" i="1"/>
  <c r="L85" i="1"/>
  <c r="L93" i="1"/>
  <c r="L101" i="1"/>
  <c r="L7" i="1"/>
  <c r="L15" i="1"/>
  <c r="L23" i="1"/>
  <c r="L31" i="1"/>
  <c r="L39" i="1"/>
  <c r="L47" i="1"/>
  <c r="L55" i="1"/>
  <c r="L71" i="1"/>
  <c r="L79" i="1"/>
  <c r="L87" i="1"/>
  <c r="L103" i="1"/>
  <c r="L12" i="1"/>
  <c r="L6" i="1"/>
  <c r="L14" i="1"/>
  <c r="L22" i="1"/>
  <c r="L30" i="1"/>
  <c r="L38" i="1"/>
  <c r="L46" i="1"/>
  <c r="L54" i="1"/>
  <c r="L62" i="1"/>
  <c r="L70" i="1"/>
  <c r="L78" i="1"/>
  <c r="L86" i="1"/>
  <c r="L94" i="1"/>
  <c r="L102" i="1"/>
  <c r="L63" i="1"/>
  <c r="L95" i="1"/>
  <c r="L28" i="1"/>
  <c r="L76" i="1"/>
  <c r="L92" i="1"/>
  <c r="X4" i="2"/>
  <c r="Y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<sst xmlns="http://schemas.openxmlformats.org/spreadsheetml/2006/main" count="1650" uniqueCount="466">
  <si>
    <t>Festival_Name</t>
  </si>
  <si>
    <t>City</t>
  </si>
  <si>
    <t>Date</t>
  </si>
  <si>
    <t>Tour_Name</t>
  </si>
  <si>
    <t>Headlining_Artist</t>
  </si>
  <si>
    <t>Supporting_Artists</t>
  </si>
  <si>
    <t>Ticket_Price(Rs)</t>
  </si>
  <si>
    <t>Total_Attendance</t>
  </si>
  <si>
    <t>Merchandise_Sales (Rs)</t>
  </si>
  <si>
    <t>Sponsorship_Revenue (Rs)</t>
  </si>
  <si>
    <t>Total_Revenue (Rs)</t>
  </si>
  <si>
    <t>NH7 Pune</t>
  </si>
  <si>
    <t>Kolkata</t>
  </si>
  <si>
    <t>Badshah</t>
  </si>
  <si>
    <t>DJ Snake, Honey Singh</t>
  </si>
  <si>
    <t>Ziro Festival Arunachal</t>
  </si>
  <si>
    <t>Delhi</t>
  </si>
  <si>
    <t>Honey Singh</t>
  </si>
  <si>
    <t>Bryan Adams, Martin Garrix, Mika Singh</t>
  </si>
  <si>
    <t>Bengaluru</t>
  </si>
  <si>
    <t>Classics Tour</t>
  </si>
  <si>
    <t>Bryan Adams</t>
  </si>
  <si>
    <t>Badshah, Arijit Singh, Martin Garrix, Diljit Dosanjh</t>
  </si>
  <si>
    <t>VH1 Supersonic Delhi</t>
  </si>
  <si>
    <t>Goa</t>
  </si>
  <si>
    <t>Martin Garrix, Badshah, Ed Sheeran, Diljit Dosanjh</t>
  </si>
  <si>
    <t>Hornbill Festival Nagaland</t>
  </si>
  <si>
    <t>Nagpur</t>
  </si>
  <si>
    <t>Soulful Nights Tour</t>
  </si>
  <si>
    <t>Arijit Singh</t>
  </si>
  <si>
    <t>Martin Garrix, Badshah</t>
  </si>
  <si>
    <t>Jaipur</t>
  </si>
  <si>
    <t>Mika Singh</t>
  </si>
  <si>
    <t>Diljit Dosanjh, Mika Singh</t>
  </si>
  <si>
    <t>Ed Sheeran, Mika Singh, Shreya Ghoshal, Bryan Adams</t>
  </si>
  <si>
    <t>Honey Singh, Badshah, Bryan Adams, Martin Garrix</t>
  </si>
  <si>
    <t>Bollywood Music Project</t>
  </si>
  <si>
    <t>Shreya Ghoshal</t>
  </si>
  <si>
    <t>Ed Sheeran, Shreya Ghoshal, Bryan Adams, Badshah</t>
  </si>
  <si>
    <t>Lollapalooza Mumbai</t>
  </si>
  <si>
    <t>Honey Singh, Diljit Dosanjh</t>
  </si>
  <si>
    <t>DJ Snake</t>
  </si>
  <si>
    <t>Honey Singh, Diljit Dosanjh, Arijit Singh</t>
  </si>
  <si>
    <t>Sunburn Goa</t>
  </si>
  <si>
    <t>Honey Singh, Badshah, Bryan Adams</t>
  </si>
  <si>
    <t>Supersonic Bengaluru</t>
  </si>
  <si>
    <t>Pune</t>
  </si>
  <si>
    <t>Born To Shine Tour</t>
  </si>
  <si>
    <t>Diljit Dosanjh</t>
  </si>
  <si>
    <t>Mika Singh, Ed Sheeran, Arijit Singh</t>
  </si>
  <si>
    <t>Magnetic Fields Rajasthan</t>
  </si>
  <si>
    <t>Mumbai</t>
  </si>
  <si>
    <t>Martin Garrix</t>
  </si>
  <si>
    <t>Shreya Ghoshal, Ed Sheeran, Arijit Singh</t>
  </si>
  <si>
    <t>Amritsar</t>
  </si>
  <si>
    <t>Bryan Adams, Badshah, Honey Singh</t>
  </si>
  <si>
    <t>Ed Sheeran, Shreya Ghoshal</t>
  </si>
  <si>
    <t>Martin Garrix, Mika Singh, Bryan Adams</t>
  </si>
  <si>
    <t>Mathematics Tour</t>
  </si>
  <si>
    <t>Ed Sheeran</t>
  </si>
  <si>
    <t>Honey Singh, Ed Sheeran</t>
  </si>
  <si>
    <t>Honey Singh, Mika Singh, Martin Garrix, Ed Sheeran</t>
  </si>
  <si>
    <t>Ed Sheeran, Mika Singh, Shreya Ghoshal, Honey Singh</t>
  </si>
  <si>
    <t>Shreya Ghoshal, Diljit Dosanjh, Arijit Singh</t>
  </si>
  <si>
    <t>Honey Singh, Diljit Dosanjh, Badshah</t>
  </si>
  <si>
    <t>Chandigarh</t>
  </si>
  <si>
    <t>Honey Singh, Bryan Adams, DJ Snake</t>
  </si>
  <si>
    <t>Goa Tribal Festival</t>
  </si>
  <si>
    <t>Ed Sheeran, Diljit Dosanjh, Shreya Ghoshal, Badshah</t>
  </si>
  <si>
    <t>Mika Singh, Diljit Dosanjh, Martin Garrix</t>
  </si>
  <si>
    <t>Bryan Adams, Diljit Dosanjh, Honey Singh, Mika Singh</t>
  </si>
  <si>
    <t>Martin Garrix, Bryan Adams, DJ Snake</t>
  </si>
  <si>
    <t>Arijit Singh, Diljit Dosanjh</t>
  </si>
  <si>
    <t>Diljit Dosanjh, Honey Singh, DJ Snake, Shreya Ghoshal</t>
  </si>
  <si>
    <t>Bryan Adams, Mika Singh, Arijit Singh</t>
  </si>
  <si>
    <t>Arijit Singh, Honey Singh</t>
  </si>
  <si>
    <t>Martin Garrix, Diljit Dosanjh, Badshah, Mika Singh</t>
  </si>
  <si>
    <t>DJ Snake, Arijit Singh, Badshah, Mika Singh</t>
  </si>
  <si>
    <t>Mika Singh, Diljit Dosanjh, Shreya Ghoshal</t>
  </si>
  <si>
    <t>Mika Singh, Ed Sheeran, Honey Singh, Diljit Dosanjh</t>
  </si>
  <si>
    <t>Diljit Dosanjh, DJ Snake, Honey Singh, Shreya Ghoshal</t>
  </si>
  <si>
    <t>DJ Snake, Honey Singh, Diljit Dosanjh</t>
  </si>
  <si>
    <t>Arijit Singh, DJ Snake, Martin Garrix</t>
  </si>
  <si>
    <t>DJ Snake, Badshah</t>
  </si>
  <si>
    <t>Diljit Dosanjh, Shreya Ghoshal, Ed Sheeran</t>
  </si>
  <si>
    <t>Bryan Adams, DJ Snake, Mika Singh, Shreya Ghoshal</t>
  </si>
  <si>
    <t>Mika Singh, Arijit Singh, Ed Sheeran</t>
  </si>
  <si>
    <t>Shreya Ghoshal, Badshah, Arijit Singh, Bryan Adams</t>
  </si>
  <si>
    <t>Badshah, Arijit Singh, Mika Singh, Bryan Adams</t>
  </si>
  <si>
    <t>Badshah, DJ Snake, Honey Singh, Mika Singh</t>
  </si>
  <si>
    <t>Honey Singh, Shreya Ghoshal</t>
  </si>
  <si>
    <t>Ed Sheeran, Arijit Singh, Badshah</t>
  </si>
  <si>
    <t>DJ Snake, Mika Singh</t>
  </si>
  <si>
    <t>Mika Singh, Ed Sheeran</t>
  </si>
  <si>
    <t>Mika Singh, Badshah</t>
  </si>
  <si>
    <t>Ed Sheeran, DJ Snake, Mika Singh</t>
  </si>
  <si>
    <t>Diljit Dosanjh, Badshah, Bryan Adams</t>
  </si>
  <si>
    <t>Arijit Singh, Honey Singh, Shreya Ghoshal, Ed Sheeran</t>
  </si>
  <si>
    <t>DJ Snake, Shreya Ghoshal, Honey Singh, Diljit Dosanjh</t>
  </si>
  <si>
    <t>Martin Garrix, Badshah, Bryan Adams, Arijit Singh</t>
  </si>
  <si>
    <t>Diljit Dosanjh, Ed Sheeran, DJ Snake, Honey Singh</t>
  </si>
  <si>
    <t>DJ Snake, Arijit Singh, Shreya Ghoshal</t>
  </si>
  <si>
    <t>Arijit Singh, DJ Snake, Mika Singh</t>
  </si>
  <si>
    <t>Bryan Adams, Martin Garrix</t>
  </si>
  <si>
    <t>Martin Garrix, DJ Snake, Arijit Singh, Honey Singh</t>
  </si>
  <si>
    <t>DJ Snake, Bryan Adams, Martin Garrix, Badshah</t>
  </si>
  <si>
    <t>Diljit Dosanjh, Arijit Singh, Shreya Ghoshal, Mika Singh</t>
  </si>
  <si>
    <t>Bryan Adams, Ed Sheeran, Badshah</t>
  </si>
  <si>
    <t>Shreya Ghoshal, DJ Snake, Honey Singh, Bryan Adams</t>
  </si>
  <si>
    <t>Ed Sheeran, Honey Singh, Arijit Singh</t>
  </si>
  <si>
    <t>Bryan Adams, Honey Singh, Arijit Singh</t>
  </si>
  <si>
    <t>Arijit Singh, Badshah</t>
  </si>
  <si>
    <t>Bryan Adams, Honey Singh, Mika Singh</t>
  </si>
  <si>
    <t>Ed Sheeran, Honey Singh, Badshah, Mika Singh</t>
  </si>
  <si>
    <t>Ed Sheeran, Badshah, Arijit Singh, Bryan Adams</t>
  </si>
  <si>
    <t>Martin Garrix, Honey Singh, DJ Snake, Arijit Singh</t>
  </si>
  <si>
    <t>Mika Singh, DJ Snake, Bryan Adams, Ed Sheeran</t>
  </si>
  <si>
    <t>Martin Garrix, Bryan Adams</t>
  </si>
  <si>
    <t>Bryan Adams, Arijit Singh, Honey Singh</t>
  </si>
  <si>
    <t>Ed Sheeran, Honey Singh, DJ Snake, Bryan Adams</t>
  </si>
  <si>
    <t>Shreya Ghoshal, Martin Garrix</t>
  </si>
  <si>
    <t>Mika Singh, Diljit Dosanjh</t>
  </si>
  <si>
    <t>Arijit Singh, Mika Singh</t>
  </si>
  <si>
    <t>Mika Singh, Badshah, Ed Sheeran, Diljit Dosanjh</t>
  </si>
  <si>
    <t>Arijit Singh, Ed Sheeran</t>
  </si>
  <si>
    <t>Honey Singh, Martin Garrix, DJ Snake, Bryan Adams</t>
  </si>
  <si>
    <t>Martin Garrix, Badshah, Honey Singh, DJ Snake</t>
  </si>
  <si>
    <t>Diljit Dosanjh, Mika Singh, DJ Snake</t>
  </si>
  <si>
    <t>Martin Garrix, DJ Snake, Ed Sheeran, Mika Singh</t>
  </si>
  <si>
    <t>Diljit Dosanjh, Arijit Singh, DJ Snake</t>
  </si>
  <si>
    <t>Badshah, Bryan Adams</t>
  </si>
  <si>
    <t>Arijit Singh, Ed Sheeran, Honey Singh, Mika Singh</t>
  </si>
  <si>
    <t>Diljit Dosanjh, Martin Garrix</t>
  </si>
  <si>
    <t>Mika Singh, DJ Snake</t>
  </si>
  <si>
    <t>Honey Singh, Diljit Dosanjh, Mika Singh</t>
  </si>
  <si>
    <t>Martin Garrix, Ed Sheeran, Mika Singh</t>
  </si>
  <si>
    <t>Shreya Ghoshal, Honey Singh, Badshah</t>
  </si>
  <si>
    <t>blank counts</t>
  </si>
  <si>
    <t>average</t>
  </si>
  <si>
    <t>Ticket Price</t>
  </si>
  <si>
    <t>std</t>
  </si>
  <si>
    <t>std%</t>
  </si>
  <si>
    <t>missing values with mean</t>
  </si>
  <si>
    <t>Total Attendance</t>
  </si>
  <si>
    <t xml:space="preserve">But in problem statement it </t>
  </si>
  <si>
    <t xml:space="preserve">is asked to fill </t>
  </si>
  <si>
    <t>Missing Values</t>
  </si>
  <si>
    <t>Outlier</t>
  </si>
  <si>
    <t>Q1</t>
  </si>
  <si>
    <t>Q3</t>
  </si>
  <si>
    <t>IQR</t>
  </si>
  <si>
    <t>UL</t>
  </si>
  <si>
    <t>LL</t>
  </si>
  <si>
    <t>outlier</t>
  </si>
  <si>
    <t>Data_Validation_Status</t>
  </si>
  <si>
    <t>Valid</t>
  </si>
  <si>
    <t>DUPLICATE - Remove</t>
  </si>
  <si>
    <t>MUSIC FESTIVAL DATA VALIDATION REPORT</t>
  </si>
  <si>
    <t>1. DATASET OVERVIEW</t>
  </si>
  <si>
    <t>Metric</t>
  </si>
  <si>
    <t>Value</t>
  </si>
  <si>
    <t>Total Records</t>
  </si>
  <si>
    <t>Unique Festivals</t>
  </si>
  <si>
    <t>Unique Cities</t>
  </si>
  <si>
    <t>Unique Headlining Artists</t>
  </si>
  <si>
    <t>Date Range</t>
  </si>
  <si>
    <t>Jan 2024 - Dec 2024</t>
  </si>
  <si>
    <t>2. DUPLICATE RECORDS ANALYSIS</t>
  </si>
  <si>
    <t>Duplicates Found</t>
  </si>
  <si>
    <t>Row</t>
  </si>
  <si>
    <t>Festival</t>
  </si>
  <si>
    <t>Artist</t>
  </si>
  <si>
    <t>Original Row</t>
  </si>
  <si>
    <t>17-03-2024</t>
  </si>
  <si>
    <t>13-05-2024</t>
  </si>
  <si>
    <t>28-01-2024</t>
  </si>
  <si>
    <t>13-12-2024</t>
  </si>
  <si>
    <t>3. MISSING VALUES ANALYSIS</t>
  </si>
  <si>
    <t>Column</t>
  </si>
  <si>
    <t>Missing Count</t>
  </si>
  <si>
    <t>Treatment Method</t>
  </si>
  <si>
    <t>Mean Value Used</t>
  </si>
  <si>
    <t>Left blank (optional field)</t>
  </si>
  <si>
    <t>N/A</t>
  </si>
  <si>
    <t>Ticket_Price (Rs)</t>
  </si>
  <si>
    <t>Filled with Mean</t>
  </si>
  <si>
    <t>4. OUTLIER DETECTION (IQR Method)</t>
  </si>
  <si>
    <t>Total Outliers Flagged</t>
  </si>
  <si>
    <t>Merchandise Sales - Upper Limit:</t>
  </si>
  <si>
    <t>Sponsorship Revenue - Upper Limit:</t>
  </si>
  <si>
    <t>Issue</t>
  </si>
  <si>
    <t>Count</t>
  </si>
  <si>
    <t>Status</t>
  </si>
  <si>
    <t>Action Taken</t>
  </si>
  <si>
    <t>Duplicate Records</t>
  </si>
  <si>
    <t>Marked in Column N for removal</t>
  </si>
  <si>
    <t>Missing Ticket Prices</t>
  </si>
  <si>
    <t>Resolved</t>
  </si>
  <si>
    <t>Imputed with mean (₹2,910.22)</t>
  </si>
  <si>
    <t>Missing Attendance</t>
  </si>
  <si>
    <t>Imputed with mean (20,798.88)</t>
  </si>
  <si>
    <t>Outliers Detected</t>
  </si>
  <si>
    <t>Total Revenue (Valid Records)</t>
  </si>
  <si>
    <t>Total Attendance (Valid Records)</t>
  </si>
  <si>
    <t>Avg Ticket Price (Rs)</t>
  </si>
  <si>
    <t>Total Merchandise Sales</t>
  </si>
  <si>
    <t>Total Sponsorship Revenue</t>
  </si>
  <si>
    <t>Outliers have been removed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</si>
  <si>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</si>
  <si>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</si>
  <si>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</si>
  <si>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</si>
  <si>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</si>
  <si>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</si>
  <si>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</si>
  <si>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</si>
  <si>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</si>
  <si>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</si>
  <si>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</si>
  <si>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</si>
  <si>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</si>
  <si>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</si>
  <si>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Total_Revenue (Rs)</t>
  </si>
  <si>
    <t>Sum of Total_Revenue (Rs)2</t>
  </si>
  <si>
    <t>Peak Season for Festivals in India</t>
  </si>
  <si>
    <t>Sum of Total_Attendance</t>
  </si>
  <si>
    <t>We can see that, seasonal trends impact attendance, making it crucial to align festival dates with periods of high demand.</t>
  </si>
  <si>
    <t>August and Decemeber shows the best season for Music Festivals in India.</t>
  </si>
  <si>
    <t>Local Artist</t>
  </si>
  <si>
    <t>International</t>
  </si>
  <si>
    <t xml:space="preserve">The data is for just one year which is 2024. </t>
  </si>
  <si>
    <t>So as per analysis, Badshah has highest public interest in Music followed by Diljit Dosanjh</t>
  </si>
  <si>
    <t>Also people follow Indian Artist more than International Artist for this years data</t>
  </si>
  <si>
    <t>Removed</t>
  </si>
  <si>
    <t>Valid Records (after removal of Duplicates and outliers)</t>
  </si>
  <si>
    <t>5. DATA QUALITY SUMMARY</t>
  </si>
  <si>
    <t xml:space="preserve">6. CLEAN DATA STATISTICS </t>
  </si>
  <si>
    <t>Outlier_Flag_for_Merchandise_Sales</t>
  </si>
  <si>
    <t>Outlier_Flag_for_Sponsorship_Revenue</t>
  </si>
  <si>
    <t>Outlier Thresholds (from Missing Values &amp; Outliers sheet):</t>
  </si>
  <si>
    <t>Marked in Column J &amp; L for review</t>
  </si>
  <si>
    <t>Total Revenue</t>
  </si>
  <si>
    <t>Optimizing Ticket Pricing for Maximum Revenue</t>
  </si>
  <si>
    <t>Average of Ticket_Price(Rs)</t>
  </si>
  <si>
    <t>Average of Total_Attendance</t>
  </si>
  <si>
    <t>This chart clearly shows that if the price of the ticket increases, attendance decreases.</t>
  </si>
  <si>
    <t>Delhi &amp; Bengluru has the highest ticket price with very low attendance whereas Goa has the highest attendance and medium ticket price</t>
  </si>
  <si>
    <t>Count of Festival_Name</t>
  </si>
  <si>
    <t>500-1500</t>
  </si>
  <si>
    <t>1500-2500</t>
  </si>
  <si>
    <t>2500-3500</t>
  </si>
  <si>
    <t>3500-4500</t>
  </si>
  <si>
    <t>4500-5500</t>
  </si>
  <si>
    <t>6500-7500</t>
  </si>
  <si>
    <t>₹2,500 - ₹3,500 range has HIGHEST ATTENDANCE (25.42% of total) with 458,178 attendees across 30 festivals</t>
  </si>
  <si>
    <t>₹500 - ₹1,500 range has HIGHEST AVG ATTENDANCE per festival (26,564) - budget-friendly attracts crowds</t>
  </si>
  <si>
    <t>Profitability Analysis:</t>
  </si>
  <si>
    <t>₹2,500 - ₹3,500 range: HIGHEST Total Revenue (₹160.6 Cr) - volume drives overall revenue</t>
  </si>
  <si>
    <t>₹3,500 - ₹4,500 range: HIGHEST Avg Revenue per Festival- best profitability per event</t>
  </si>
  <si>
    <t>Average of Total_Revenue (Rs)</t>
  </si>
  <si>
    <t>Attedance%</t>
  </si>
  <si>
    <t>Total_Attendance2</t>
  </si>
  <si>
    <t>Total_Revenue (Rs)2</t>
  </si>
  <si>
    <t>Correlation of Ticket price &amp; Total Attendance</t>
  </si>
  <si>
    <t>Attendance Analysis:</t>
  </si>
  <si>
    <t>Artist_Name</t>
  </si>
  <si>
    <t>Genre</t>
  </si>
  <si>
    <t>Average_Ticket_Price</t>
  </si>
  <si>
    <t>Average_Attendance_Per_City</t>
  </si>
  <si>
    <t>Social_Media_Followers (millions)</t>
  </si>
  <si>
    <t>Streaming_Plays (millions)</t>
  </si>
  <si>
    <t>Merchandise_Revenue_Per_Concert (Rs)</t>
  </si>
  <si>
    <t>Tour_Impact</t>
  </si>
  <si>
    <t>Cities_Performed_In</t>
  </si>
  <si>
    <t>Impact of International vs. Local Artists on Ticket Sales</t>
  </si>
  <si>
    <t>Avoid tickets above 5500 as it drastically affects the attendance</t>
  </si>
  <si>
    <t>INSIGHT</t>
  </si>
  <si>
    <t>IMPLICATION</t>
  </si>
  <si>
    <t>Top Attendance Driver</t>
  </si>
  <si>
    <t>Best for maximizing crowd size</t>
  </si>
  <si>
    <t>Top Revenue Driver</t>
  </si>
  <si>
    <t>Best for maximizing festival income</t>
  </si>
  <si>
    <t>Best Per-Event Avg Attendance</t>
  </si>
  <si>
    <t>Most consistent crowd pull per show</t>
  </si>
  <si>
    <t>ARTIST</t>
  </si>
  <si>
    <t>• Diljit Dosanjh has HIGHEST per-event attendance (31,513 avg) - most consistent crowd puller</t>
  </si>
  <si>
    <t>• For MAX TURNOUT: Book Badshah, Diljit Dosanjh, or Mika Singh as headliners</t>
  </si>
  <si>
    <t>• For BALANCED PERFORMANCE: Honey Singh, Shreya Ghoshal offer good attendance + revenue mix</t>
  </si>
  <si>
    <t>STRATEGIC RECOMMENDATIONS:</t>
  </si>
  <si>
    <t>KEY POINTS:</t>
  </si>
  <si>
    <t>Punjabi</t>
  </si>
  <si>
    <t>Yes</t>
  </si>
  <si>
    <t>Amritsar, Kolkata, Delhi, Mumbai, Bengaluru</t>
  </si>
  <si>
    <t>VALUE(Rs)</t>
  </si>
  <si>
    <t>Bollywood</t>
  </si>
  <si>
    <t>Classical/Bollywood</t>
  </si>
  <si>
    <t>EDM</t>
  </si>
  <si>
    <t>Hip-Hop</t>
  </si>
  <si>
    <t>International Pop</t>
  </si>
  <si>
    <t>Rock</t>
  </si>
  <si>
    <t>No</t>
  </si>
  <si>
    <t>Pune, Amritsar, Bengaluru</t>
  </si>
  <si>
    <t>Delhi, Amritsar, Bengaluru, Mumbai</t>
  </si>
  <si>
    <t>Nagpur, Jaipur, Chandigarh</t>
  </si>
  <si>
    <t>Pune, Amritsar, Goa, Chandigarh</t>
  </si>
  <si>
    <t>Delhi, Jaipur, Bengaluru, Mumbai</t>
  </si>
  <si>
    <t>Bengaluru, Jaipur, Mumbai, Chandigarh, Kolkata, Delhi</t>
  </si>
  <si>
    <t>Chandigarh, Delhi, Pune, Nagpur, Bengaluru, Kolkata</t>
  </si>
  <si>
    <t>Nagpur, Goa, Amritsar, Chandigarh, Mumbai</t>
  </si>
  <si>
    <t>Pune, Mumbai, Delhi, Bengaluru, Amritsar</t>
  </si>
  <si>
    <t>• Badshah generates HIGHEST revenue(1,01,23,75,595) - best for revenue optimization</t>
  </si>
  <si>
    <t>• For MAX REVENUE: Prioritize Badshah, Honey Singh or Bryan Adams</t>
  </si>
  <si>
    <t>December is the best season for Music Festivals in India with 14.49% attendance being the highest for whole year</t>
  </si>
  <si>
    <t>Expansion in cities like Nagpur, Jaipur and Bengluru is possible</t>
  </si>
  <si>
    <r>
      <t xml:space="preserve">• Badshah draws the </t>
    </r>
    <r>
      <rPr>
        <b/>
        <sz val="11"/>
        <rFont val="Aptos Narrow"/>
        <family val="2"/>
        <scheme val="minor"/>
      </rPr>
      <t xml:space="preserve">MOST </t>
    </r>
    <r>
      <rPr>
        <b/>
        <sz val="11"/>
        <color theme="1"/>
        <rFont val="Aptos Narrow"/>
        <family val="2"/>
        <scheme val="minor"/>
      </rPr>
      <t>total attendees(2,59,552) - best for maximizing turnout</t>
    </r>
  </si>
  <si>
    <t>Genre-Bollywood is the music style which attracts the largest crowd</t>
  </si>
  <si>
    <t>Punjabi has the highest Avg Attendance which means Festival-goers generally prefer  this genre.</t>
  </si>
  <si>
    <t>Total Events</t>
  </si>
  <si>
    <t>ATTENDANCE INSIGHTS:</t>
  </si>
  <si>
    <t>REVENUE INSIGHTS:</t>
  </si>
  <si>
    <t>ROI INSIGHTS:</t>
  </si>
  <si>
    <t>• Local artists provide better ROI with lower perceived costs and higher volume</t>
  </si>
  <si>
    <t>• International artists may have higher per-event costs (flights, visas, accommodation)</t>
  </si>
  <si>
    <t>Total International Artists</t>
  </si>
  <si>
    <t>Total Local (Indian) Artists</t>
  </si>
  <si>
    <t>Artists</t>
  </si>
  <si>
    <t>International &amp; Local Artists</t>
  </si>
  <si>
    <t xml:space="preserve">International  </t>
  </si>
  <si>
    <t>International vs Local Artists</t>
  </si>
  <si>
    <t>Total Attendance3</t>
  </si>
  <si>
    <t>Total Revenue3</t>
  </si>
  <si>
    <t>Revenue/Attendance</t>
  </si>
  <si>
    <t>Revenue Efficiency</t>
  </si>
  <si>
    <t>Revenue/Attendance(Rs)</t>
  </si>
  <si>
    <t>Avg Ticket price(Rs)</t>
  </si>
  <si>
    <t>Diljit Dosanjh has the highest average attendance per event(31,513) among all artists</t>
  </si>
  <si>
    <t>Local artists account for a significantly larger share of total attendance(13,23,620)</t>
  </si>
  <si>
    <t xml:space="preserve">Local artists generate higher total revenue due to more events </t>
  </si>
  <si>
    <t>Badshah leads in total revenue generation among all artists</t>
  </si>
  <si>
    <t>The Role of Sponsorship and Merchandise in Festival Profitability</t>
  </si>
  <si>
    <t>Revenue per Event</t>
  </si>
  <si>
    <t>Sponsorship_Revenue %</t>
  </si>
  <si>
    <t>Merchandise %</t>
  </si>
  <si>
    <t>Sponsorship Revenue</t>
  </si>
  <si>
    <t xml:space="preserve">We can say that :Invest in Local Artists than International </t>
  </si>
  <si>
    <t>Merchandise_Revenue %</t>
  </si>
  <si>
    <t>Highest Sponsorship</t>
  </si>
  <si>
    <t>Lowest Sponsorship</t>
  </si>
  <si>
    <t xml:space="preserve">Average contribution of Sponsorship from Total Revenue </t>
  </si>
  <si>
    <t>The reliability of Festivals on Sponsorship</t>
  </si>
  <si>
    <t>Premium-Tier - Ticket price&gt;Avg Ticket price(2914)</t>
  </si>
  <si>
    <t>General Ticket - Ticket price&lt;=Avg Ticket price(2914)</t>
  </si>
  <si>
    <t xml:space="preserve">Tier Classification </t>
  </si>
  <si>
    <t>Total number of events</t>
  </si>
  <si>
    <t>Total Sponsorship Revenue4</t>
  </si>
  <si>
    <t>Total Attendance4</t>
  </si>
  <si>
    <t>Sponsorship per attendee</t>
  </si>
  <si>
    <t xml:space="preserve">Comparison for General vs Premium </t>
  </si>
  <si>
    <t>Premium</t>
  </si>
  <si>
    <t xml:space="preserve">General </t>
  </si>
  <si>
    <t>Total Sponsorship(Rs)</t>
  </si>
  <si>
    <t>Average Sponsorship per attendee(Rs)</t>
  </si>
  <si>
    <t>Spnsorship Analysis:</t>
  </si>
  <si>
    <t>Average Sponsorship/Event</t>
  </si>
  <si>
    <t>Premium(Avg Sponsorship/Event)</t>
  </si>
  <si>
    <t>General(Avg Sponsorship/Event)</t>
  </si>
  <si>
    <t>Premium Advantage</t>
  </si>
  <si>
    <t>Higher Sponsor Tier</t>
  </si>
  <si>
    <t>Sponsor Difference</t>
  </si>
  <si>
    <t>Total Merchandise Revenue</t>
  </si>
  <si>
    <t>Total Revenue(Rs)</t>
  </si>
  <si>
    <t>Total Merchandise Revenue(Rs)</t>
  </si>
  <si>
    <t>Total Sponsorship Revenue(Rs)</t>
  </si>
  <si>
    <t>Premium festivals has higher avg price for ticket</t>
  </si>
  <si>
    <t>Higher end festivals may suggest Premium Tickets</t>
  </si>
  <si>
    <t>Merchandise per attendee</t>
  </si>
  <si>
    <t>Merchandise per event</t>
  </si>
  <si>
    <t>Total Merchandise(Rs)</t>
  </si>
  <si>
    <t>Highest Merchandise</t>
  </si>
  <si>
    <t>Lowest Merchandise</t>
  </si>
  <si>
    <t>Merchandise Analysis:-</t>
  </si>
  <si>
    <t>Merchandise Sales contribution towards Total Revenue</t>
  </si>
  <si>
    <t xml:space="preserve">Average contribution of Merchandise from Total Revenue </t>
  </si>
  <si>
    <t>Merchandise per attendee shows attendee engagement and spending pattern</t>
  </si>
  <si>
    <t>Merchandise stratergy can be key point for festival profitability</t>
  </si>
  <si>
    <t>Overall</t>
  </si>
  <si>
    <t>Merchandise Revenue</t>
  </si>
  <si>
    <t>Combined(Spon+Merch)</t>
  </si>
  <si>
    <t xml:space="preserve">Revenue remained </t>
  </si>
  <si>
    <t xml:space="preserve"> </t>
  </si>
  <si>
    <t>Regional Preferences and Expansion Opportunities</t>
  </si>
  <si>
    <t>Count of Genre</t>
  </si>
  <si>
    <t>Column Labels</t>
  </si>
  <si>
    <t>Dominant Genre</t>
  </si>
  <si>
    <t>Most Events Genre</t>
  </si>
  <si>
    <t>Most Attendance Genre</t>
  </si>
  <si>
    <t>Avg Revenue/Event</t>
  </si>
  <si>
    <t>Performance Tier</t>
  </si>
  <si>
    <t>Rank</t>
  </si>
  <si>
    <t>AvgAttendance per event</t>
  </si>
  <si>
    <t>Genre Aligned</t>
  </si>
  <si>
    <t>Bollywood dominates most cities as preferred genre with highest count</t>
  </si>
  <si>
    <t>Goa has the most genre with strong Bollywood, EDM, Hip hop and Rock presence</t>
  </si>
  <si>
    <t>City like Goa has the most events with different genre with perfect market fit(Most Attendance and Most Genre)</t>
  </si>
  <si>
    <t>How does total revenue correlate with  with Total Attendees across different cities?</t>
  </si>
  <si>
    <t>Revenue per attendee</t>
  </si>
  <si>
    <t>Correlation of Revenue and Attendance</t>
  </si>
  <si>
    <t xml:space="preserve">Strong Correlation </t>
  </si>
  <si>
    <t>Highest Revenue Per Attendee</t>
  </si>
  <si>
    <t>Revenue/Attendee</t>
  </si>
  <si>
    <t>Highest Total Revenue</t>
  </si>
  <si>
    <t>Highest Total Attendance</t>
  </si>
  <si>
    <t xml:space="preserve">HIGHEST REVENUE PER ATTENDEE cities are the most profitable per person </t>
  </si>
  <si>
    <t>Cities with HIGH TOTAL REVENUE but LOW Revenue/Attendee indicate volume-driven markets (mass appeal, lower ticket prices)</t>
  </si>
  <si>
    <t>A POSITIVE CORRELATION between Revenue and Attendance confirms that drawing more crowds leads to higher revenue</t>
  </si>
  <si>
    <t>Revenue and Attendee correlation:-</t>
  </si>
  <si>
    <t>Avg Ticket Price</t>
  </si>
  <si>
    <t>Month</t>
  </si>
  <si>
    <t>Revenue</t>
  </si>
  <si>
    <t>Attendance</t>
  </si>
  <si>
    <t>% of Total</t>
  </si>
  <si>
    <t>December</t>
  </si>
  <si>
    <t>August</t>
  </si>
  <si>
    <t>September</t>
  </si>
  <si>
    <t>Events</t>
  </si>
  <si>
    <t>Category</t>
  </si>
  <si>
    <t>Sponsorship %</t>
  </si>
  <si>
    <t>Merch %</t>
  </si>
  <si>
    <t>Ziro Festival</t>
  </si>
  <si>
    <t>Magnetic Fields</t>
  </si>
  <si>
    <t>Avg Sponsorship:</t>
  </si>
  <si>
    <t>Dashboard consolidates key insights from Stage2 (Seasonality &amp; Cities), Stage3 (Pricing), Stage4 (Artists &amp; Genre), Stage5 (Sponsorship), Stage6 (Regional Preferences)</t>
  </si>
  <si>
    <t>KEY PERFORMANCE METRICS</t>
  </si>
  <si>
    <t>PEAK SEASON ANALYSIS (Stage2)</t>
  </si>
  <si>
    <t xml:space="preserve"> INTERNATIONAL VS LOCAL ARTISTS (Stage4)</t>
  </si>
  <si>
    <t>STRATEGIC RECOMMENDATIONS</t>
  </si>
  <si>
    <t>Goa leads with highest attendance - festival hotspot</t>
  </si>
  <si>
    <t>Dec &amp; Aug are best months (14.5% &amp; 14.2% revenue share)</t>
  </si>
  <si>
    <t>Badshah = Top revenue; Diljit = Best per-event avg (31,513)</t>
  </si>
  <si>
    <t>Sponsorship avg 4.5% of revenue; Merch avg 8.73%</t>
  </si>
  <si>
    <t>Local artists = 2.8x more events; International = Higher ticket price</t>
  </si>
  <si>
    <t>Total_Revenue1 (Rs)</t>
  </si>
  <si>
    <t>Total_Attendance1</t>
  </si>
  <si>
    <t>INDIA MUSIC FESTIVAL ANALYTICS DASHBOARD 2024</t>
  </si>
  <si>
    <t>The data used in this project is purely for demonstration purposes and does not represent real-world information.</t>
  </si>
  <si>
    <r>
      <rPr>
        <b/>
        <u/>
        <sz val="11"/>
        <color theme="1"/>
        <rFont val="Aptos Narrow"/>
        <family val="2"/>
        <scheme val="minor"/>
      </rPr>
      <t>TIMING</t>
    </r>
    <r>
      <rPr>
        <b/>
        <sz val="11"/>
        <color theme="1"/>
        <rFont val="Aptos Narrow"/>
        <family val="2"/>
        <scheme val="minor"/>
      </rPr>
      <t>: Focus on December &amp; August for maximum revenue</t>
    </r>
  </si>
  <si>
    <r>
      <rPr>
        <b/>
        <u/>
        <sz val="11"/>
        <color theme="1"/>
        <rFont val="Aptos Narrow"/>
        <family val="2"/>
        <scheme val="minor"/>
      </rPr>
      <t>LOCATION</t>
    </r>
    <r>
      <rPr>
        <b/>
        <sz val="11"/>
        <color theme="1"/>
        <rFont val="Aptos Narrow"/>
        <family val="2"/>
        <scheme val="minor"/>
      </rPr>
      <t>: Goa is the festival hotspot; expand in Nagpur, Jaipur</t>
    </r>
  </si>
  <si>
    <r>
      <rPr>
        <b/>
        <u/>
        <sz val="11"/>
        <color theme="1"/>
        <rFont val="Aptos Narrow"/>
        <family val="2"/>
        <scheme val="minor"/>
      </rPr>
      <t>PRICING:</t>
    </r>
    <r>
      <rPr>
        <b/>
        <sz val="11"/>
        <color theme="1"/>
        <rFont val="Aptos Narrow"/>
        <family val="2"/>
        <scheme val="minor"/>
      </rPr>
      <t xml:space="preserve"> Optimal ticket range ₹2,500-3,500 (25% attendance)</t>
    </r>
  </si>
  <si>
    <r>
      <rPr>
        <b/>
        <u/>
        <sz val="11"/>
        <color theme="1"/>
        <rFont val="Aptos Narrow"/>
        <family val="2"/>
        <scheme val="minor"/>
      </rPr>
      <t>ARTISTS</t>
    </r>
    <r>
      <rPr>
        <b/>
        <sz val="11"/>
        <color theme="1"/>
        <rFont val="Aptos Narrow"/>
        <family val="2"/>
        <scheme val="minor"/>
      </rPr>
      <t>: Book Badshah/Diljit for max turnout &amp; revenue</t>
    </r>
  </si>
  <si>
    <r>
      <rPr>
        <b/>
        <u/>
        <sz val="11"/>
        <color theme="1"/>
        <rFont val="Aptos Narrow"/>
        <family val="2"/>
        <scheme val="minor"/>
      </rPr>
      <t>SPONSORSHIP</t>
    </r>
    <r>
      <rPr>
        <b/>
        <sz val="11"/>
        <color theme="1"/>
        <rFont val="Aptos Narrow"/>
        <family val="2"/>
        <scheme val="minor"/>
      </rPr>
      <t>: Premium festivals attract higher sponsorship/attendee</t>
    </r>
  </si>
  <si>
    <t xml:space="preserve">Event Count </t>
  </si>
  <si>
    <t>Total Revenue(Spon+Merch)</t>
  </si>
  <si>
    <t>Spon+Merch</t>
  </si>
  <si>
    <t>TOP 5 SPONSORSHIP &amp; MERCHANDISE CONTRIBUTION (Stage5)</t>
  </si>
  <si>
    <t>TOP 5 ARTISTS PERFORMANCE (Stage4)</t>
  </si>
  <si>
    <t xml:space="preserve"> TOP 5 CITIES BY PERFORMANCE(Stage2)</t>
  </si>
  <si>
    <t>Count of Events</t>
  </si>
  <si>
    <r>
      <rPr>
        <b/>
        <u/>
        <sz val="11"/>
        <color theme="1"/>
        <rFont val="Aptos Narrow"/>
        <family val="2"/>
        <scheme val="minor"/>
      </rPr>
      <t>GENRE</t>
    </r>
    <r>
      <rPr>
        <b/>
        <sz val="11"/>
        <color theme="1"/>
        <rFont val="Aptos Narrow"/>
        <family val="2"/>
        <scheme val="minor"/>
      </rPr>
      <t>: Bollywood dominates; add EDM for Jaipur</t>
    </r>
  </si>
  <si>
    <t>Avg Revenue / Event</t>
  </si>
  <si>
    <t>Avg Attendance/Event</t>
  </si>
  <si>
    <r>
      <rPr>
        <b/>
        <u/>
        <sz val="11"/>
        <color theme="1"/>
        <rFont val="Aptos Narrow"/>
        <family val="2"/>
        <scheme val="minor"/>
      </rPr>
      <t>₹2,500-3,500</t>
    </r>
    <r>
      <rPr>
        <b/>
        <sz val="11"/>
        <color theme="1"/>
        <rFont val="Aptos Narrow"/>
        <family val="2"/>
        <scheme val="minor"/>
      </rPr>
      <t xml:space="preserve"> is optimal (highest attendance 25.42%)</t>
    </r>
  </si>
  <si>
    <t>Attedance</t>
  </si>
  <si>
    <t>This Correlation shows that if the value of ticket increases the attendance count goes down.</t>
  </si>
  <si>
    <t>Not drastically but it do affect at some point.</t>
  </si>
  <si>
    <t>INDIA MUSIC FESTIVAL ANALYTICS (2024)</t>
  </si>
  <si>
    <t>Goa has the highest attendance, being the festival hotspot and audience preference.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</si>
</sst>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&quot;₹&quot;\ #,##0.00"/>
    <numFmt numFmtId="167" formatCode="&quot;₹&quot;\ #,##0"/>
    <numFmt numFmtId="168" formatCode="0.0%"/>
    <numFmt numFmtId="169" formatCode="\₹#,##0"/>
    <numFmt numFmtId="196" formatCode="0.00000000000000E+00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u/>
      <sz val="22"/>
      <color rgb="FFFFFFFF"/>
      <name val="Aptos Narrow"/>
      <family val="2"/>
      <scheme val="minor"/>
    </font>
    <font>
      <sz val="22"/>
      <color rgb="FFFFFF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u/>
      <sz val="36"/>
      <color theme="0"/>
      <name val="Aptos Narrow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3DB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6">
    <xf numFmtId="0" fontId="0" fillId="0" borderId="0" xfId="0"/>
    <xf numFmtId="14" fontId="0" fillId="0" borderId="0" xfId="0" applyNumberFormat="1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0" borderId="12" xfId="0" applyBorder="1"/>
    <xf numFmtId="164" fontId="0" fillId="34" borderId="0" xfId="0" applyNumberFormat="1" applyFill="1"/>
    <xf numFmtId="0" fontId="0" fillId="33" borderId="13" xfId="0" applyFill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34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5" borderId="0" xfId="0" applyFill="1"/>
    <xf numFmtId="0" fontId="18" fillId="36" borderId="0" xfId="0" applyFont="1" applyFill="1"/>
    <xf numFmtId="0" fontId="0" fillId="37" borderId="0" xfId="0" applyFill="1"/>
    <xf numFmtId="0" fontId="19" fillId="38" borderId="0" xfId="0" applyFont="1" applyFill="1"/>
    <xf numFmtId="0" fontId="16" fillId="0" borderId="0" xfId="0" applyFont="1"/>
    <xf numFmtId="0" fontId="23" fillId="38" borderId="0" xfId="0" applyFont="1" applyFill="1"/>
    <xf numFmtId="14" fontId="23" fillId="38" borderId="0" xfId="0" applyNumberFormat="1" applyFont="1" applyFill="1"/>
    <xf numFmtId="0" fontId="0" fillId="43" borderId="0" xfId="0" applyFill="1"/>
    <xf numFmtId="0" fontId="18" fillId="0" borderId="0" xfId="0" applyFont="1"/>
    <xf numFmtId="0" fontId="0" fillId="35" borderId="14" xfId="0" applyFill="1" applyBorder="1"/>
    <xf numFmtId="0" fontId="0" fillId="34" borderId="14" xfId="0" applyFill="1" applyBorder="1"/>
    <xf numFmtId="1" fontId="0" fillId="0" borderId="0" xfId="0" applyNumberFormat="1"/>
    <xf numFmtId="0" fontId="0" fillId="45" borderId="0" xfId="0" applyFill="1"/>
    <xf numFmtId="165" fontId="0" fillId="0" borderId="12" xfId="1" applyNumberFormat="1" applyFont="1" applyBorder="1"/>
    <xf numFmtId="0" fontId="16" fillId="0" borderId="12" xfId="0" applyFont="1" applyBorder="1"/>
    <xf numFmtId="165" fontId="16" fillId="0" borderId="12" xfId="1" applyNumberFormat="1" applyFont="1" applyBorder="1"/>
    <xf numFmtId="0" fontId="0" fillId="42" borderId="12" xfId="0" applyFill="1" applyBorder="1"/>
    <xf numFmtId="14" fontId="0" fillId="42" borderId="12" xfId="0" applyNumberFormat="1" applyFill="1" applyBorder="1"/>
    <xf numFmtId="2" fontId="0" fillId="0" borderId="12" xfId="0" applyNumberFormat="1" applyBorder="1"/>
    <xf numFmtId="0" fontId="19" fillId="43" borderId="12" xfId="0" applyFont="1" applyFill="1" applyBorder="1"/>
    <xf numFmtId="0" fontId="0" fillId="37" borderId="12" xfId="0" applyFill="1" applyBorder="1"/>
    <xf numFmtId="167" fontId="0" fillId="0" borderId="12" xfId="0" applyNumberFormat="1" applyBorder="1"/>
    <xf numFmtId="2" fontId="0" fillId="33" borderId="15" xfId="0" applyNumberFormat="1" applyFill="1" applyBorder="1"/>
    <xf numFmtId="0" fontId="16" fillId="0" borderId="12" xfId="0" applyFont="1" applyBorder="1" applyAlignment="1">
      <alignment horizontal="left"/>
    </xf>
    <xf numFmtId="0" fontId="16" fillId="0" borderId="0" xfId="0" applyFont="1" applyAlignment="1">
      <alignment horizontal="left"/>
    </xf>
    <xf numFmtId="167" fontId="0" fillId="0" borderId="12" xfId="1" applyNumberFormat="1" applyFont="1" applyBorder="1"/>
    <xf numFmtId="167" fontId="16" fillId="0" borderId="12" xfId="1" applyNumberFormat="1" applyFont="1" applyBorder="1"/>
    <xf numFmtId="166" fontId="16" fillId="0" borderId="12" xfId="0" applyNumberFormat="1" applyFont="1" applyBorder="1"/>
    <xf numFmtId="10" fontId="16" fillId="0" borderId="12" xfId="0" applyNumberFormat="1" applyFont="1" applyBorder="1"/>
    <xf numFmtId="167" fontId="16" fillId="0" borderId="0" xfId="1" applyNumberFormat="1" applyFont="1" applyBorder="1"/>
    <xf numFmtId="166" fontId="16" fillId="0" borderId="0" xfId="0" applyNumberFormat="1" applyFont="1"/>
    <xf numFmtId="0" fontId="0" fillId="0" borderId="20" xfId="0" applyBorder="1"/>
    <xf numFmtId="0" fontId="0" fillId="0" borderId="24" xfId="0" applyBorder="1"/>
    <xf numFmtId="10" fontId="0" fillId="0" borderId="15" xfId="0" applyNumberFormat="1" applyBorder="1"/>
    <xf numFmtId="0" fontId="0" fillId="0" borderId="28" xfId="0" applyBorder="1"/>
    <xf numFmtId="0" fontId="16" fillId="0" borderId="28" xfId="0" applyFont="1" applyBorder="1"/>
    <xf numFmtId="167" fontId="16" fillId="0" borderId="20" xfId="1" applyNumberFormat="1" applyFont="1" applyBorder="1"/>
    <xf numFmtId="9" fontId="16" fillId="0" borderId="29" xfId="0" applyNumberFormat="1" applyFont="1" applyBorder="1"/>
    <xf numFmtId="0" fontId="16" fillId="0" borderId="24" xfId="0" applyFont="1" applyBorder="1"/>
    <xf numFmtId="167" fontId="16" fillId="0" borderId="12" xfId="0" applyNumberFormat="1" applyFont="1" applyBorder="1"/>
    <xf numFmtId="168" fontId="16" fillId="0" borderId="15" xfId="0" applyNumberFormat="1" applyFont="1" applyBorder="1"/>
    <xf numFmtId="0" fontId="16" fillId="0" borderId="25" xfId="0" applyFont="1" applyBorder="1"/>
    <xf numFmtId="167" fontId="16" fillId="0" borderId="26" xfId="0" applyNumberFormat="1" applyFont="1" applyBorder="1"/>
    <xf numFmtId="168" fontId="16" fillId="0" borderId="27" xfId="0" applyNumberFormat="1" applyFont="1" applyBorder="1"/>
    <xf numFmtId="0" fontId="0" fillId="0" borderId="29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2" fontId="0" fillId="0" borderId="15" xfId="0" applyNumberFormat="1" applyBorder="1"/>
    <xf numFmtId="1" fontId="0" fillId="0" borderId="15" xfId="0" applyNumberFormat="1" applyBorder="1"/>
    <xf numFmtId="1" fontId="0" fillId="0" borderId="27" xfId="0" applyNumberFormat="1" applyBorder="1"/>
    <xf numFmtId="166" fontId="0" fillId="0" borderId="15" xfId="0" applyNumberFormat="1" applyBorder="1"/>
    <xf numFmtId="167" fontId="0" fillId="0" borderId="15" xfId="0" applyNumberFormat="1" applyBorder="1"/>
    <xf numFmtId="167" fontId="0" fillId="0" borderId="27" xfId="0" applyNumberFormat="1" applyBorder="1"/>
    <xf numFmtId="165" fontId="0" fillId="0" borderId="15" xfId="1" applyNumberFormat="1" applyFont="1" applyBorder="1"/>
    <xf numFmtId="165" fontId="0" fillId="0" borderId="27" xfId="1" applyNumberFormat="1" applyFont="1" applyBorder="1"/>
    <xf numFmtId="0" fontId="21" fillId="0" borderId="13" xfId="0" applyFont="1" applyBorder="1"/>
    <xf numFmtId="0" fontId="16" fillId="41" borderId="24" xfId="0" applyFont="1" applyFill="1" applyBorder="1"/>
    <xf numFmtId="0" fontId="16" fillId="41" borderId="15" xfId="0" applyFont="1" applyFill="1" applyBorder="1"/>
    <xf numFmtId="0" fontId="0" fillId="42" borderId="24" xfId="0" applyFill="1" applyBorder="1"/>
    <xf numFmtId="0" fontId="0" fillId="42" borderId="15" xfId="0" applyFill="1" applyBorder="1"/>
    <xf numFmtId="0" fontId="22" fillId="0" borderId="13" xfId="0" applyFont="1" applyBorder="1"/>
    <xf numFmtId="167" fontId="0" fillId="0" borderId="0" xfId="0" applyNumberFormat="1"/>
    <xf numFmtId="0" fontId="16" fillId="0" borderId="13" xfId="0" applyFont="1" applyBorder="1"/>
    <xf numFmtId="0" fontId="16" fillId="0" borderId="13" xfId="0" applyFont="1" applyBorder="1" applyAlignment="1">
      <alignment horizontal="left"/>
    </xf>
    <xf numFmtId="0" fontId="25" fillId="0" borderId="0" xfId="0" applyFont="1"/>
    <xf numFmtId="0" fontId="24" fillId="0" borderId="0" xfId="0" applyFont="1"/>
    <xf numFmtId="0" fontId="0" fillId="0" borderId="22" xfId="0" applyBorder="1"/>
    <xf numFmtId="0" fontId="0" fillId="0" borderId="23" xfId="0" applyBorder="1"/>
    <xf numFmtId="10" fontId="0" fillId="0" borderId="14" xfId="0" applyNumberFormat="1" applyBorder="1"/>
    <xf numFmtId="165" fontId="0" fillId="0" borderId="17" xfId="0" applyNumberFormat="1" applyBorder="1"/>
    <xf numFmtId="165" fontId="0" fillId="0" borderId="14" xfId="0" applyNumberFormat="1" applyBorder="1"/>
    <xf numFmtId="165" fontId="0" fillId="0" borderId="18" xfId="0" applyNumberFormat="1" applyBorder="1"/>
    <xf numFmtId="0" fontId="0" fillId="0" borderId="24" xfId="0" applyBorder="1" applyAlignment="1">
      <alignment horizontal="left"/>
    </xf>
    <xf numFmtId="0" fontId="27" fillId="0" borderId="13" xfId="0" applyFont="1" applyBorder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0" fillId="0" borderId="25" xfId="0" applyBorder="1" applyAlignment="1">
      <alignment horizontal="left"/>
    </xf>
    <xf numFmtId="0" fontId="16" fillId="0" borderId="15" xfId="0" applyFont="1" applyBorder="1"/>
    <xf numFmtId="0" fontId="16" fillId="0" borderId="26" xfId="0" applyFont="1" applyBorder="1"/>
    <xf numFmtId="165" fontId="16" fillId="0" borderId="26" xfId="1" applyNumberFormat="1" applyFont="1" applyBorder="1"/>
    <xf numFmtId="0" fontId="16" fillId="0" borderId="27" xfId="0" applyFont="1" applyBorder="1"/>
    <xf numFmtId="0" fontId="28" fillId="0" borderId="0" xfId="0" applyFont="1"/>
    <xf numFmtId="1" fontId="0" fillId="0" borderId="17" xfId="0" applyNumberFormat="1" applyBorder="1"/>
    <xf numFmtId="0" fontId="16" fillId="46" borderId="33" xfId="0" applyFont="1" applyFill="1" applyBorder="1"/>
    <xf numFmtId="0" fontId="16" fillId="46" borderId="34" xfId="0" applyFont="1" applyFill="1" applyBorder="1"/>
    <xf numFmtId="0" fontId="16" fillId="46" borderId="35" xfId="0" applyFont="1" applyFill="1" applyBorder="1"/>
    <xf numFmtId="165" fontId="0" fillId="0" borderId="26" xfId="1" applyNumberFormat="1" applyFont="1" applyBorder="1"/>
    <xf numFmtId="167" fontId="0" fillId="0" borderId="26" xfId="1" applyNumberFormat="1" applyFont="1" applyBorder="1"/>
    <xf numFmtId="167" fontId="0" fillId="0" borderId="26" xfId="0" applyNumberFormat="1" applyBorder="1"/>
    <xf numFmtId="2" fontId="16" fillId="46" borderId="26" xfId="0" applyNumberFormat="1" applyFont="1" applyFill="1" applyBorder="1"/>
    <xf numFmtId="0" fontId="16" fillId="46" borderId="27" xfId="0" applyFont="1" applyFill="1" applyBorder="1"/>
    <xf numFmtId="0" fontId="0" fillId="0" borderId="33" xfId="0" pivotButton="1" applyBorder="1"/>
    <xf numFmtId="0" fontId="0" fillId="0" borderId="34" xfId="0" applyBorder="1"/>
    <xf numFmtId="10" fontId="16" fillId="46" borderId="27" xfId="0" applyNumberFormat="1" applyFont="1" applyFill="1" applyBorder="1"/>
    <xf numFmtId="166" fontId="16" fillId="0" borderId="15" xfId="0" applyNumberFormat="1" applyFont="1" applyBorder="1"/>
    <xf numFmtId="167" fontId="16" fillId="0" borderId="26" xfId="1" applyNumberFormat="1" applyFont="1" applyBorder="1"/>
    <xf numFmtId="166" fontId="16" fillId="0" borderId="26" xfId="0" applyNumberFormat="1" applyFont="1" applyBorder="1"/>
    <xf numFmtId="166" fontId="16" fillId="0" borderId="27" xfId="0" applyNumberFormat="1" applyFont="1" applyBorder="1"/>
    <xf numFmtId="165" fontId="16" fillId="46" borderId="26" xfId="1" applyNumberFormat="1" applyFont="1" applyFill="1" applyBorder="1"/>
    <xf numFmtId="0" fontId="16" fillId="0" borderId="24" xfId="0" applyFont="1" applyBorder="1" applyAlignment="1">
      <alignment wrapText="1"/>
    </xf>
    <xf numFmtId="0" fontId="16" fillId="0" borderId="21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2" fontId="16" fillId="0" borderId="15" xfId="0" applyNumberFormat="1" applyFont="1" applyBorder="1"/>
    <xf numFmtId="10" fontId="16" fillId="0" borderId="15" xfId="1" applyNumberFormat="1" applyFont="1" applyBorder="1"/>
    <xf numFmtId="0" fontId="16" fillId="0" borderId="25" xfId="0" applyFont="1" applyBorder="1" applyAlignment="1">
      <alignment horizontal="left"/>
    </xf>
    <xf numFmtId="166" fontId="16" fillId="0" borderId="27" xfId="1" applyNumberFormat="1" applyFont="1" applyBorder="1"/>
    <xf numFmtId="0" fontId="21" fillId="0" borderId="21" xfId="0" applyFont="1" applyBorder="1"/>
    <xf numFmtId="0" fontId="16" fillId="41" borderId="33" xfId="0" applyFont="1" applyFill="1" applyBorder="1"/>
    <xf numFmtId="0" fontId="16" fillId="41" borderId="34" xfId="0" applyFont="1" applyFill="1" applyBorder="1"/>
    <xf numFmtId="0" fontId="16" fillId="41" borderId="35" xfId="0" applyFont="1" applyFill="1" applyBorder="1"/>
    <xf numFmtId="0" fontId="0" fillId="42" borderId="25" xfId="0" applyFill="1" applyBorder="1"/>
    <xf numFmtId="0" fontId="0" fillId="42" borderId="26" xfId="0" applyFill="1" applyBorder="1"/>
    <xf numFmtId="0" fontId="0" fillId="42" borderId="27" xfId="0" applyFill="1" applyBorder="1"/>
    <xf numFmtId="0" fontId="18" fillId="36" borderId="33" xfId="0" applyFont="1" applyFill="1" applyBorder="1"/>
    <xf numFmtId="0" fontId="18" fillId="36" borderId="34" xfId="0" applyFont="1" applyFill="1" applyBorder="1"/>
    <xf numFmtId="0" fontId="18" fillId="36" borderId="35" xfId="0" applyFont="1" applyFill="1" applyBorder="1"/>
    <xf numFmtId="0" fontId="17" fillId="43" borderId="26" xfId="0" applyFont="1" applyFill="1" applyBorder="1"/>
    <xf numFmtId="167" fontId="0" fillId="0" borderId="15" xfId="2" applyNumberFormat="1" applyFont="1" applyBorder="1"/>
    <xf numFmtId="0" fontId="0" fillId="0" borderId="19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33" borderId="0" xfId="0" applyFill="1" applyAlignment="1">
      <alignment horizontal="center"/>
    </xf>
    <xf numFmtId="0" fontId="0" fillId="33" borderId="14" xfId="0" applyFill="1" applyBorder="1" applyAlignment="1">
      <alignment horizontal="center"/>
    </xf>
    <xf numFmtId="0" fontId="20" fillId="40" borderId="10" xfId="0" applyFont="1" applyFill="1" applyBorder="1" applyAlignment="1">
      <alignment horizontal="center"/>
    </xf>
    <xf numFmtId="0" fontId="0" fillId="0" borderId="19" xfId="0" applyBorder="1"/>
    <xf numFmtId="0" fontId="0" fillId="0" borderId="11" xfId="0" applyBorder="1"/>
    <xf numFmtId="0" fontId="16" fillId="0" borderId="24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0" xfId="0" applyFont="1"/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48" borderId="0" xfId="0" applyFont="1" applyFill="1" applyBorder="1" applyAlignment="1">
      <alignment horizontal="center"/>
    </xf>
    <xf numFmtId="0" fontId="0" fillId="0" borderId="0" xfId="0" applyBorder="1"/>
    <xf numFmtId="169" fontId="0" fillId="0" borderId="0" xfId="0" applyNumberFormat="1" applyBorder="1"/>
    <xf numFmtId="3" fontId="0" fillId="0" borderId="0" xfId="0" applyNumberFormat="1" applyBorder="1"/>
    <xf numFmtId="10" fontId="0" fillId="0" borderId="0" xfId="0" applyNumberFormat="1" applyBorder="1"/>
    <xf numFmtId="0" fontId="16" fillId="0" borderId="0" xfId="0" applyFont="1" applyBorder="1"/>
    <xf numFmtId="167" fontId="0" fillId="0" borderId="0" xfId="0" applyNumberFormat="1" applyBorder="1"/>
    <xf numFmtId="0" fontId="0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NumberFormat="1" applyBorder="1"/>
    <xf numFmtId="0" fontId="0" fillId="0" borderId="14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21" xfId="0" applyNumberFormat="1" applyBorder="1"/>
    <xf numFmtId="0" fontId="0" fillId="0" borderId="23" xfId="0" applyNumberFormat="1" applyBorder="1"/>
    <xf numFmtId="0" fontId="0" fillId="0" borderId="13" xfId="0" applyNumberFormat="1" applyBorder="1"/>
    <xf numFmtId="0" fontId="0" fillId="0" borderId="16" xfId="0" applyNumberFormat="1" applyBorder="1"/>
    <xf numFmtId="0" fontId="0" fillId="0" borderId="37" xfId="0" pivotButton="1" applyBorder="1"/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10" xfId="0" applyBorder="1"/>
    <xf numFmtId="0" fontId="31" fillId="47" borderId="21" xfId="0" applyFont="1" applyFill="1" applyBorder="1"/>
    <xf numFmtId="0" fontId="0" fillId="47" borderId="22" xfId="0" applyFill="1" applyBorder="1"/>
    <xf numFmtId="0" fontId="0" fillId="47" borderId="23" xfId="0" applyFill="1" applyBorder="1"/>
    <xf numFmtId="0" fontId="16" fillId="48" borderId="13" xfId="0" applyFont="1" applyFill="1" applyBorder="1" applyAlignment="1">
      <alignment horizontal="center"/>
    </xf>
    <xf numFmtId="0" fontId="16" fillId="48" borderId="14" xfId="0" applyFont="1" applyFill="1" applyBorder="1" applyAlignment="1">
      <alignment horizontal="center"/>
    </xf>
    <xf numFmtId="169" fontId="30" fillId="49" borderId="16" xfId="0" applyNumberFormat="1" applyFont="1" applyFill="1" applyBorder="1" applyAlignment="1">
      <alignment horizontal="center"/>
    </xf>
    <xf numFmtId="3" fontId="30" fillId="49" borderId="17" xfId="0" applyNumberFormat="1" applyFont="1" applyFill="1" applyBorder="1" applyAlignment="1">
      <alignment horizontal="center"/>
    </xf>
    <xf numFmtId="0" fontId="30" fillId="49" borderId="17" xfId="0" applyFont="1" applyFill="1" applyBorder="1" applyAlignment="1">
      <alignment horizontal="center"/>
    </xf>
    <xf numFmtId="169" fontId="30" fillId="49" borderId="18" xfId="0" applyNumberFormat="1" applyFont="1" applyFill="1" applyBorder="1" applyAlignment="1">
      <alignment horizontal="center"/>
    </xf>
    <xf numFmtId="0" fontId="32" fillId="50" borderId="21" xfId="0" applyFont="1" applyFill="1" applyBorder="1"/>
    <xf numFmtId="0" fontId="0" fillId="50" borderId="22" xfId="0" applyFill="1" applyBorder="1"/>
    <xf numFmtId="0" fontId="0" fillId="50" borderId="23" xfId="0" applyFill="1" applyBorder="1"/>
    <xf numFmtId="0" fontId="16" fillId="51" borderId="13" xfId="0" applyFont="1" applyFill="1" applyBorder="1"/>
    <xf numFmtId="169" fontId="0" fillId="0" borderId="14" xfId="0" applyNumberFormat="1" applyBorder="1"/>
    <xf numFmtId="10" fontId="16" fillId="0" borderId="0" xfId="0" applyNumberFormat="1" applyFont="1" applyBorder="1"/>
    <xf numFmtId="0" fontId="32" fillId="54" borderId="21" xfId="0" applyFont="1" applyFill="1" applyBorder="1"/>
    <xf numFmtId="0" fontId="0" fillId="54" borderId="22" xfId="0" applyFill="1" applyBorder="1"/>
    <xf numFmtId="0" fontId="0" fillId="54" borderId="23" xfId="0" applyFill="1" applyBorder="1"/>
    <xf numFmtId="0" fontId="16" fillId="41" borderId="13" xfId="0" applyFont="1" applyFill="1" applyBorder="1"/>
    <xf numFmtId="0" fontId="28" fillId="52" borderId="16" xfId="0" applyFont="1" applyFill="1" applyBorder="1"/>
    <xf numFmtId="0" fontId="16" fillId="52" borderId="17" xfId="0" applyFont="1" applyFill="1" applyBorder="1"/>
    <xf numFmtId="0" fontId="16" fillId="52" borderId="18" xfId="0" applyFont="1" applyFill="1" applyBorder="1"/>
    <xf numFmtId="0" fontId="29" fillId="0" borderId="0" xfId="0" applyFont="1" applyFill="1" applyAlignment="1"/>
    <xf numFmtId="0" fontId="33" fillId="57" borderId="13" xfId="0" applyFont="1" applyFill="1" applyBorder="1" applyAlignment="1">
      <alignment horizontal="center"/>
    </xf>
    <xf numFmtId="0" fontId="33" fillId="57" borderId="0" xfId="0" applyFont="1" applyFill="1" applyBorder="1" applyAlignment="1">
      <alignment horizontal="center"/>
    </xf>
    <xf numFmtId="0" fontId="33" fillId="57" borderId="14" xfId="0" applyFont="1" applyFill="1" applyBorder="1" applyAlignment="1">
      <alignment horizontal="center"/>
    </xf>
    <xf numFmtId="0" fontId="34" fillId="58" borderId="16" xfId="0" applyFont="1" applyFill="1" applyBorder="1" applyAlignment="1">
      <alignment horizontal="center"/>
    </xf>
    <xf numFmtId="0" fontId="34" fillId="58" borderId="17" xfId="0" applyFont="1" applyFill="1" applyBorder="1" applyAlignment="1">
      <alignment horizontal="center"/>
    </xf>
    <xf numFmtId="0" fontId="34" fillId="58" borderId="18" xfId="0" applyFont="1" applyFill="1" applyBorder="1" applyAlignment="1">
      <alignment horizontal="center"/>
    </xf>
    <xf numFmtId="0" fontId="35" fillId="40" borderId="10" xfId="0" applyFont="1" applyFill="1" applyBorder="1" applyAlignment="1">
      <alignment horizontal="center"/>
    </xf>
    <xf numFmtId="0" fontId="35" fillId="40" borderId="19" xfId="0" applyFont="1" applyFill="1" applyBorder="1" applyAlignment="1">
      <alignment horizontal="center"/>
    </xf>
    <xf numFmtId="0" fontId="35" fillId="40" borderId="11" xfId="0" applyFont="1" applyFill="1" applyBorder="1" applyAlignment="1">
      <alignment horizontal="center"/>
    </xf>
    <xf numFmtId="0" fontId="36" fillId="44" borderId="10" xfId="0" applyFont="1" applyFill="1" applyBorder="1" applyAlignment="1">
      <alignment horizontal="center"/>
    </xf>
    <xf numFmtId="0" fontId="36" fillId="44" borderId="19" xfId="0" applyFont="1" applyFill="1" applyBorder="1" applyAlignment="1">
      <alignment horizontal="center"/>
    </xf>
    <xf numFmtId="0" fontId="36" fillId="44" borderId="11" xfId="0" applyFont="1" applyFill="1" applyBorder="1" applyAlignment="1">
      <alignment horizontal="center"/>
    </xf>
    <xf numFmtId="1" fontId="0" fillId="0" borderId="14" xfId="0" applyNumberFormat="1" applyBorder="1"/>
    <xf numFmtId="1" fontId="0" fillId="0" borderId="0" xfId="0" applyNumberFormat="1" applyBorder="1"/>
    <xf numFmtId="43" fontId="0" fillId="0" borderId="0" xfId="0" applyNumberFormat="1"/>
    <xf numFmtId="165" fontId="0" fillId="0" borderId="0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0" borderId="13" xfId="0" applyNumberFormat="1" applyBorder="1"/>
    <xf numFmtId="165" fontId="0" fillId="0" borderId="16" xfId="0" applyNumberFormat="1" applyBorder="1"/>
    <xf numFmtId="0" fontId="0" fillId="0" borderId="37" xfId="0" applyBorder="1"/>
    <xf numFmtId="0" fontId="16" fillId="41" borderId="0" xfId="0" applyFont="1" applyFill="1" applyBorder="1" applyAlignment="1">
      <alignment horizontal="center"/>
    </xf>
    <xf numFmtId="0" fontId="16" fillId="41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right"/>
    </xf>
    <xf numFmtId="169" fontId="0" fillId="0" borderId="14" xfId="0" applyNumberFormat="1" applyBorder="1" applyAlignment="1">
      <alignment horizontal="right"/>
    </xf>
    <xf numFmtId="0" fontId="16" fillId="51" borderId="0" xfId="0" applyFont="1" applyFill="1" applyBorder="1" applyAlignment="1">
      <alignment horizontal="center"/>
    </xf>
    <xf numFmtId="0" fontId="16" fillId="51" borderId="14" xfId="0" applyFont="1" applyFill="1" applyBorder="1" applyAlignment="1">
      <alignment horizontal="center"/>
    </xf>
    <xf numFmtId="0" fontId="16" fillId="46" borderId="41" xfId="0" applyFont="1" applyFill="1" applyBorder="1"/>
    <xf numFmtId="10" fontId="0" fillId="0" borderId="36" xfId="0" applyNumberFormat="1" applyBorder="1"/>
    <xf numFmtId="10" fontId="16" fillId="46" borderId="42" xfId="0" applyNumberFormat="1" applyFont="1" applyFill="1" applyBorder="1"/>
    <xf numFmtId="0" fontId="16" fillId="46" borderId="43" xfId="0" applyFont="1" applyFill="1" applyBorder="1"/>
    <xf numFmtId="10" fontId="0" fillId="0" borderId="44" xfId="0" applyNumberFormat="1" applyBorder="1"/>
    <xf numFmtId="10" fontId="16" fillId="46" borderId="45" xfId="0" applyNumberFormat="1" applyFont="1" applyFill="1" applyBorder="1"/>
    <xf numFmtId="0" fontId="32" fillId="59" borderId="21" xfId="0" applyFont="1" applyFill="1" applyBorder="1"/>
    <xf numFmtId="0" fontId="0" fillId="59" borderId="22" xfId="0" applyFill="1" applyBorder="1"/>
    <xf numFmtId="0" fontId="0" fillId="59" borderId="23" xfId="0" applyFill="1" applyBorder="1"/>
    <xf numFmtId="0" fontId="16" fillId="60" borderId="13" xfId="0" applyFont="1" applyFill="1" applyBorder="1"/>
    <xf numFmtId="0" fontId="16" fillId="60" borderId="0" xfId="0" applyFont="1" applyFill="1" applyBorder="1" applyAlignment="1">
      <alignment horizontal="center"/>
    </xf>
    <xf numFmtId="0" fontId="16" fillId="60" borderId="14" xfId="0" applyFont="1" applyFill="1" applyBorder="1" applyAlignment="1">
      <alignment horizontal="center"/>
    </xf>
    <xf numFmtId="0" fontId="32" fillId="61" borderId="21" xfId="0" applyFont="1" applyFill="1" applyBorder="1"/>
    <xf numFmtId="0" fontId="0" fillId="61" borderId="22" xfId="0" applyFill="1" applyBorder="1"/>
    <xf numFmtId="0" fontId="0" fillId="61" borderId="23" xfId="0" applyFill="1" applyBorder="1"/>
    <xf numFmtId="0" fontId="16" fillId="62" borderId="13" xfId="0" applyFont="1" applyFill="1" applyBorder="1"/>
    <xf numFmtId="0" fontId="16" fillId="62" borderId="0" xfId="0" applyFont="1" applyFill="1" applyBorder="1" applyAlignment="1">
      <alignment horizontal="center"/>
    </xf>
    <xf numFmtId="0" fontId="16" fillId="62" borderId="14" xfId="0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65" fontId="0" fillId="0" borderId="0" xfId="1" applyNumberFormat="1" applyFont="1" applyBorder="1"/>
    <xf numFmtId="165" fontId="0" fillId="0" borderId="0" xfId="1" applyNumberFormat="1" applyFont="1" applyBorder="1" applyAlignment="1">
      <alignment horizontal="right"/>
    </xf>
    <xf numFmtId="169" fontId="16" fillId="0" borderId="14" xfId="0" applyNumberFormat="1" applyFont="1" applyBorder="1"/>
    <xf numFmtId="1" fontId="0" fillId="0" borderId="21" xfId="0" applyNumberFormat="1" applyBorder="1"/>
    <xf numFmtId="167" fontId="0" fillId="0" borderId="21" xfId="0" applyNumberFormat="1" applyBorder="1"/>
    <xf numFmtId="167" fontId="0" fillId="0" borderId="13" xfId="0" applyNumberFormat="1" applyBorder="1"/>
    <xf numFmtId="1" fontId="0" fillId="0" borderId="12" xfId="0" applyNumberFormat="1" applyBorder="1"/>
    <xf numFmtId="0" fontId="16" fillId="39" borderId="12" xfId="0" applyFont="1" applyFill="1" applyBorder="1"/>
    <xf numFmtId="0" fontId="18" fillId="38" borderId="0" xfId="0" applyFont="1" applyFill="1" applyBorder="1"/>
    <xf numFmtId="0" fontId="21" fillId="0" borderId="24" xfId="0" applyFont="1" applyBorder="1"/>
    <xf numFmtId="196" fontId="0" fillId="0" borderId="0" xfId="0" applyNumberFormat="1" applyBorder="1"/>
    <xf numFmtId="0" fontId="36" fillId="0" borderId="0" xfId="0" applyFont="1" applyFill="1" applyBorder="1" applyAlignment="1"/>
    <xf numFmtId="0" fontId="28" fillId="52" borderId="13" xfId="0" applyFont="1" applyFill="1" applyBorder="1"/>
    <xf numFmtId="0" fontId="16" fillId="52" borderId="0" xfId="0" applyFont="1" applyFill="1" applyBorder="1"/>
    <xf numFmtId="0" fontId="16" fillId="52" borderId="14" xfId="0" applyFont="1" applyFill="1" applyBorder="1"/>
    <xf numFmtId="0" fontId="16" fillId="55" borderId="12" xfId="0" applyFont="1" applyFill="1" applyBorder="1" applyAlignment="1">
      <alignment horizontal="left"/>
    </xf>
    <xf numFmtId="0" fontId="16" fillId="49" borderId="12" xfId="0" applyFont="1" applyFill="1" applyBorder="1" applyAlignment="1">
      <alignment horizontal="left"/>
    </xf>
    <xf numFmtId="0" fontId="16" fillId="53" borderId="12" xfId="0" applyFont="1" applyFill="1" applyBorder="1" applyAlignment="1">
      <alignment horizontal="left"/>
    </xf>
    <xf numFmtId="0" fontId="16" fillId="52" borderId="12" xfId="0" applyFont="1" applyFill="1" applyBorder="1" applyAlignment="1">
      <alignment horizontal="left"/>
    </xf>
    <xf numFmtId="0" fontId="16" fillId="56" borderId="12" xfId="0" applyFont="1" applyFill="1" applyBorder="1" applyAlignment="1">
      <alignment horizontal="left"/>
    </xf>
    <xf numFmtId="0" fontId="16" fillId="48" borderId="12" xfId="0" applyFont="1" applyFill="1" applyBorder="1" applyAlignment="1">
      <alignment horizontal="left"/>
    </xf>
    <xf numFmtId="0" fontId="32" fillId="44" borderId="33" xfId="0" applyFont="1" applyFill="1" applyBorder="1" applyAlignment="1">
      <alignment horizontal="center"/>
    </xf>
    <xf numFmtId="0" fontId="32" fillId="44" borderId="34" xfId="0" applyFont="1" applyFill="1" applyBorder="1" applyAlignment="1">
      <alignment horizontal="center"/>
    </xf>
    <xf numFmtId="0" fontId="32" fillId="44" borderId="35" xfId="0" applyFont="1" applyFill="1" applyBorder="1" applyAlignment="1">
      <alignment horizontal="center"/>
    </xf>
    <xf numFmtId="0" fontId="16" fillId="55" borderId="24" xfId="0" applyFont="1" applyFill="1" applyBorder="1" applyAlignment="1">
      <alignment horizontal="left"/>
    </xf>
    <xf numFmtId="0" fontId="16" fillId="55" borderId="15" xfId="0" applyFont="1" applyFill="1" applyBorder="1" applyAlignment="1">
      <alignment horizontal="left"/>
    </xf>
    <xf numFmtId="0" fontId="16" fillId="49" borderId="24" xfId="0" applyFont="1" applyFill="1" applyBorder="1" applyAlignment="1">
      <alignment horizontal="left"/>
    </xf>
    <xf numFmtId="0" fontId="16" fillId="49" borderId="15" xfId="0" applyFont="1" applyFill="1" applyBorder="1" applyAlignment="1">
      <alignment horizontal="left"/>
    </xf>
    <xf numFmtId="0" fontId="16" fillId="53" borderId="24" xfId="0" applyFont="1" applyFill="1" applyBorder="1" applyAlignment="1">
      <alignment horizontal="left"/>
    </xf>
    <xf numFmtId="0" fontId="16" fillId="53" borderId="15" xfId="0" applyFont="1" applyFill="1" applyBorder="1" applyAlignment="1">
      <alignment horizontal="left"/>
    </xf>
    <xf numFmtId="0" fontId="16" fillId="52" borderId="24" xfId="0" applyFont="1" applyFill="1" applyBorder="1" applyAlignment="1">
      <alignment horizontal="left"/>
    </xf>
    <xf numFmtId="0" fontId="16" fillId="52" borderId="15" xfId="0" applyFont="1" applyFill="1" applyBorder="1" applyAlignment="1">
      <alignment horizontal="left"/>
    </xf>
    <xf numFmtId="0" fontId="16" fillId="56" borderId="24" xfId="0" applyFont="1" applyFill="1" applyBorder="1" applyAlignment="1">
      <alignment horizontal="left"/>
    </xf>
    <xf numFmtId="0" fontId="16" fillId="56" borderId="15" xfId="0" applyFont="1" applyFill="1" applyBorder="1" applyAlignment="1">
      <alignment horizontal="left"/>
    </xf>
    <xf numFmtId="0" fontId="16" fillId="48" borderId="24" xfId="0" applyFont="1" applyFill="1" applyBorder="1" applyAlignment="1">
      <alignment horizontal="left"/>
    </xf>
    <xf numFmtId="0" fontId="16" fillId="48" borderId="15" xfId="0" applyFont="1" applyFill="1" applyBorder="1" applyAlignment="1">
      <alignment horizontal="left"/>
    </xf>
    <xf numFmtId="0" fontId="16" fillId="52" borderId="25" xfId="0" applyFont="1" applyFill="1" applyBorder="1" applyAlignment="1">
      <alignment horizontal="left"/>
    </xf>
    <xf numFmtId="0" fontId="16" fillId="52" borderId="26" xfId="0" applyFont="1" applyFill="1" applyBorder="1" applyAlignment="1">
      <alignment horizontal="left"/>
    </xf>
    <xf numFmtId="0" fontId="16" fillId="52" borderId="27" xfId="0" applyFont="1" applyFill="1" applyBorder="1" applyAlignment="1">
      <alignment horizontal="left"/>
    </xf>
    <xf numFmtId="0" fontId="37" fillId="44" borderId="0" xfId="0" applyFont="1" applyFill="1" applyAlignment="1">
      <alignment horizontal="center"/>
    </xf>
    <xf numFmtId="0" fontId="39" fillId="44" borderId="0" xfId="0" applyFont="1" applyFill="1" applyAlignment="1">
      <alignment horizontal="center"/>
    </xf>
    <xf numFmtId="0" fontId="0" fillId="63" borderId="0" xfId="0" applyFill="1"/>
    <xf numFmtId="0" fontId="38" fillId="63" borderId="0" xfId="0" applyFont="1" applyFill="1" applyAlignment="1">
      <alignment horizontal="center"/>
    </xf>
    <xf numFmtId="0" fontId="36" fillId="44" borderId="21" xfId="0" applyFont="1" applyFill="1" applyBorder="1" applyAlignment="1">
      <alignment horizontal="center"/>
    </xf>
    <xf numFmtId="0" fontId="36" fillId="44" borderId="22" xfId="0" applyFont="1" applyFill="1" applyBorder="1" applyAlignment="1">
      <alignment horizontal="center"/>
    </xf>
    <xf numFmtId="0" fontId="36" fillId="44" borderId="23" xfId="0" applyFont="1" applyFill="1" applyBorder="1" applyAlignment="1">
      <alignment horizontal="center"/>
    </xf>
    <xf numFmtId="165" fontId="0" fillId="0" borderId="12" xfId="0" applyNumberFormat="1" applyBorder="1"/>
    <xf numFmtId="165" fontId="0" fillId="0" borderId="26" xfId="0" applyNumberFormat="1" applyBorder="1"/>
    <xf numFmtId="1" fontId="16" fillId="46" borderId="26" xfId="0" applyNumberFormat="1" applyFont="1" applyFill="1" applyBorder="1"/>
    <xf numFmtId="0" fontId="0" fillId="0" borderId="35" xfId="0" applyBorder="1"/>
    <xf numFmtId="0" fontId="0" fillId="43" borderId="12" xfId="0" applyFill="1" applyBorder="1"/>
    <xf numFmtId="0" fontId="0" fillId="43" borderId="24" xfId="0" applyFill="1" applyBorder="1" applyAlignment="1">
      <alignment horizontal="left"/>
    </xf>
    <xf numFmtId="10" fontId="0" fillId="43" borderId="15" xfId="0" applyNumberFormat="1" applyFill="1" applyBorder="1"/>
    <xf numFmtId="10" fontId="0" fillId="0" borderId="27" xfId="0" applyNumberFormat="1" applyBorder="1"/>
    <xf numFmtId="0" fontId="0" fillId="0" borderId="12" xfId="0" applyNumberFormat="1" applyBorder="1"/>
    <xf numFmtId="0" fontId="0" fillId="0" borderId="26" xfId="0" applyNumberFormat="1" applyBorder="1"/>
    <xf numFmtId="164" fontId="0" fillId="0" borderId="12" xfId="0" applyNumberFormat="1" applyBorder="1"/>
    <xf numFmtId="0" fontId="0" fillId="0" borderId="22" xfId="0" applyNumberFormat="1" applyBorder="1"/>
    <xf numFmtId="1" fontId="0" fillId="0" borderId="18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1" fontId="0" fillId="0" borderId="13" xfId="0" applyNumberFormat="1" applyBorder="1"/>
    <xf numFmtId="1" fontId="0" fillId="0" borderId="16" xfId="0" applyNumberFormat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32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" formatCode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5" formatCode="_ * #,##0_ ;_ * \-#,##0_ ;_ * &quot;-&quot;??_ ;_ @_ "/>
    </dxf>
    <dxf>
      <numFmt numFmtId="1" formatCode="0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4" formatCode="0.00%"/>
    </dxf>
    <dxf>
      <numFmt numFmtId="165" formatCode="_ * #,##0_ ;_ * \-#,##0_ ;_ * &quot;-&quot;??_ ;_ @_ "/>
    </dxf>
    <dxf>
      <numFmt numFmtId="14" formatCode="0.0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Total</a:t>
            </a:r>
            <a:r>
              <a:rPr lang="en-IN" u="sng" baseline="0"/>
              <a:t> Revenue vs Month</a:t>
            </a:r>
            <a:endParaRPr lang="en-IN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Stage2!$B$3</c:f>
              <c:strCache>
                <c:ptCount val="1"/>
                <c:pt idx="0">
                  <c:v>Sum of Total_Revenue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07-4A5F-9AEB-D0D38B4BD9FB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03-48B6-BC05-02E3F127649E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C07-4A5F-9AEB-D0D38B4BD9FB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Stage2!$A$4:$A$16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Stage2!$B$4:$B$16</c:f>
              <c:numCache>
                <c:formatCode>General</c:formatCode>
                <c:ptCount val="12"/>
                <c:pt idx="0">
                  <c:v>471168417</c:v>
                </c:pt>
                <c:pt idx="1">
                  <c:v>328171218</c:v>
                </c:pt>
                <c:pt idx="2">
                  <c:v>406005910</c:v>
                </c:pt>
                <c:pt idx="3">
                  <c:v>380768959</c:v>
                </c:pt>
                <c:pt idx="4">
                  <c:v>591637363</c:v>
                </c:pt>
                <c:pt idx="5">
                  <c:v>536416537</c:v>
                </c:pt>
                <c:pt idx="6">
                  <c:v>493875206</c:v>
                </c:pt>
                <c:pt idx="7">
                  <c:v>848183953</c:v>
                </c:pt>
                <c:pt idx="8">
                  <c:v>695359429</c:v>
                </c:pt>
                <c:pt idx="9">
                  <c:v>91024006</c:v>
                </c:pt>
                <c:pt idx="10">
                  <c:v>256909552</c:v>
                </c:pt>
                <c:pt idx="11">
                  <c:v>865042389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7-4A5F-9AEB-D0D38B4BD9FB}"/>
            </c:ext>
          </c:extLst>
        </c:ser>
        <c:ser>
          <c:idx val="1"/>
          <c:order val="1"/>
          <c:tx>
            <c:strRef>
              <c:f>Stage2!$C$3</c:f>
              <c:strCache>
                <c:ptCount val="1"/>
                <c:pt idx="0">
                  <c:v>Sum of Total_Revenue (Rs)2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Stage2!$C$4:$C$16</c:f>
              <c:numCache>
                <c:formatCode>0.00%</c:formatCode>
                <c:ptCount val="12"/>
                <c:pt idx="0">
                  <c:v>7.8994625728435117E-2</c:v>
                </c:pt>
                <c:pt idx="1">
                  <c:v>5.5020161805019056E-2</c:v>
                </c:pt>
                <c:pt idx="2">
                  <c:v>6.8069683252947558E-2</c:v>
                </c:pt>
                <c:pt idx="3">
                  <c:v>6.3838534842225764E-2</c:v>
                </c:pt>
                <c:pt idx="4">
                  <c:v>9.9192073090805896E-2</c:v>
                </c:pt>
                <c:pt idx="5">
                  <c:v>8.993392181220472E-2</c:v>
                </c:pt>
                <c:pt idx="6">
                  <c:v>8.2801575077821474E-2</c:v>
                </c:pt>
                <c:pt idx="7">
                  <c:v>0.14220387338928875</c:v>
                </c:pt>
                <c:pt idx="8">
                  <c:v>0.11658179083890793</c:v>
                </c:pt>
                <c:pt idx="9">
                  <c:v>1.5260800653947127E-2</c:v>
                </c:pt>
                <c:pt idx="10">
                  <c:v>4.3072653374175415E-2</c:v>
                </c:pt>
                <c:pt idx="11">
                  <c:v>0.14503030613422119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7-4A5F-9AEB-D0D38B4BD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081568"/>
        <c:axId val="1423082528"/>
      </c:barChart>
      <c:catAx>
        <c:axId val="14230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82528"/>
        <c:crosses val="autoZero"/>
        <c:auto val="1"/>
        <c:lblAlgn val="ctr"/>
        <c:lblOffset val="100"/>
        <c:noMultiLvlLbl val="0"/>
      </c:catAx>
      <c:valAx>
        <c:axId val="14230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8156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Total</a:t>
            </a:r>
            <a:r>
              <a:rPr lang="en-IN" u="sng" baseline="0"/>
              <a:t> Revenue vs Total Attendance per Month</a:t>
            </a:r>
            <a:endParaRPr lang="en-IN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Stage2!$B$26</c:f>
              <c:strCache>
                <c:ptCount val="1"/>
                <c:pt idx="0">
                  <c:v>Total_Revenue1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Stage2!$A$27:$A$39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Stage2!$B$27:$B$39</c:f>
              <c:numCache>
                <c:formatCode>General</c:formatCode>
                <c:ptCount val="12"/>
                <c:pt idx="0">
                  <c:v>471168417</c:v>
                </c:pt>
                <c:pt idx="1">
                  <c:v>328171218</c:v>
                </c:pt>
                <c:pt idx="2">
                  <c:v>406005910</c:v>
                </c:pt>
                <c:pt idx="3">
                  <c:v>380768959</c:v>
                </c:pt>
                <c:pt idx="4">
                  <c:v>591637363</c:v>
                </c:pt>
                <c:pt idx="5">
                  <c:v>536416537</c:v>
                </c:pt>
                <c:pt idx="6">
                  <c:v>493875206</c:v>
                </c:pt>
                <c:pt idx="7">
                  <c:v>848183953</c:v>
                </c:pt>
                <c:pt idx="8">
                  <c:v>695359429</c:v>
                </c:pt>
                <c:pt idx="9">
                  <c:v>91024006</c:v>
                </c:pt>
                <c:pt idx="10">
                  <c:v>256909552</c:v>
                </c:pt>
                <c:pt idx="11">
                  <c:v>865042389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9-4503-AE17-C540016DC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3178015"/>
        <c:axId val="1943190975"/>
      </c:barChart>
      <c:lineChart>
        <c:grouping val="standard"/>
        <c:varyColors val="0"/>
        <c:ser>
          <c:idx val="1"/>
          <c:order val="1"/>
          <c:tx>
            <c:strRef>
              <c:f>Stage2!$C$26</c:f>
              <c:strCache>
                <c:ptCount val="1"/>
                <c:pt idx="0">
                  <c:v>Total_Attendance1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Stage2!$A$27:$A$39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Stage2!$C$27:$C$39</c:f>
              <c:numCache>
                <c:formatCode>0</c:formatCode>
                <c:ptCount val="12"/>
                <c:pt idx="0">
                  <c:v>147506.5</c:v>
                </c:pt>
                <c:pt idx="1">
                  <c:v>95928.1</c:v>
                </c:pt>
                <c:pt idx="2">
                  <c:v>99290.7</c:v>
                </c:pt>
                <c:pt idx="3">
                  <c:v>145057.60000000001</c:v>
                </c:pt>
                <c:pt idx="4">
                  <c:v>196145.76</c:v>
                </c:pt>
                <c:pt idx="5">
                  <c:v>208472.74000000002</c:v>
                </c:pt>
                <c:pt idx="6">
                  <c:v>121054</c:v>
                </c:pt>
                <c:pt idx="7">
                  <c:v>256917.18000000002</c:v>
                </c:pt>
                <c:pt idx="8">
                  <c:v>142573</c:v>
                </c:pt>
                <c:pt idx="9">
                  <c:v>29962.6</c:v>
                </c:pt>
                <c:pt idx="10">
                  <c:v>98336.960000000006</c:v>
                </c:pt>
                <c:pt idx="11">
                  <c:v>261064.58000000002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9-4503-AE17-C540016DC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087151"/>
        <c:axId val="891086671"/>
      </c:lineChart>
      <c:catAx>
        <c:axId val="19431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90975"/>
        <c:crosses val="autoZero"/>
        <c:auto val="1"/>
        <c:lblAlgn val="ctr"/>
        <c:lblOffset val="100"/>
        <c:noMultiLvlLbl val="0"/>
      </c:catAx>
      <c:valAx>
        <c:axId val="1943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780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9108667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15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89108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0866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Artists</a:t>
            </a:r>
            <a:r>
              <a:rPr lang="en-US" u="sng" baseline="0"/>
              <a:t> vs Total Attendance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Stage2!$B$70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Stage2!$A$71:$A$81</c:f>
              <c:strCache>
                <c:ptCount val="10"/>
                <c:pt idx="0">
                  <c:v>Badshah</c:v>
                </c:pt>
                <c:pt idx="1">
                  <c:v>Diljit Dosanjh</c:v>
                </c:pt>
                <c:pt idx="2">
                  <c:v>Mika Singh</c:v>
                </c:pt>
                <c:pt idx="3">
                  <c:v>Shreya Ghoshal</c:v>
                </c:pt>
                <c:pt idx="4">
                  <c:v>Arijit Singh</c:v>
                </c:pt>
                <c:pt idx="5">
                  <c:v>Bryan Adams</c:v>
                </c:pt>
                <c:pt idx="6">
                  <c:v>Honey Singh</c:v>
                </c:pt>
                <c:pt idx="7">
                  <c:v>DJ Snake</c:v>
                </c:pt>
                <c:pt idx="8">
                  <c:v>Martin Garrix</c:v>
                </c:pt>
                <c:pt idx="9">
                  <c:v>Ed Sheeran</c:v>
                </c:pt>
              </c:strCache>
            </c:strRef>
          </c:cat>
          <c:val>
            <c:numRef>
              <c:f>Stage2!$B$71:$B$81</c:f>
              <c:numCache>
                <c:formatCode>0</c:formatCode>
                <c:ptCount val="10"/>
                <c:pt idx="0">
                  <c:v>259551.88</c:v>
                </c:pt>
                <c:pt idx="1">
                  <c:v>252102.50000000003</c:v>
                </c:pt>
                <c:pt idx="2">
                  <c:v>232532.88</c:v>
                </c:pt>
                <c:pt idx="3">
                  <c:v>218675.64</c:v>
                </c:pt>
                <c:pt idx="4">
                  <c:v>186321.88</c:v>
                </c:pt>
                <c:pt idx="5">
                  <c:v>182197.18000000002</c:v>
                </c:pt>
                <c:pt idx="6">
                  <c:v>174435</c:v>
                </c:pt>
                <c:pt idx="7">
                  <c:v>127284.88</c:v>
                </c:pt>
                <c:pt idx="8">
                  <c:v>116336</c:v>
                </c:pt>
                <c:pt idx="9">
                  <c:v>52871.880000000005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6-4A98-8050-2747DA77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6716864"/>
        <c:axId val="1996706304"/>
      </c:barChart>
      <c:catAx>
        <c:axId val="199671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6304"/>
        <c:crosses val="autoZero"/>
        <c:auto val="1"/>
        <c:lblAlgn val="ctr"/>
        <c:lblOffset val="100"/>
        <c:noMultiLvlLbl val="0"/>
      </c:catAx>
      <c:valAx>
        <c:axId val="199670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6864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Cities by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Stage2!$B$49</c:f>
              <c:strCache>
                <c:ptCount val="1"/>
                <c:pt idx="0">
                  <c:v>Total Revenue(Rs)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Stage2!$A$50:$A$60</c:f>
              <c:strCache>
                <c:ptCount val="10"/>
                <c:pt idx="0">
                  <c:v>Pune</c:v>
                </c:pt>
                <c:pt idx="1">
                  <c:v>Nagpur</c:v>
                </c:pt>
                <c:pt idx="2">
                  <c:v>Mumbai</c:v>
                </c:pt>
                <c:pt idx="3">
                  <c:v>Kolkata</c:v>
                </c:pt>
                <c:pt idx="4">
                  <c:v>Jaipur</c:v>
                </c:pt>
                <c:pt idx="5">
                  <c:v>Goa</c:v>
                </c:pt>
                <c:pt idx="6">
                  <c:v>Delhi</c:v>
                </c:pt>
                <c:pt idx="7">
                  <c:v>Chandigarh</c:v>
                </c:pt>
                <c:pt idx="8">
                  <c:v>Bengaluru</c:v>
                </c:pt>
                <c:pt idx="9">
                  <c:v>Amritsar</c:v>
                </c:pt>
              </c:strCache>
            </c:strRef>
          </c:cat>
          <c:val>
            <c:numRef>
              <c:f>Stage2!$B$50:$B$60</c:f>
              <c:numCache>
                <c:formatCode>General</c:formatCode>
                <c:ptCount val="10"/>
                <c:pt idx="0">
                  <c:v>479288314</c:v>
                </c:pt>
                <c:pt idx="1">
                  <c:v>831769738</c:v>
                </c:pt>
                <c:pt idx="2">
                  <c:v>171830232</c:v>
                </c:pt>
                <c:pt idx="3">
                  <c:v>594009538</c:v>
                </c:pt>
                <c:pt idx="4">
                  <c:v>752723987</c:v>
                </c:pt>
                <c:pt idx="5">
                  <c:v>1073141556</c:v>
                </c:pt>
                <c:pt idx="6">
                  <c:v>744828479</c:v>
                </c:pt>
                <c:pt idx="7">
                  <c:v>340514615</c:v>
                </c:pt>
                <c:pt idx="8">
                  <c:v>633786616</c:v>
                </c:pt>
                <c:pt idx="9">
                  <c:v>342669864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6-4CA0-B05F-6E96860C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975263"/>
        <c:axId val="1224977183"/>
      </c:barChart>
      <c:lineChart>
        <c:grouping val="standard"/>
        <c:varyColors val="0"/>
        <c:ser>
          <c:idx val="1"/>
          <c:order val="1"/>
          <c:tx>
            <c:strRef>
              <c:f>Stage2!$C$49</c:f>
              <c:strCache>
                <c:ptCount val="1"/>
                <c:pt idx="0">
                  <c:v>Total 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Stage2!$A$50:$A$60</c:f>
              <c:strCache>
                <c:ptCount val="10"/>
                <c:pt idx="0">
                  <c:v>Pune</c:v>
                </c:pt>
                <c:pt idx="1">
                  <c:v>Nagpur</c:v>
                </c:pt>
                <c:pt idx="2">
                  <c:v>Mumbai</c:v>
                </c:pt>
                <c:pt idx="3">
                  <c:v>Kolkata</c:v>
                </c:pt>
                <c:pt idx="4">
                  <c:v>Jaipur</c:v>
                </c:pt>
                <c:pt idx="5">
                  <c:v>Goa</c:v>
                </c:pt>
                <c:pt idx="6">
                  <c:v>Delhi</c:v>
                </c:pt>
                <c:pt idx="7">
                  <c:v>Chandigarh</c:v>
                </c:pt>
                <c:pt idx="8">
                  <c:v>Bengaluru</c:v>
                </c:pt>
                <c:pt idx="9">
                  <c:v>Amritsar</c:v>
                </c:pt>
              </c:strCache>
            </c:strRef>
          </c:cat>
          <c:val>
            <c:numRef>
              <c:f>Stage2!$C$50:$C$60</c:f>
              <c:numCache>
                <c:formatCode>0</c:formatCode>
                <c:ptCount val="10"/>
                <c:pt idx="0">
                  <c:v>150798.48000000001</c:v>
                </c:pt>
                <c:pt idx="1">
                  <c:v>227873.96</c:v>
                </c:pt>
                <c:pt idx="2">
                  <c:v>79127.199999999997</c:v>
                </c:pt>
                <c:pt idx="3">
                  <c:v>144910.20000000001</c:v>
                </c:pt>
                <c:pt idx="4">
                  <c:v>234934.98</c:v>
                </c:pt>
                <c:pt idx="5">
                  <c:v>369065.58</c:v>
                </c:pt>
                <c:pt idx="6">
                  <c:v>173785.96000000002</c:v>
                </c:pt>
                <c:pt idx="7">
                  <c:v>155236.1</c:v>
                </c:pt>
                <c:pt idx="8">
                  <c:v>150796.4</c:v>
                </c:pt>
                <c:pt idx="9">
                  <c:v>115780.86000000002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6-4CA0-B05F-6E96860CD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981983"/>
        <c:axId val="1224980063"/>
      </c:lineChart>
      <c:catAx>
        <c:axId val="12249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77183"/>
        <c:crosses val="autoZero"/>
        <c:auto val="1"/>
        <c:lblAlgn val="ctr"/>
        <c:lblOffset val="100"/>
        <c:noMultiLvlLbl val="0"/>
      </c:catAx>
      <c:valAx>
        <c:axId val="1224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752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2498006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8198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224981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49800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[Music_Festival_Data-5.xlsx]Stage3!PivotTable7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Ticket Price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Stage3!$B$3</c:f>
              <c:strCache>
                <c:ptCount val="1"/>
                <c:pt idx="0">
                  <c:v>Average of Ticket_Price(Rs)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Stage3!$A$4:$A$14</c:f>
              <c:strCache>
                <c:ptCount val="10"/>
                <c:pt idx="0">
                  <c:v>Chandigarh</c:v>
                </c:pt>
                <c:pt idx="1">
                  <c:v>Mumbai</c:v>
                </c:pt>
                <c:pt idx="2">
                  <c:v>Goa</c:v>
                </c:pt>
                <c:pt idx="3">
                  <c:v>Nagpur</c:v>
                </c:pt>
                <c:pt idx="4">
                  <c:v>Amritsar</c:v>
                </c:pt>
                <c:pt idx="5">
                  <c:v>Kolkata</c:v>
                </c:pt>
                <c:pt idx="6">
                  <c:v>Pune</c:v>
                </c:pt>
                <c:pt idx="7">
                  <c:v>Jaipur</c:v>
                </c:pt>
                <c:pt idx="8">
                  <c:v>Bengaluru</c:v>
                </c:pt>
                <c:pt idx="9">
                  <c:v>Delhi</c:v>
                </c:pt>
              </c:strCache>
            </c:strRef>
          </c:cat>
          <c:val>
            <c:numRef>
              <c:f>Stage3!$B$4:$B$14</c:f>
              <c:numCache>
                <c:formatCode>0.0</c:formatCode>
                <c:ptCount val="10"/>
                <c:pt idx="0">
                  <c:v>2033.9</c:v>
                </c:pt>
                <c:pt idx="1">
                  <c:v>2489.6</c:v>
                </c:pt>
                <c:pt idx="2">
                  <c:v>2564.8822456140347</c:v>
                </c:pt>
                <c:pt idx="3">
                  <c:v>2637.2333333333331</c:v>
                </c:pt>
                <c:pt idx="4">
                  <c:v>2686.6666666666665</c:v>
                </c:pt>
                <c:pt idx="5">
                  <c:v>2832.2</c:v>
                </c:pt>
                <c:pt idx="6">
                  <c:v>2880.0595488721806</c:v>
                </c:pt>
                <c:pt idx="7">
                  <c:v>3035.8939712918655</c:v>
                </c:pt>
                <c:pt idx="8">
                  <c:v>3704.1433684210524</c:v>
                </c:pt>
                <c:pt idx="9">
                  <c:v>3989.2250526315788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189-94C3-E655A62F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377791"/>
        <c:axId val="1399378751"/>
      </c:barChart>
      <c:lineChart>
        <c:grouping val="standard"/>
        <c:varyColors val="0"/>
        <c:ser>
          <c:idx val="1"/>
          <c:order val="1"/>
          <c:tx>
            <c:strRef>
              <c:f>Stage3!$C$3</c:f>
              <c:strCache>
                <c:ptCount val="1"/>
                <c:pt idx="0">
                  <c:v>Total 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Stage3!$A$4:$A$14</c:f>
              <c:strCache>
                <c:ptCount val="10"/>
                <c:pt idx="0">
                  <c:v>Chandigarh</c:v>
                </c:pt>
                <c:pt idx="1">
                  <c:v>Mumbai</c:v>
                </c:pt>
                <c:pt idx="2">
                  <c:v>Goa</c:v>
                </c:pt>
                <c:pt idx="3">
                  <c:v>Nagpur</c:v>
                </c:pt>
                <c:pt idx="4">
                  <c:v>Amritsar</c:v>
                </c:pt>
                <c:pt idx="5">
                  <c:v>Kolkata</c:v>
                </c:pt>
                <c:pt idx="6">
                  <c:v>Pune</c:v>
                </c:pt>
                <c:pt idx="7">
                  <c:v>Jaipur</c:v>
                </c:pt>
                <c:pt idx="8">
                  <c:v>Bengaluru</c:v>
                </c:pt>
                <c:pt idx="9">
                  <c:v>Delhi</c:v>
                </c:pt>
              </c:strCache>
            </c:strRef>
          </c:cat>
          <c:val>
            <c:numRef>
              <c:f>Stage3!$C$4:$C$14</c:f>
              <c:numCache>
                <c:formatCode>0.00%</c:formatCode>
                <c:ptCount val="10"/>
                <c:pt idx="0">
                  <c:v>8.6131755423257683E-2</c:v>
                </c:pt>
                <c:pt idx="1">
                  <c:v>4.3903219919382119E-2</c:v>
                </c:pt>
                <c:pt idx="2">
                  <c:v>0.20477367230755436</c:v>
                </c:pt>
                <c:pt idx="3">
                  <c:v>0.12643440662351865</c:v>
                </c:pt>
                <c:pt idx="4">
                  <c:v>6.4240268315259391E-2</c:v>
                </c:pt>
                <c:pt idx="5">
                  <c:v>8.0402495970559401E-2</c:v>
                </c:pt>
                <c:pt idx="6">
                  <c:v>8.3669570399919957E-2</c:v>
                </c:pt>
                <c:pt idx="7">
                  <c:v>0.13035216832765018</c:v>
                </c:pt>
                <c:pt idx="8">
                  <c:v>8.3668416325247366E-2</c:v>
                </c:pt>
                <c:pt idx="9">
                  <c:v>9.6424026387651088E-2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6A-4189-94C3-E655A62F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414224"/>
        <c:axId val="1423411824"/>
      </c:lineChart>
      <c:catAx>
        <c:axId val="139937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78751"/>
        <c:crosses val="autoZero"/>
        <c:auto val="1"/>
        <c:lblAlgn val="ctr"/>
        <c:lblOffset val="100"/>
        <c:noMultiLvlLbl val="0"/>
      </c:catAx>
      <c:valAx>
        <c:axId val="139937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77791"/>
        <c:crosses val="autoZero"/>
        <c:crossBetween val="between"/>
      </c:valAx>
      <c:valAx>
        <c:axId val="142341182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414224"/>
        <c:crosses val="max"/>
        <c:crossBetween val="between"/>
      </c:valAx>
      <c:catAx>
        <c:axId val="142341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341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Attendance vs Ticket Price(Rs)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 Data'!$H$2:$H$93</c:f>
              <c:numCache>
                <c:formatCode>General</c:formatCode>
                <c:ptCount val="92"/>
                <c:pt idx="0">
                  <c:v>1253</c:v>
                </c:pt>
                <c:pt idx="1">
                  <c:v>6813.8</c:v>
                </c:pt>
                <c:pt idx="2">
                  <c:v>2144</c:v>
                </c:pt>
                <c:pt idx="3">
                  <c:v>1886</c:v>
                </c:pt>
                <c:pt idx="4">
                  <c:v>3984</c:v>
                </c:pt>
                <c:pt idx="5" formatCode="0.0">
                  <c:v>2910.2168421052634</c:v>
                </c:pt>
                <c:pt idx="6">
                  <c:v>840</c:v>
                </c:pt>
                <c:pt idx="7">
                  <c:v>4191</c:v>
                </c:pt>
                <c:pt idx="8">
                  <c:v>1823</c:v>
                </c:pt>
                <c:pt idx="9">
                  <c:v>3953.6</c:v>
                </c:pt>
                <c:pt idx="10">
                  <c:v>2842</c:v>
                </c:pt>
                <c:pt idx="11">
                  <c:v>528</c:v>
                </c:pt>
                <c:pt idx="12">
                  <c:v>1543</c:v>
                </c:pt>
                <c:pt idx="13">
                  <c:v>2188</c:v>
                </c:pt>
                <c:pt idx="14">
                  <c:v>2217.6</c:v>
                </c:pt>
                <c:pt idx="15">
                  <c:v>5397</c:v>
                </c:pt>
                <c:pt idx="16">
                  <c:v>1601.6</c:v>
                </c:pt>
                <c:pt idx="17">
                  <c:v>4564</c:v>
                </c:pt>
                <c:pt idx="18">
                  <c:v>3350.2</c:v>
                </c:pt>
                <c:pt idx="19">
                  <c:v>4045</c:v>
                </c:pt>
                <c:pt idx="20">
                  <c:v>1008</c:v>
                </c:pt>
                <c:pt idx="21">
                  <c:v>2334</c:v>
                </c:pt>
                <c:pt idx="22" formatCode="0.0">
                  <c:v>2910.2168421052634</c:v>
                </c:pt>
                <c:pt idx="23">
                  <c:v>3977</c:v>
                </c:pt>
                <c:pt idx="24">
                  <c:v>3449</c:v>
                </c:pt>
                <c:pt idx="25">
                  <c:v>3668</c:v>
                </c:pt>
                <c:pt idx="26">
                  <c:v>3279</c:v>
                </c:pt>
                <c:pt idx="27">
                  <c:v>2948</c:v>
                </c:pt>
                <c:pt idx="28">
                  <c:v>2749.6</c:v>
                </c:pt>
                <c:pt idx="29" formatCode="0.0">
                  <c:v>2910.2168421052634</c:v>
                </c:pt>
                <c:pt idx="30">
                  <c:v>632</c:v>
                </c:pt>
                <c:pt idx="31">
                  <c:v>1932</c:v>
                </c:pt>
                <c:pt idx="32">
                  <c:v>1598.8</c:v>
                </c:pt>
                <c:pt idx="33" formatCode="0.0">
                  <c:v>2910.2168421052634</c:v>
                </c:pt>
                <c:pt idx="34">
                  <c:v>4452</c:v>
                </c:pt>
                <c:pt idx="35">
                  <c:v>2716</c:v>
                </c:pt>
                <c:pt idx="36">
                  <c:v>2237</c:v>
                </c:pt>
                <c:pt idx="37">
                  <c:v>1412</c:v>
                </c:pt>
                <c:pt idx="38">
                  <c:v>836</c:v>
                </c:pt>
                <c:pt idx="39">
                  <c:v>625</c:v>
                </c:pt>
                <c:pt idx="40">
                  <c:v>4629</c:v>
                </c:pt>
                <c:pt idx="41">
                  <c:v>3412</c:v>
                </c:pt>
                <c:pt idx="42">
                  <c:v>737</c:v>
                </c:pt>
                <c:pt idx="43">
                  <c:v>933</c:v>
                </c:pt>
                <c:pt idx="44">
                  <c:v>4503</c:v>
                </c:pt>
                <c:pt idx="45">
                  <c:v>2615.1999999999998</c:v>
                </c:pt>
                <c:pt idx="46">
                  <c:v>4046</c:v>
                </c:pt>
                <c:pt idx="47">
                  <c:v>4613</c:v>
                </c:pt>
                <c:pt idx="48">
                  <c:v>3437</c:v>
                </c:pt>
                <c:pt idx="49">
                  <c:v>2167</c:v>
                </c:pt>
                <c:pt idx="50">
                  <c:v>2495</c:v>
                </c:pt>
                <c:pt idx="51">
                  <c:v>1244.5999999999999</c:v>
                </c:pt>
                <c:pt idx="52">
                  <c:v>4120</c:v>
                </c:pt>
                <c:pt idx="53" formatCode="0.0">
                  <c:v>2910.2168421052634</c:v>
                </c:pt>
                <c:pt idx="54">
                  <c:v>4459</c:v>
                </c:pt>
                <c:pt idx="55" formatCode="0.0">
                  <c:v>2910.2168421052634</c:v>
                </c:pt>
                <c:pt idx="56" formatCode="0.0">
                  <c:v>2910.2168421052634</c:v>
                </c:pt>
                <c:pt idx="57">
                  <c:v>5391.4</c:v>
                </c:pt>
                <c:pt idx="58" formatCode="0.0">
                  <c:v>2910.2168421052634</c:v>
                </c:pt>
                <c:pt idx="59">
                  <c:v>2589</c:v>
                </c:pt>
                <c:pt idx="60">
                  <c:v>4078</c:v>
                </c:pt>
                <c:pt idx="61">
                  <c:v>1381</c:v>
                </c:pt>
                <c:pt idx="62">
                  <c:v>2817</c:v>
                </c:pt>
                <c:pt idx="63">
                  <c:v>2937</c:v>
                </c:pt>
                <c:pt idx="64">
                  <c:v>3235.4</c:v>
                </c:pt>
                <c:pt idx="65">
                  <c:v>2224.6</c:v>
                </c:pt>
                <c:pt idx="66">
                  <c:v>2679.6</c:v>
                </c:pt>
                <c:pt idx="67">
                  <c:v>2567</c:v>
                </c:pt>
                <c:pt idx="68">
                  <c:v>6972</c:v>
                </c:pt>
                <c:pt idx="69" formatCode="0.0">
                  <c:v>2910.2168421052634</c:v>
                </c:pt>
                <c:pt idx="70">
                  <c:v>4765.6000000000004</c:v>
                </c:pt>
                <c:pt idx="71">
                  <c:v>3243</c:v>
                </c:pt>
                <c:pt idx="72">
                  <c:v>1599</c:v>
                </c:pt>
                <c:pt idx="73">
                  <c:v>1180</c:v>
                </c:pt>
                <c:pt idx="74">
                  <c:v>3928</c:v>
                </c:pt>
                <c:pt idx="75">
                  <c:v>929</c:v>
                </c:pt>
                <c:pt idx="76">
                  <c:v>1824</c:v>
                </c:pt>
                <c:pt idx="77">
                  <c:v>3034</c:v>
                </c:pt>
                <c:pt idx="78">
                  <c:v>798</c:v>
                </c:pt>
                <c:pt idx="79">
                  <c:v>2753</c:v>
                </c:pt>
                <c:pt idx="80">
                  <c:v>2609</c:v>
                </c:pt>
                <c:pt idx="81">
                  <c:v>4418</c:v>
                </c:pt>
                <c:pt idx="82">
                  <c:v>4849</c:v>
                </c:pt>
                <c:pt idx="83">
                  <c:v>1750</c:v>
                </c:pt>
                <c:pt idx="84">
                  <c:v>4279.8</c:v>
                </c:pt>
                <c:pt idx="85">
                  <c:v>3586</c:v>
                </c:pt>
                <c:pt idx="86">
                  <c:v>3782</c:v>
                </c:pt>
                <c:pt idx="87">
                  <c:v>4834.2</c:v>
                </c:pt>
                <c:pt idx="88">
                  <c:v>4286</c:v>
                </c:pt>
                <c:pt idx="89" formatCode="0.0">
                  <c:v>2910.2168421052634</c:v>
                </c:pt>
                <c:pt idx="90">
                  <c:v>4529</c:v>
                </c:pt>
                <c:pt idx="91">
                  <c:v>726</c:v>
                </c:pt>
              </c:numCache>
            </c:numRef>
          </c:xVal>
          <c:yVal>
            <c:numRef>
              <c:f>'Cleaned Data'!$I$2:$I$93</c:f>
              <c:numCache>
                <c:formatCode>General</c:formatCode>
                <c:ptCount val="92"/>
                <c:pt idx="0">
                  <c:v>6166</c:v>
                </c:pt>
                <c:pt idx="1">
                  <c:v>17889.900000000001</c:v>
                </c:pt>
                <c:pt idx="2">
                  <c:v>14688</c:v>
                </c:pt>
                <c:pt idx="3">
                  <c:v>35244</c:v>
                </c:pt>
                <c:pt idx="4">
                  <c:v>20798.88</c:v>
                </c:pt>
                <c:pt idx="5">
                  <c:v>18778.2</c:v>
                </c:pt>
                <c:pt idx="6">
                  <c:v>33535</c:v>
                </c:pt>
                <c:pt idx="7">
                  <c:v>20798.88</c:v>
                </c:pt>
                <c:pt idx="8">
                  <c:v>15513</c:v>
                </c:pt>
                <c:pt idx="9">
                  <c:v>21693</c:v>
                </c:pt>
                <c:pt idx="10">
                  <c:v>24021</c:v>
                </c:pt>
                <c:pt idx="11">
                  <c:v>33241</c:v>
                </c:pt>
                <c:pt idx="12">
                  <c:v>19867</c:v>
                </c:pt>
                <c:pt idx="13">
                  <c:v>20603</c:v>
                </c:pt>
                <c:pt idx="14">
                  <c:v>9504.6</c:v>
                </c:pt>
                <c:pt idx="15">
                  <c:v>9158.1</c:v>
                </c:pt>
                <c:pt idx="16">
                  <c:v>11790</c:v>
                </c:pt>
                <c:pt idx="17">
                  <c:v>31755</c:v>
                </c:pt>
                <c:pt idx="18">
                  <c:v>2975.7</c:v>
                </c:pt>
                <c:pt idx="19">
                  <c:v>27719</c:v>
                </c:pt>
                <c:pt idx="20">
                  <c:v>21142</c:v>
                </c:pt>
                <c:pt idx="21">
                  <c:v>16842</c:v>
                </c:pt>
                <c:pt idx="22">
                  <c:v>14456</c:v>
                </c:pt>
                <c:pt idx="23">
                  <c:v>25243</c:v>
                </c:pt>
                <c:pt idx="24">
                  <c:v>13539</c:v>
                </c:pt>
                <c:pt idx="25">
                  <c:v>36462</c:v>
                </c:pt>
                <c:pt idx="26">
                  <c:v>32540</c:v>
                </c:pt>
                <c:pt idx="27">
                  <c:v>9316</c:v>
                </c:pt>
                <c:pt idx="28">
                  <c:v>17172</c:v>
                </c:pt>
                <c:pt idx="29">
                  <c:v>16737</c:v>
                </c:pt>
                <c:pt idx="30">
                  <c:v>35304</c:v>
                </c:pt>
                <c:pt idx="31">
                  <c:v>16841</c:v>
                </c:pt>
                <c:pt idx="32">
                  <c:v>18210.5</c:v>
                </c:pt>
                <c:pt idx="33">
                  <c:v>7559.5</c:v>
                </c:pt>
                <c:pt idx="34">
                  <c:v>31745</c:v>
                </c:pt>
                <c:pt idx="35">
                  <c:v>12688</c:v>
                </c:pt>
                <c:pt idx="36">
                  <c:v>20276</c:v>
                </c:pt>
                <c:pt idx="37">
                  <c:v>20798.88</c:v>
                </c:pt>
                <c:pt idx="38">
                  <c:v>56160</c:v>
                </c:pt>
                <c:pt idx="39">
                  <c:v>34043.1</c:v>
                </c:pt>
                <c:pt idx="40">
                  <c:v>34318</c:v>
                </c:pt>
                <c:pt idx="41">
                  <c:v>22029</c:v>
                </c:pt>
                <c:pt idx="42">
                  <c:v>28345.200000000001</c:v>
                </c:pt>
                <c:pt idx="43">
                  <c:v>31752</c:v>
                </c:pt>
                <c:pt idx="44">
                  <c:v>7651</c:v>
                </c:pt>
                <c:pt idx="45">
                  <c:v>6000</c:v>
                </c:pt>
                <c:pt idx="46">
                  <c:v>32925.1</c:v>
                </c:pt>
                <c:pt idx="47">
                  <c:v>9412.2000000000007</c:v>
                </c:pt>
                <c:pt idx="48">
                  <c:v>17457</c:v>
                </c:pt>
                <c:pt idx="49">
                  <c:v>23456</c:v>
                </c:pt>
                <c:pt idx="50">
                  <c:v>26922</c:v>
                </c:pt>
                <c:pt idx="51">
                  <c:v>23400.3</c:v>
                </c:pt>
                <c:pt idx="52">
                  <c:v>20798.88</c:v>
                </c:pt>
                <c:pt idx="53">
                  <c:v>20798.88</c:v>
                </c:pt>
                <c:pt idx="54">
                  <c:v>19021.099999999999</c:v>
                </c:pt>
                <c:pt idx="55">
                  <c:v>31020</c:v>
                </c:pt>
                <c:pt idx="56">
                  <c:v>5456</c:v>
                </c:pt>
                <c:pt idx="57">
                  <c:v>11355</c:v>
                </c:pt>
                <c:pt idx="58">
                  <c:v>20798.88</c:v>
                </c:pt>
                <c:pt idx="59">
                  <c:v>8270</c:v>
                </c:pt>
                <c:pt idx="60">
                  <c:v>9560</c:v>
                </c:pt>
                <c:pt idx="61">
                  <c:v>13578</c:v>
                </c:pt>
                <c:pt idx="62">
                  <c:v>13994</c:v>
                </c:pt>
                <c:pt idx="63">
                  <c:v>14499</c:v>
                </c:pt>
                <c:pt idx="64">
                  <c:v>15002</c:v>
                </c:pt>
                <c:pt idx="65">
                  <c:v>23169</c:v>
                </c:pt>
                <c:pt idx="66">
                  <c:v>20798.88</c:v>
                </c:pt>
                <c:pt idx="67">
                  <c:v>4240</c:v>
                </c:pt>
                <c:pt idx="68">
                  <c:v>21681.1</c:v>
                </c:pt>
                <c:pt idx="69">
                  <c:v>32900</c:v>
                </c:pt>
                <c:pt idx="70">
                  <c:v>11366.6</c:v>
                </c:pt>
                <c:pt idx="71">
                  <c:v>5362</c:v>
                </c:pt>
                <c:pt idx="72">
                  <c:v>6748</c:v>
                </c:pt>
                <c:pt idx="73">
                  <c:v>11979</c:v>
                </c:pt>
                <c:pt idx="74">
                  <c:v>45372.6</c:v>
                </c:pt>
                <c:pt idx="75">
                  <c:v>17678</c:v>
                </c:pt>
                <c:pt idx="76">
                  <c:v>11076</c:v>
                </c:pt>
                <c:pt idx="77">
                  <c:v>9525</c:v>
                </c:pt>
                <c:pt idx="78">
                  <c:v>20798.88</c:v>
                </c:pt>
                <c:pt idx="79">
                  <c:v>7762</c:v>
                </c:pt>
                <c:pt idx="80">
                  <c:v>27598</c:v>
                </c:pt>
                <c:pt idx="81">
                  <c:v>8702</c:v>
                </c:pt>
                <c:pt idx="82">
                  <c:v>8214</c:v>
                </c:pt>
                <c:pt idx="83">
                  <c:v>20798.88</c:v>
                </c:pt>
                <c:pt idx="84">
                  <c:v>18095</c:v>
                </c:pt>
                <c:pt idx="85">
                  <c:v>38295</c:v>
                </c:pt>
                <c:pt idx="86">
                  <c:v>39893</c:v>
                </c:pt>
                <c:pt idx="87">
                  <c:v>14283</c:v>
                </c:pt>
                <c:pt idx="88">
                  <c:v>8925</c:v>
                </c:pt>
                <c:pt idx="89">
                  <c:v>4885</c:v>
                </c:pt>
                <c:pt idx="90">
                  <c:v>4425</c:v>
                </c:pt>
                <c:pt idx="91">
                  <c:v>37105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F3-4775-923A-6F42A955C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743424"/>
        <c:axId val="1988737664"/>
      </c:scatterChart>
      <c:valAx>
        <c:axId val="198874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Ticket</a:t>
                </a:r>
                <a:r>
                  <a:rPr lang="en-IN" baseline="0"/>
                  <a:t> Price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37664"/>
        <c:crosses val="autoZero"/>
        <c:crossBetween val="midCat"/>
      </c:valAx>
      <c:valAx>
        <c:axId val="19887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4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[Music_Festival_Data-5.xlsx]Stage4!PivotTable23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Artist</a:t>
            </a:r>
            <a:r>
              <a:rPr lang="en-IN" baseline="0"/>
              <a:t> vs Total Revenue &amp; Total Attendance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Stage4!$B$4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Stage4!$A$5:$A$15</c:f>
              <c:strCache>
                <c:ptCount val="10"/>
                <c:pt idx="0">
                  <c:v>Arijit Singh</c:v>
                </c:pt>
                <c:pt idx="1">
                  <c:v>Badshah</c:v>
                </c:pt>
                <c:pt idx="2">
                  <c:v>Bryan Adams</c:v>
                </c:pt>
                <c:pt idx="3">
                  <c:v>Diljit Dosanjh</c:v>
                </c:pt>
                <c:pt idx="4">
                  <c:v>DJ Snake</c:v>
                </c:pt>
                <c:pt idx="5">
                  <c:v>Ed Sheeran</c:v>
                </c:pt>
                <c:pt idx="6">
                  <c:v>Honey Singh</c:v>
                </c:pt>
                <c:pt idx="7">
                  <c:v>Martin Garrix</c:v>
                </c:pt>
                <c:pt idx="8">
                  <c:v>Mika Singh</c:v>
                </c:pt>
                <c:pt idx="9">
                  <c:v>Shreya Ghoshal</c:v>
                </c:pt>
              </c:strCache>
            </c:strRef>
          </c:cat>
          <c:val>
            <c:numRef>
              <c:f>Stage4!$B$5:$B$15</c:f>
              <c:numCache>
                <c:formatCode>"₹"\ #,##0</c:formatCode>
                <c:ptCount val="10"/>
                <c:pt idx="0">
                  <c:v>488510395</c:v>
                </c:pt>
                <c:pt idx="1">
                  <c:v>1012375595</c:v>
                </c:pt>
                <c:pt idx="2">
                  <c:v>832634949</c:v>
                </c:pt>
                <c:pt idx="3">
                  <c:v>453627757</c:v>
                </c:pt>
                <c:pt idx="4">
                  <c:v>487828759</c:v>
                </c:pt>
                <c:pt idx="5">
                  <c:v>109382356</c:v>
                </c:pt>
                <c:pt idx="6">
                  <c:v>877653513</c:v>
                </c:pt>
                <c:pt idx="7">
                  <c:v>336379539</c:v>
                </c:pt>
                <c:pt idx="8">
                  <c:v>658312538</c:v>
                </c:pt>
                <c:pt idx="9">
                  <c:v>707857538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E-41B9-87C0-D4EA749B1AB9}"/>
            </c:ext>
          </c:extLst>
        </c:ser>
        <c:ser>
          <c:idx val="1"/>
          <c:order val="1"/>
          <c:tx>
            <c:strRef>
              <c:f>Stage4!$C$4</c:f>
              <c:strCache>
                <c:ptCount val="1"/>
                <c:pt idx="0">
                  <c:v>Total Attendance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Stage4!$A$5:$A$15</c:f>
              <c:strCache>
                <c:ptCount val="10"/>
                <c:pt idx="0">
                  <c:v>Arijit Singh</c:v>
                </c:pt>
                <c:pt idx="1">
                  <c:v>Badshah</c:v>
                </c:pt>
                <c:pt idx="2">
                  <c:v>Bryan Adams</c:v>
                </c:pt>
                <c:pt idx="3">
                  <c:v>Diljit Dosanjh</c:v>
                </c:pt>
                <c:pt idx="4">
                  <c:v>DJ Snake</c:v>
                </c:pt>
                <c:pt idx="5">
                  <c:v>Ed Sheeran</c:v>
                </c:pt>
                <c:pt idx="6">
                  <c:v>Honey Singh</c:v>
                </c:pt>
                <c:pt idx="7">
                  <c:v>Martin Garrix</c:v>
                </c:pt>
                <c:pt idx="8">
                  <c:v>Mika Singh</c:v>
                </c:pt>
                <c:pt idx="9">
                  <c:v>Shreya Ghoshal</c:v>
                </c:pt>
              </c:strCache>
            </c:strRef>
          </c:cat>
          <c:val>
            <c:numRef>
              <c:f>Stage4!$C$5:$C$15</c:f>
              <c:numCache>
                <c:formatCode>_ * #,##0_ ;_ * \-#,##0_ ;_ * "-"??_ ;_ @_ </c:formatCode>
                <c:ptCount val="10"/>
                <c:pt idx="0">
                  <c:v>186321.88</c:v>
                </c:pt>
                <c:pt idx="1">
                  <c:v>259551.88</c:v>
                </c:pt>
                <c:pt idx="2">
                  <c:v>182197.18000000002</c:v>
                </c:pt>
                <c:pt idx="3">
                  <c:v>252102.50000000003</c:v>
                </c:pt>
                <c:pt idx="4">
                  <c:v>127284.88</c:v>
                </c:pt>
                <c:pt idx="5">
                  <c:v>52871.880000000005</c:v>
                </c:pt>
                <c:pt idx="6">
                  <c:v>174435</c:v>
                </c:pt>
                <c:pt idx="7">
                  <c:v>116336</c:v>
                </c:pt>
                <c:pt idx="8">
                  <c:v>232532.88</c:v>
                </c:pt>
                <c:pt idx="9">
                  <c:v>218675.64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9E-41B9-87C0-D4EA749B1AB9}"/>
            </c:ext>
          </c:extLst>
        </c:ser>
        <c:ser>
          <c:idx val="2"/>
          <c:order val="2"/>
          <c:tx>
            <c:strRef>
              <c:f>Stage4!$D$4</c:f>
              <c:strCache>
                <c:ptCount val="1"/>
                <c:pt idx="0">
                  <c:v>Event Count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Stage4!$A$5:$A$15</c:f>
              <c:strCache>
                <c:ptCount val="10"/>
                <c:pt idx="0">
                  <c:v>Arijit Singh</c:v>
                </c:pt>
                <c:pt idx="1">
                  <c:v>Badshah</c:v>
                </c:pt>
                <c:pt idx="2">
                  <c:v>Bryan Adams</c:v>
                </c:pt>
                <c:pt idx="3">
                  <c:v>Diljit Dosanjh</c:v>
                </c:pt>
                <c:pt idx="4">
                  <c:v>DJ Snake</c:v>
                </c:pt>
                <c:pt idx="5">
                  <c:v>Ed Sheeran</c:v>
                </c:pt>
                <c:pt idx="6">
                  <c:v>Honey Singh</c:v>
                </c:pt>
                <c:pt idx="7">
                  <c:v>Martin Garrix</c:v>
                </c:pt>
                <c:pt idx="8">
                  <c:v>Mika Singh</c:v>
                </c:pt>
                <c:pt idx="9">
                  <c:v>Shreya Ghoshal</c:v>
                </c:pt>
              </c:strCache>
            </c:strRef>
          </c:cat>
          <c:val>
            <c:numRef>
              <c:f>Stage4!$D$5:$D$15</c:f>
              <c:numCache>
                <c:formatCode>_ * #,##0_ ;_ * \-#,##0_ ;_ * "-"??_ ;_ @_ </c:formatCode>
                <c:ptCount val="1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8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9E-41B9-87C0-D4EA749B1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0986384"/>
        <c:axId val="1880986864"/>
      </c:barChart>
      <c:catAx>
        <c:axId val="18809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86864"/>
        <c:crosses val="autoZero"/>
        <c:auto val="1"/>
        <c:lblAlgn val="ctr"/>
        <c:lblOffset val="100"/>
        <c:noMultiLvlLbl val="0"/>
      </c:catAx>
      <c:valAx>
        <c:axId val="18809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98638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Efficiency: International</a:t>
            </a:r>
            <a:r>
              <a:rPr lang="en-IN" baseline="0"/>
              <a:t> vs Local Artist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Stage4!$A$60</c:f>
              <c:strCache>
                <c:ptCount val="1"/>
                <c:pt idx="0">
                  <c:v>Revenue/Attendance(Rs)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Stage4!$B$59:$C$59</c:f>
              <c:strCache>
                <c:ptCount val="2"/>
                <c:pt idx="0">
                  <c:v>International</c:v>
                </c:pt>
                <c:pt idx="1">
                  <c:v>Local Artist</c:v>
                </c:pt>
              </c:strCache>
            </c:strRef>
          </c:cat>
          <c:val>
            <c:numRef>
              <c:f>Stage4!$B$60:$C$60</c:f>
              <c:numCache>
                <c:formatCode>General</c:formatCode>
                <c:ptCount val="2"/>
                <c:pt idx="0">
                  <c:v>3689.7069593733268</c:v>
                </c:pt>
                <c:pt idx="1">
                  <c:v>3171.8605293130327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3-47F1-9CA5-6AA56188E86C}"/>
            </c:ext>
          </c:extLst>
        </c:ser>
        <c:ser>
          <c:idx val="1"/>
          <c:order val="1"/>
          <c:tx>
            <c:strRef>
              <c:f>Stage4!$A$61</c:f>
              <c:strCache>
                <c:ptCount val="1"/>
                <c:pt idx="0">
                  <c:v>Avg Ticket price(Rs)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Stage4!$B$59:$C$59</c:f>
              <c:strCache>
                <c:ptCount val="2"/>
                <c:pt idx="0">
                  <c:v>International</c:v>
                </c:pt>
                <c:pt idx="1">
                  <c:v>Local Artist</c:v>
                </c:pt>
              </c:strCache>
            </c:strRef>
          </c:cat>
          <c:val>
            <c:numRef>
              <c:f>Stage4!$B$61:$C$61</c:f>
              <c:numCache>
                <c:formatCode>General</c:formatCode>
                <c:ptCount val="2"/>
                <c:pt idx="0">
                  <c:v>3223.4074773139746</c:v>
                </c:pt>
                <c:pt idx="1">
                  <c:v>2771.8563742690058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F3-47F1-9CA5-6AA56188E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51103"/>
        <c:axId val="144161663"/>
      </c:barChart>
      <c:catAx>
        <c:axId val="1441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61663"/>
        <c:crosses val="autoZero"/>
        <c:auto val="1"/>
        <c:lblAlgn val="ctr"/>
        <c:lblOffset val="100"/>
        <c:noMultiLvlLbl val="0"/>
      </c:catAx>
      <c:valAx>
        <c:axId val="1441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5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[Music_Festival_Data-5.xlsx]Stage5!PivotTable29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Stage5!$C$4</c:f>
              <c:strCache>
                <c:ptCount val="1"/>
                <c:pt idx="0">
                  <c:v>Total Sponsorship Revenue(Rs)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Stage5!$B$5:$B$15</c:f>
              <c:strCache>
                <c:ptCount val="10"/>
                <c:pt idx="0">
                  <c:v>Bollywood Music Project</c:v>
                </c:pt>
                <c:pt idx="1">
                  <c:v>Goa Tribal Festival</c:v>
                </c:pt>
                <c:pt idx="2">
                  <c:v>Hornbill Festival Nagaland</c:v>
                </c:pt>
                <c:pt idx="3">
                  <c:v>Lollapalooza Mumbai</c:v>
                </c:pt>
                <c:pt idx="4">
                  <c:v>Magnetic Fields Rajasthan</c:v>
                </c:pt>
                <c:pt idx="5">
                  <c:v>NH7 Pune</c:v>
                </c:pt>
                <c:pt idx="6">
                  <c:v>Sunburn Goa</c:v>
                </c:pt>
                <c:pt idx="7">
                  <c:v>Supersonic Bengaluru</c:v>
                </c:pt>
                <c:pt idx="8">
                  <c:v>VH1 Supersonic Delhi</c:v>
                </c:pt>
                <c:pt idx="9">
                  <c:v>Ziro Festival Arunachal</c:v>
                </c:pt>
              </c:strCache>
            </c:strRef>
          </c:cat>
          <c:val>
            <c:numRef>
              <c:f>Stage5!$C$5:$C$15</c:f>
              <c:numCache>
                <c:formatCode>General</c:formatCode>
                <c:ptCount val="10"/>
                <c:pt idx="0">
                  <c:v>24890409</c:v>
                </c:pt>
                <c:pt idx="1">
                  <c:v>13640304</c:v>
                </c:pt>
                <c:pt idx="2">
                  <c:v>25729666</c:v>
                </c:pt>
                <c:pt idx="3">
                  <c:v>27249754</c:v>
                </c:pt>
                <c:pt idx="4">
                  <c:v>20962429</c:v>
                </c:pt>
                <c:pt idx="5">
                  <c:v>22154036</c:v>
                </c:pt>
                <c:pt idx="6">
                  <c:v>37397648</c:v>
                </c:pt>
                <c:pt idx="7">
                  <c:v>34776787</c:v>
                </c:pt>
                <c:pt idx="8">
                  <c:v>26610746</c:v>
                </c:pt>
                <c:pt idx="9">
                  <c:v>35162471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0-48A4-ADD1-550421E320E7}"/>
            </c:ext>
          </c:extLst>
        </c:ser>
        <c:ser>
          <c:idx val="1"/>
          <c:order val="1"/>
          <c:tx>
            <c:strRef>
              <c:f>Stage5!$D$4</c:f>
              <c:strCache>
                <c:ptCount val="1"/>
                <c:pt idx="0">
                  <c:v>Total Merchandise Revenue(Rs)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Stage5!$B$5:$B$15</c:f>
              <c:strCache>
                <c:ptCount val="10"/>
                <c:pt idx="0">
                  <c:v>Bollywood Music Project</c:v>
                </c:pt>
                <c:pt idx="1">
                  <c:v>Goa Tribal Festival</c:v>
                </c:pt>
                <c:pt idx="2">
                  <c:v>Hornbill Festival Nagaland</c:v>
                </c:pt>
                <c:pt idx="3">
                  <c:v>Lollapalooza Mumbai</c:v>
                </c:pt>
                <c:pt idx="4">
                  <c:v>Magnetic Fields Rajasthan</c:v>
                </c:pt>
                <c:pt idx="5">
                  <c:v>NH7 Pune</c:v>
                </c:pt>
                <c:pt idx="6">
                  <c:v>Sunburn Goa</c:v>
                </c:pt>
                <c:pt idx="7">
                  <c:v>Supersonic Bengaluru</c:v>
                </c:pt>
                <c:pt idx="8">
                  <c:v>VH1 Supersonic Delhi</c:v>
                </c:pt>
                <c:pt idx="9">
                  <c:v>Ziro Festival Arunachal</c:v>
                </c:pt>
              </c:strCache>
            </c:strRef>
          </c:cat>
          <c:val>
            <c:numRef>
              <c:f>Stage5!$D$5:$D$15</c:f>
              <c:numCache>
                <c:formatCode>General</c:formatCode>
                <c:ptCount val="10"/>
                <c:pt idx="0">
                  <c:v>70150425</c:v>
                </c:pt>
                <c:pt idx="1">
                  <c:v>34422086</c:v>
                </c:pt>
                <c:pt idx="2">
                  <c:v>53220652</c:v>
                </c:pt>
                <c:pt idx="3">
                  <c:v>44591246</c:v>
                </c:pt>
                <c:pt idx="4">
                  <c:v>44144035</c:v>
                </c:pt>
                <c:pt idx="5">
                  <c:v>67169601</c:v>
                </c:pt>
                <c:pt idx="6">
                  <c:v>64852790</c:v>
                </c:pt>
                <c:pt idx="7">
                  <c:v>33903753</c:v>
                </c:pt>
                <c:pt idx="8">
                  <c:v>33620520</c:v>
                </c:pt>
                <c:pt idx="9">
                  <c:v>74651155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00-48A4-ADD1-550421E320E7}"/>
            </c:ext>
          </c:extLst>
        </c:ser>
        <c:ser>
          <c:idx val="2"/>
          <c:order val="2"/>
          <c:tx>
            <c:strRef>
              <c:f>Stage5!$E$4</c:f>
              <c:strCache>
                <c:ptCount val="1"/>
                <c:pt idx="0">
                  <c:v>Total Revenue(Rs)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Stage5!$B$5:$B$15</c:f>
              <c:strCache>
                <c:ptCount val="10"/>
                <c:pt idx="0">
                  <c:v>Bollywood Music Project</c:v>
                </c:pt>
                <c:pt idx="1">
                  <c:v>Goa Tribal Festival</c:v>
                </c:pt>
                <c:pt idx="2">
                  <c:v>Hornbill Festival Nagaland</c:v>
                </c:pt>
                <c:pt idx="3">
                  <c:v>Lollapalooza Mumbai</c:v>
                </c:pt>
                <c:pt idx="4">
                  <c:v>Magnetic Fields Rajasthan</c:v>
                </c:pt>
                <c:pt idx="5">
                  <c:v>NH7 Pune</c:v>
                </c:pt>
                <c:pt idx="6">
                  <c:v>Sunburn Goa</c:v>
                </c:pt>
                <c:pt idx="7">
                  <c:v>Supersonic Bengaluru</c:v>
                </c:pt>
                <c:pt idx="8">
                  <c:v>VH1 Supersonic Delhi</c:v>
                </c:pt>
                <c:pt idx="9">
                  <c:v>Ziro Festival Arunachal</c:v>
                </c:pt>
              </c:strCache>
            </c:strRef>
          </c:cat>
          <c:val>
            <c:numRef>
              <c:f>Stage5!$E$5:$E$15</c:f>
              <c:numCache>
                <c:formatCode>General</c:formatCode>
                <c:ptCount val="10"/>
                <c:pt idx="0">
                  <c:v>808366341</c:v>
                </c:pt>
                <c:pt idx="1">
                  <c:v>262562788</c:v>
                </c:pt>
                <c:pt idx="2">
                  <c:v>693593924</c:v>
                </c:pt>
                <c:pt idx="3">
                  <c:v>573358526</c:v>
                </c:pt>
                <c:pt idx="4">
                  <c:v>417295881</c:v>
                </c:pt>
                <c:pt idx="5">
                  <c:v>515929887</c:v>
                </c:pt>
                <c:pt idx="6">
                  <c:v>695292216</c:v>
                </c:pt>
                <c:pt idx="7">
                  <c:v>468868182</c:v>
                </c:pt>
                <c:pt idx="8">
                  <c:v>459482479</c:v>
                </c:pt>
                <c:pt idx="9">
                  <c:v>1069812715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0-48A4-ADD1-550421E32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5621168"/>
        <c:axId val="1105623088"/>
      </c:barChart>
      <c:catAx>
        <c:axId val="110562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23088"/>
        <c:crosses val="autoZero"/>
        <c:auto val="1"/>
        <c:lblAlgn val="ctr"/>
        <c:lblOffset val="100"/>
        <c:noMultiLvlLbl val="0"/>
      </c:catAx>
      <c:valAx>
        <c:axId val="110562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62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E0-473F-8D15-73AE957069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7E0-473F-8D15-73AE957069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7E0-473F-8D15-73AE9570699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Stage5!$B$84:$B$86</c:f>
              <c:strCache>
                <c:ptCount val="3"/>
                <c:pt idx="0">
                  <c:v>Total Revenue</c:v>
                </c:pt>
                <c:pt idx="1">
                  <c:v>Sponsorship Revenue</c:v>
                </c:pt>
                <c:pt idx="2">
                  <c:v>Merchandise Revenue</c:v>
                </c:pt>
              </c:strCache>
            </c:strRef>
          </c:cat>
          <c:val>
            <c:numRef>
              <c:f>Stage5!$C$84:$C$86</c:f>
              <c:numCache>
                <c:formatCode>"₹"\ #,##0</c:formatCode>
                <c:ptCount val="3"/>
                <c:pt idx="0">
                  <c:v>5964562939</c:v>
                </c:pt>
                <c:pt idx="1">
                  <c:v>268574250</c:v>
                </c:pt>
                <c:pt idx="2">
                  <c:v>520726263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9-4536-B302-990F8B9FC58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[Music_Festival_Data-5.xlsx]Stage6!PivotTable15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City-wise</a:t>
            </a:r>
            <a:r>
              <a:rPr lang="en-IN" baseline="0"/>
              <a:t> Genre Preference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Stage6!$C$3:$C$4</c:f>
              <c:strCache>
                <c:ptCount val="1"/>
                <c:pt idx="0">
                  <c:v>Bollywood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Stage6!$C$5:$C$15</c:f>
              <c:numCache>
                <c:formatCode>General</c:formatCode>
                <c:ptCount val="10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9-4384-BC82-6D5D4652F2D3}"/>
            </c:ext>
          </c:extLst>
        </c:ser>
        <c:ser>
          <c:idx val="1"/>
          <c:order val="1"/>
          <c:tx>
            <c:strRef>
              <c:f>Stage6!$D$3:$D$4</c:f>
              <c:strCache>
                <c:ptCount val="1"/>
                <c:pt idx="0">
                  <c:v>Classical/Bollywood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Stage6!$D$5:$D$15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9-4384-BC82-6D5D4652F2D3}"/>
            </c:ext>
          </c:extLst>
        </c:ser>
        <c:ser>
          <c:idx val="2"/>
          <c:order val="2"/>
          <c:tx>
            <c:strRef>
              <c:f>Stage6!$E$3:$E$4</c:f>
              <c:strCache>
                <c:ptCount val="1"/>
                <c:pt idx="0">
                  <c:v>EDM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Stage6!$E$5:$E$15</c:f>
              <c:numCache>
                <c:formatCode>General</c:formatCode>
                <c:ptCount val="10"/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9-4384-BC82-6D5D4652F2D3}"/>
            </c:ext>
          </c:extLst>
        </c:ser>
        <c:ser>
          <c:idx val="3"/>
          <c:order val="3"/>
          <c:tx>
            <c:strRef>
              <c:f>Stage6!$F$3:$F$4</c:f>
              <c:strCache>
                <c:ptCount val="1"/>
                <c:pt idx="0">
                  <c:v>Hip-Hop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Stage6!$F$5:$F$15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9-4384-BC82-6D5D4652F2D3}"/>
            </c:ext>
          </c:extLst>
        </c:ser>
        <c:ser>
          <c:idx val="4"/>
          <c:order val="4"/>
          <c:tx>
            <c:strRef>
              <c:f>Stage6!$G$3:$G$4</c:f>
              <c:strCache>
                <c:ptCount val="1"/>
                <c:pt idx="0">
                  <c:v>International Pop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Stage6!$G$5:$G$15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09-4384-BC82-6D5D4652F2D3}"/>
            </c:ext>
          </c:extLst>
        </c:ser>
        <c:ser>
          <c:idx val="5"/>
          <c:order val="5"/>
          <c:tx>
            <c:strRef>
              <c:f>Stage6!$H$3:$H$4</c:f>
              <c:strCache>
                <c:ptCount val="1"/>
                <c:pt idx="0">
                  <c:v>Punjabi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Stage6!$H$5:$H$15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09-4384-BC82-6D5D4652F2D3}"/>
            </c:ext>
          </c:extLst>
        </c:ser>
        <c:ser>
          <c:idx val="6"/>
          <c:order val="6"/>
          <c:tx>
            <c:strRef>
              <c:f>Stage6!$I$3:$I$4</c:f>
              <c:strCache>
                <c:ptCount val="1"/>
                <c:pt idx="0">
                  <c:v>Rock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Stage6!$B$5:$B$15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Stage6!$I$5:$I$15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  <c:pt idx="6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09-4384-BC82-6D5D4652F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2188912"/>
        <c:axId val="1462196112"/>
      </c:barChart>
      <c:catAx>
        <c:axId val="146218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96112"/>
        <c:crosses val="autoZero"/>
        <c:auto val="1"/>
        <c:lblAlgn val="ctr"/>
        <c:lblOffset val="100"/>
        <c:noMultiLvlLbl val="0"/>
      </c:catAx>
      <c:valAx>
        <c:axId val="146219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[Music_Festival_Data-5.xlsx]Stage6!PivotTable16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Stage6!$C$20:$C$21</c:f>
              <c:strCache>
                <c:ptCount val="1"/>
                <c:pt idx="0">
                  <c:v>Bollywood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Stage6!$C$22:$C$32</c:f>
              <c:numCache>
                <c:formatCode>General</c:formatCode>
                <c:ptCount val="10"/>
                <c:pt idx="0">
                  <c:v>25243</c:v>
                </c:pt>
                <c:pt idx="1">
                  <c:v>54368</c:v>
                </c:pt>
                <c:pt idx="2">
                  <c:v>42305</c:v>
                </c:pt>
                <c:pt idx="3">
                  <c:v>53402.880000000005</c:v>
                </c:pt>
                <c:pt idx="4">
                  <c:v>172325</c:v>
                </c:pt>
                <c:pt idx="5">
                  <c:v>76528.88</c:v>
                </c:pt>
                <c:pt idx="6">
                  <c:v>57679</c:v>
                </c:pt>
                <c:pt idx="7">
                  <c:v>30915</c:v>
                </c:pt>
                <c:pt idx="8">
                  <c:v>124937.88</c:v>
                </c:pt>
                <c:pt idx="9">
                  <c:v>40702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E-4277-8CF6-5E47D20E127D}"/>
            </c:ext>
          </c:extLst>
        </c:ser>
        <c:ser>
          <c:idx val="1"/>
          <c:order val="1"/>
          <c:tx>
            <c:strRef>
              <c:f>Stage6!$D$20:$D$21</c:f>
              <c:strCache>
                <c:ptCount val="1"/>
                <c:pt idx="0">
                  <c:v>Classical/Bollywood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Stage6!$D$22:$D$32</c:f>
              <c:numCache>
                <c:formatCode>General</c:formatCode>
                <c:ptCount val="10"/>
                <c:pt idx="0">
                  <c:v>20603</c:v>
                </c:pt>
                <c:pt idx="1">
                  <c:v>8214</c:v>
                </c:pt>
                <c:pt idx="2">
                  <c:v>35304</c:v>
                </c:pt>
                <c:pt idx="3">
                  <c:v>57915.880000000005</c:v>
                </c:pt>
                <c:pt idx="4">
                  <c:v>44819.880000000005</c:v>
                </c:pt>
                <c:pt idx="5">
                  <c:v>31020</c:v>
                </c:pt>
                <c:pt idx="9">
                  <c:v>20798.88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E-4277-8CF6-5E47D20E127D}"/>
            </c:ext>
          </c:extLst>
        </c:ser>
        <c:ser>
          <c:idx val="2"/>
          <c:order val="2"/>
          <c:tx>
            <c:strRef>
              <c:f>Stage6!$E$20:$E$21</c:f>
              <c:strCache>
                <c:ptCount val="1"/>
                <c:pt idx="0">
                  <c:v>EDM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Stage6!$E$22:$E$32</c:f>
              <c:numCache>
                <c:formatCode>General</c:formatCode>
                <c:ptCount val="10"/>
                <c:pt idx="1">
                  <c:v>31745</c:v>
                </c:pt>
                <c:pt idx="2">
                  <c:v>23590</c:v>
                </c:pt>
                <c:pt idx="3">
                  <c:v>17172</c:v>
                </c:pt>
                <c:pt idx="4">
                  <c:v>34524</c:v>
                </c:pt>
                <c:pt idx="5">
                  <c:v>80922</c:v>
                </c:pt>
                <c:pt idx="7">
                  <c:v>19867</c:v>
                </c:pt>
                <c:pt idx="8">
                  <c:v>35800.880000000005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CE-4277-8CF6-5E47D20E127D}"/>
            </c:ext>
          </c:extLst>
        </c:ser>
        <c:ser>
          <c:idx val="3"/>
          <c:order val="3"/>
          <c:tx>
            <c:strRef>
              <c:f>Stage6!$F$20:$F$21</c:f>
              <c:strCache>
                <c:ptCount val="1"/>
                <c:pt idx="0">
                  <c:v>Hip-Hop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Stage6!$F$22:$F$32</c:f>
              <c:numCache>
                <c:formatCode>General</c:formatCode>
                <c:ptCount val="10"/>
                <c:pt idx="0">
                  <c:v>9316</c:v>
                </c:pt>
                <c:pt idx="1">
                  <c:v>16737</c:v>
                </c:pt>
                <c:pt idx="2">
                  <c:v>13994</c:v>
                </c:pt>
                <c:pt idx="4">
                  <c:v>24248</c:v>
                </c:pt>
                <c:pt idx="5">
                  <c:v>13539</c:v>
                </c:pt>
                <c:pt idx="6">
                  <c:v>32354</c:v>
                </c:pt>
                <c:pt idx="8">
                  <c:v>31347</c:v>
                </c:pt>
                <c:pt idx="9">
                  <c:v>32900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CE-4277-8CF6-5E47D20E127D}"/>
            </c:ext>
          </c:extLst>
        </c:ser>
        <c:ser>
          <c:idx val="4"/>
          <c:order val="4"/>
          <c:tx>
            <c:strRef>
              <c:f>Stage6!$G$20:$G$21</c:f>
              <c:strCache>
                <c:ptCount val="1"/>
                <c:pt idx="0">
                  <c:v>International Pop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Stage6!$G$22:$G$32</c:f>
              <c:numCache>
                <c:formatCode>General</c:formatCode>
                <c:ptCount val="10"/>
                <c:pt idx="0">
                  <c:v>20798.88</c:v>
                </c:pt>
                <c:pt idx="1">
                  <c:v>14283</c:v>
                </c:pt>
                <c:pt idx="2">
                  <c:v>6000</c:v>
                </c:pt>
                <c:pt idx="9">
                  <c:v>11790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CE-4277-8CF6-5E47D20E127D}"/>
            </c:ext>
          </c:extLst>
        </c:ser>
        <c:ser>
          <c:idx val="5"/>
          <c:order val="5"/>
          <c:tx>
            <c:strRef>
              <c:f>Stage6!$H$20:$H$21</c:f>
              <c:strCache>
                <c:ptCount val="1"/>
                <c:pt idx="0">
                  <c:v>Punjabi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Stage6!$H$22:$H$32</c:f>
              <c:numCache>
                <c:formatCode>General</c:formatCode>
                <c:ptCount val="10"/>
                <c:pt idx="1">
                  <c:v>7559.5</c:v>
                </c:pt>
                <c:pt idx="2">
                  <c:v>34043.1</c:v>
                </c:pt>
                <c:pt idx="3">
                  <c:v>14456</c:v>
                </c:pt>
                <c:pt idx="4">
                  <c:v>56160</c:v>
                </c:pt>
                <c:pt idx="5">
                  <c:v>32925.1</c:v>
                </c:pt>
                <c:pt idx="6">
                  <c:v>45372.6</c:v>
                </c:pt>
                <c:pt idx="7">
                  <c:v>28345.200000000001</c:v>
                </c:pt>
                <c:pt idx="9">
                  <c:v>33241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CE-4277-8CF6-5E47D20E127D}"/>
            </c:ext>
          </c:extLst>
        </c:ser>
        <c:ser>
          <c:idx val="6"/>
          <c:order val="6"/>
          <c:tx>
            <c:strRef>
              <c:f>Stage6!$I$20:$I$21</c:f>
              <c:strCache>
                <c:ptCount val="1"/>
                <c:pt idx="0">
                  <c:v>Rock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Stage6!$B$22:$B$32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Stage6!$I$22:$I$32</c:f>
              <c:numCache>
                <c:formatCode>0</c:formatCode>
                <c:ptCount val="10"/>
                <c:pt idx="0">
                  <c:v>39819.979999999996</c:v>
                </c:pt>
                <c:pt idx="1">
                  <c:v>17889.900000000001</c:v>
                </c:pt>
                <c:pt idx="3">
                  <c:v>30839.199999999997</c:v>
                </c:pt>
                <c:pt idx="4">
                  <c:v>36988.699999999997</c:v>
                </c:pt>
                <c:pt idx="6">
                  <c:v>9504.6</c:v>
                </c:pt>
                <c:pt idx="8">
                  <c:v>35788.199999999997</c:v>
                </c:pt>
                <c:pt idx="9">
                  <c:v>11366.6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CE-4277-8CF6-5E47D20E1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5912832"/>
        <c:axId val="1565918112"/>
      </c:barChart>
      <c:catAx>
        <c:axId val="156591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18112"/>
        <c:crosses val="autoZero"/>
        <c:auto val="1"/>
        <c:lblAlgn val="ctr"/>
        <c:lblOffset val="100"/>
        <c:noMultiLvlLbl val="0"/>
      </c:catAx>
      <c:valAx>
        <c:axId val="156591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1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Attedance Correlation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Stage6!$E$58</c:f>
              <c:strCache>
                <c:ptCount val="1"/>
                <c:pt idx="0">
                  <c:v>Total Attendance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Stage6!$D$59:$D$68</c:f>
              <c:numCache>
                <c:formatCode>"₹"\ #,##0</c:formatCode>
                <c:ptCount val="10"/>
                <c:pt idx="0">
                  <c:v>342669864</c:v>
                </c:pt>
                <c:pt idx="1">
                  <c:v>633786616</c:v>
                </c:pt>
                <c:pt idx="2">
                  <c:v>340514615</c:v>
                </c:pt>
                <c:pt idx="3">
                  <c:v>744828479</c:v>
                </c:pt>
                <c:pt idx="4">
                  <c:v>1036587718</c:v>
                </c:pt>
                <c:pt idx="5">
                  <c:v>694118334</c:v>
                </c:pt>
                <c:pt idx="6">
                  <c:v>580660842</c:v>
                </c:pt>
                <c:pt idx="7">
                  <c:v>171830232</c:v>
                </c:pt>
                <c:pt idx="8">
                  <c:v>716408170</c:v>
                </c:pt>
                <c:pt idx="9">
                  <c:v>479288314</c:v>
                </c:pt>
              </c:numCache>
            </c:numRef>
          </c:xVal>
          <c:yVal>
            <c:numRef>
              <c:f>Stage6!$E$59:$E$68</c:f>
              <c:numCache>
                <c:formatCode>_ * #,##0_ ;_ * \-#,##0_ ;_ * "-"??_ ;_ @_ </c:formatCode>
                <c:ptCount val="10"/>
                <c:pt idx="0">
                  <c:v>115780.86000000002</c:v>
                </c:pt>
                <c:pt idx="1">
                  <c:v>150796.4</c:v>
                </c:pt>
                <c:pt idx="2">
                  <c:v>155236.1</c:v>
                </c:pt>
                <c:pt idx="3">
                  <c:v>173785.96000000002</c:v>
                </c:pt>
                <c:pt idx="4">
                  <c:v>354377.58</c:v>
                </c:pt>
                <c:pt idx="5">
                  <c:v>214136.1</c:v>
                </c:pt>
                <c:pt idx="6">
                  <c:v>138744.20000000001</c:v>
                </c:pt>
                <c:pt idx="7">
                  <c:v>79127.199999999997</c:v>
                </c:pt>
                <c:pt idx="8">
                  <c:v>159094.96000000002</c:v>
                </c:pt>
                <c:pt idx="9">
                  <c:v>150798.48000000001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B-4A93-94C0-B685E9D82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652688"/>
        <c:axId val="1294653168"/>
      </c:scatterChart>
      <c:valAx>
        <c:axId val="12946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53168"/>
        <c:crosses val="autoZero"/>
        <c:crossBetween val="midCat"/>
      </c:valAx>
      <c:valAx>
        <c:axId val="12946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65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Stage6!$G$58</c:f>
              <c:strCache>
                <c:ptCount val="1"/>
                <c:pt idx="0">
                  <c:v>Revenue per attendee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Stage6!$B$59:$B$68</c:f>
              <c:strCache>
                <c:ptCount val="10"/>
                <c:pt idx="0">
                  <c:v>Amritsar</c:v>
                </c:pt>
                <c:pt idx="1">
                  <c:v>Bengaluru</c:v>
                </c:pt>
                <c:pt idx="2">
                  <c:v>Chandigarh</c:v>
                </c:pt>
                <c:pt idx="3">
                  <c:v>Delhi</c:v>
                </c:pt>
                <c:pt idx="4">
                  <c:v>Goa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Nagpur</c:v>
                </c:pt>
                <c:pt idx="9">
                  <c:v>Pune</c:v>
                </c:pt>
              </c:strCache>
            </c:strRef>
          </c:cat>
          <c:val>
            <c:numRef>
              <c:f>Stage6!$G$59:$G$68</c:f>
              <c:numCache>
                <c:formatCode>"₹"\ #,##0</c:formatCode>
                <c:ptCount val="10"/>
                <c:pt idx="0">
                  <c:v>2959.6417231656419</c:v>
                </c:pt>
                <c:pt idx="1">
                  <c:v>4202.9293537511503</c:v>
                </c:pt>
                <c:pt idx="2">
                  <c:v>2193.52724656185</c:v>
                </c:pt>
                <c:pt idx="3">
                  <c:v>4285.8955867320919</c:v>
                </c:pt>
                <c:pt idx="4">
                  <c:v>2925.0939576933733</c:v>
                </c:pt>
                <c:pt idx="5">
                  <c:v>3241.4820947985882</c:v>
                </c:pt>
                <c:pt idx="6">
                  <c:v>4185.1179508765044</c:v>
                </c:pt>
                <c:pt idx="7">
                  <c:v>2171.5697257074685</c:v>
                </c:pt>
                <c:pt idx="8">
                  <c:v>4503.0224087551223</c:v>
                </c:pt>
                <c:pt idx="9">
                  <c:v>3178.3365057791029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E-4163-914B-9029912B9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261392"/>
        <c:axId val="1462268112"/>
      </c:barChart>
      <c:catAx>
        <c:axId val="146226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68112"/>
        <c:crosses val="autoZero"/>
        <c:auto val="1"/>
        <c:lblAlgn val="ctr"/>
        <c:lblOffset val="100"/>
        <c:noMultiLvlLbl val="0"/>
      </c:catAx>
      <c:valAx>
        <c:axId val="146226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26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2B-49FA-9769-FC06A9EBFB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2B-49FA-9769-FC06A9EBFB23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2B-49FA-9769-FC06A9EBFB23}"/>
              </c:ext>
            </c:extLst>
          </c:dPt>
          <c:dLbls>
            <c:dLbl>
              <c:idx val="0"/>
              <c:layout>
                <c:manualLayout>
                  <c:x val="-3.1544908506284303E-2"/>
                  <c:y val="-0.2528737296643194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86.8%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12B-49FA-9769-FC06A9EBFB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4.5%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2B-49FA-9769-FC06A9EBFB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8.7%</a:t>
                    </a:r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12B-49FA-9769-FC06A9EBFB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Stage5!$B$84:$B$86</c:f>
              <c:strCache>
                <c:ptCount val="3"/>
                <c:pt idx="0">
                  <c:v>Total Revenue</c:v>
                </c:pt>
                <c:pt idx="1">
                  <c:v>Sponsorship Revenue</c:v>
                </c:pt>
                <c:pt idx="2">
                  <c:v>Merchandise Revenue</c:v>
                </c:pt>
              </c:strCache>
            </c:strRef>
          </c:cat>
          <c:val>
            <c:numRef>
              <c:f>Stage5!$C$84:$C$86</c:f>
              <c:numCache>
                <c:formatCode>"₹"\ #,##0</c:formatCode>
                <c:ptCount val="3"/>
                <c:pt idx="0">
                  <c:v>5964562939</c:v>
                </c:pt>
                <c:pt idx="1">
                  <c:v>268574250</c:v>
                </c:pt>
                <c:pt idx="2">
                  <c:v>520726263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2B-49FA-9769-FC06A9EBFB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[Music_Festival_Data-5.xlsx]Stage2!PivotTable2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u="sng"/>
              <a:t>Peak Seasonal</a:t>
            </a:r>
            <a:r>
              <a:rPr lang="en-IN" u="sng" baseline="0"/>
              <a:t> Analysis</a:t>
            </a:r>
            <a:endParaRPr lang="en-IN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Stage2!$B$26</c:f>
              <c:strCache>
                <c:ptCount val="1"/>
                <c:pt idx="0">
                  <c:v>Total_Revenue1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Stage2!$A$27:$A$39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Stage2!$B$27:$B$39</c:f>
              <c:numCache>
                <c:formatCode>General</c:formatCode>
                <c:ptCount val="12"/>
                <c:pt idx="0">
                  <c:v>471168417</c:v>
                </c:pt>
                <c:pt idx="1">
                  <c:v>328171218</c:v>
                </c:pt>
                <c:pt idx="2">
                  <c:v>406005910</c:v>
                </c:pt>
                <c:pt idx="3">
                  <c:v>380768959</c:v>
                </c:pt>
                <c:pt idx="4">
                  <c:v>591637363</c:v>
                </c:pt>
                <c:pt idx="5">
                  <c:v>536416537</c:v>
                </c:pt>
                <c:pt idx="6">
                  <c:v>493875206</c:v>
                </c:pt>
                <c:pt idx="7">
                  <c:v>848183953</c:v>
                </c:pt>
                <c:pt idx="8">
                  <c:v>695359429</c:v>
                </c:pt>
                <c:pt idx="9">
                  <c:v>91024006</c:v>
                </c:pt>
                <c:pt idx="10">
                  <c:v>256909552</c:v>
                </c:pt>
                <c:pt idx="11">
                  <c:v>865042389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F-471D-BB7D-3771781C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43178015"/>
        <c:axId val="1943190975"/>
      </c:barChart>
      <c:lineChart>
        <c:grouping val="standard"/>
        <c:varyColors val="0"/>
        <c:ser>
          <c:idx val="1"/>
          <c:order val="1"/>
          <c:tx>
            <c:strRef>
              <c:f>Stage2!$C$26</c:f>
              <c:strCache>
                <c:ptCount val="1"/>
                <c:pt idx="0">
                  <c:v>Total_Attendance1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Stage2!$A$27:$A$39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Stage2!$C$27:$C$39</c:f>
              <c:numCache>
                <c:formatCode>0</c:formatCode>
                <c:ptCount val="12"/>
                <c:pt idx="0">
                  <c:v>147506.5</c:v>
                </c:pt>
                <c:pt idx="1">
                  <c:v>95928.1</c:v>
                </c:pt>
                <c:pt idx="2">
                  <c:v>99290.7</c:v>
                </c:pt>
                <c:pt idx="3">
                  <c:v>145057.60000000001</c:v>
                </c:pt>
                <c:pt idx="4">
                  <c:v>196145.76</c:v>
                </c:pt>
                <c:pt idx="5">
                  <c:v>208472.74000000002</c:v>
                </c:pt>
                <c:pt idx="6">
                  <c:v>121054</c:v>
                </c:pt>
                <c:pt idx="7">
                  <c:v>256917.18000000002</c:v>
                </c:pt>
                <c:pt idx="8">
                  <c:v>142573</c:v>
                </c:pt>
                <c:pt idx="9">
                  <c:v>29962.6</c:v>
                </c:pt>
                <c:pt idx="10">
                  <c:v>98336.960000000006</c:v>
                </c:pt>
                <c:pt idx="11">
                  <c:v>261064.58000000002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5F-471D-BB7D-3771781C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087151"/>
        <c:axId val="891086671"/>
      </c:lineChart>
      <c:catAx>
        <c:axId val="19431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90975"/>
        <c:crosses val="autoZero"/>
        <c:auto val="1"/>
        <c:lblAlgn val="ctr"/>
        <c:lblOffset val="100"/>
        <c:noMultiLvlLbl val="0"/>
      </c:catAx>
      <c:valAx>
        <c:axId val="194319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7801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91086671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151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891087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086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[Music_Festival_Data-5.xlsx]Stage2!PivotTable3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Cities by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Stage2!$B$49</c:f>
              <c:strCache>
                <c:ptCount val="1"/>
                <c:pt idx="0">
                  <c:v>Total Revenue(Rs)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Stage2!$A$50:$A$60</c:f>
              <c:strCache>
                <c:ptCount val="10"/>
                <c:pt idx="0">
                  <c:v>Pune</c:v>
                </c:pt>
                <c:pt idx="1">
                  <c:v>Nagpur</c:v>
                </c:pt>
                <c:pt idx="2">
                  <c:v>Mumbai</c:v>
                </c:pt>
                <c:pt idx="3">
                  <c:v>Kolkata</c:v>
                </c:pt>
                <c:pt idx="4">
                  <c:v>Jaipur</c:v>
                </c:pt>
                <c:pt idx="5">
                  <c:v>Goa</c:v>
                </c:pt>
                <c:pt idx="6">
                  <c:v>Delhi</c:v>
                </c:pt>
                <c:pt idx="7">
                  <c:v>Chandigarh</c:v>
                </c:pt>
                <c:pt idx="8">
                  <c:v>Bengaluru</c:v>
                </c:pt>
                <c:pt idx="9">
                  <c:v>Amritsar</c:v>
                </c:pt>
              </c:strCache>
            </c:strRef>
          </c:cat>
          <c:val>
            <c:numRef>
              <c:f>Stage2!$B$50:$B$60</c:f>
              <c:numCache>
                <c:formatCode>General</c:formatCode>
                <c:ptCount val="10"/>
                <c:pt idx="0">
                  <c:v>479288314</c:v>
                </c:pt>
                <c:pt idx="1">
                  <c:v>831769738</c:v>
                </c:pt>
                <c:pt idx="2">
                  <c:v>171830232</c:v>
                </c:pt>
                <c:pt idx="3">
                  <c:v>594009538</c:v>
                </c:pt>
                <c:pt idx="4">
                  <c:v>752723987</c:v>
                </c:pt>
                <c:pt idx="5">
                  <c:v>1073141556</c:v>
                </c:pt>
                <c:pt idx="6">
                  <c:v>744828479</c:v>
                </c:pt>
                <c:pt idx="7">
                  <c:v>340514615</c:v>
                </c:pt>
                <c:pt idx="8">
                  <c:v>633786616</c:v>
                </c:pt>
                <c:pt idx="9">
                  <c:v>342669864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2-471C-AF35-D30ED76A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975263"/>
        <c:axId val="1224977183"/>
      </c:barChart>
      <c:lineChart>
        <c:grouping val="standard"/>
        <c:varyColors val="0"/>
        <c:ser>
          <c:idx val="1"/>
          <c:order val="1"/>
          <c:tx>
            <c:strRef>
              <c:f>Stage2!$C$49</c:f>
              <c:strCache>
                <c:ptCount val="1"/>
                <c:pt idx="0">
                  <c:v>Total Attendance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Stage2!$A$50:$A$60</c:f>
              <c:strCache>
                <c:ptCount val="10"/>
                <c:pt idx="0">
                  <c:v>Pune</c:v>
                </c:pt>
                <c:pt idx="1">
                  <c:v>Nagpur</c:v>
                </c:pt>
                <c:pt idx="2">
                  <c:v>Mumbai</c:v>
                </c:pt>
                <c:pt idx="3">
                  <c:v>Kolkata</c:v>
                </c:pt>
                <c:pt idx="4">
                  <c:v>Jaipur</c:v>
                </c:pt>
                <c:pt idx="5">
                  <c:v>Goa</c:v>
                </c:pt>
                <c:pt idx="6">
                  <c:v>Delhi</c:v>
                </c:pt>
                <c:pt idx="7">
                  <c:v>Chandigarh</c:v>
                </c:pt>
                <c:pt idx="8">
                  <c:v>Bengaluru</c:v>
                </c:pt>
                <c:pt idx="9">
                  <c:v>Amritsar</c:v>
                </c:pt>
              </c:strCache>
            </c:strRef>
          </c:cat>
          <c:val>
            <c:numRef>
              <c:f>Stage2!$C$50:$C$60</c:f>
              <c:numCache>
                <c:formatCode>0</c:formatCode>
                <c:ptCount val="10"/>
                <c:pt idx="0">
                  <c:v>150798.48000000001</c:v>
                </c:pt>
                <c:pt idx="1">
                  <c:v>227873.96</c:v>
                </c:pt>
                <c:pt idx="2">
                  <c:v>79127.199999999997</c:v>
                </c:pt>
                <c:pt idx="3">
                  <c:v>144910.20000000001</c:v>
                </c:pt>
                <c:pt idx="4">
                  <c:v>234934.98</c:v>
                </c:pt>
                <c:pt idx="5">
                  <c:v>369065.58</c:v>
                </c:pt>
                <c:pt idx="6">
                  <c:v>173785.96000000002</c:v>
                </c:pt>
                <c:pt idx="7">
                  <c:v>155236.1</c:v>
                </c:pt>
                <c:pt idx="8">
                  <c:v>150796.4</c:v>
                </c:pt>
                <c:pt idx="9">
                  <c:v>115780.86000000002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2-471C-AF35-D30ED76A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981983"/>
        <c:axId val="1224980063"/>
      </c:lineChart>
      <c:catAx>
        <c:axId val="122497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77183"/>
        <c:crosses val="autoZero"/>
        <c:auto val="1"/>
        <c:lblAlgn val="ctr"/>
        <c:lblOffset val="100"/>
        <c:noMultiLvlLbl val="0"/>
      </c:catAx>
      <c:valAx>
        <c:axId val="122497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7526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224980063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8198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224981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49800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2</xdr:row>
      <xdr:rowOff>11430</xdr:rowOff>
    </xdr:from>
    <xdr:to>
      <xdr:col>11</xdr:col>
      <xdr:colOff>349822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9A8A-4AEE-5EE1-0EBB-A57C201019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1560705</xdr:colOff>
      <xdr:row>24</xdr:row>
      <xdr:rowOff>10464</xdr:rowOff>
    </xdr:from>
    <xdr:to>
      <xdr:col>11</xdr:col>
      <xdr:colOff>335978</xdr:colOff>
      <xdr:row>38</xdr:row>
      <xdr:rowOff>167157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68858F-DD0A-9A76-F738-4C048DE34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10732</xdr:colOff>
      <xdr:row>69</xdr:row>
      <xdr:rowOff>14542</xdr:rowOff>
    </xdr:from>
    <xdr:to>
      <xdr:col>11</xdr:col>
      <xdr:colOff>354169</xdr:colOff>
      <xdr:row>84</xdr:row>
      <xdr:rowOff>14543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BD8426-01F2-4CA5-4558-328AA0D7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10732</xdr:colOff>
      <xdr:row>47</xdr:row>
      <xdr:rowOff>184596</xdr:rowOff>
    </xdr:from>
    <xdr:to>
      <xdr:col>11</xdr:col>
      <xdr:colOff>354169</xdr:colOff>
      <xdr:row>62</xdr:row>
      <xdr:rowOff>148106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FBC98A-BCD6-44C2-FF83-7F9F9F18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9</xdr:col>
      <xdr:colOff>693420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132B8-6F46-3BB5-75F9-6EAC0DD7B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392722</xdr:colOff>
      <xdr:row>37</xdr:row>
      <xdr:rowOff>23445</xdr:rowOff>
    </xdr:from>
    <xdr:to>
      <xdr:col>7</xdr:col>
      <xdr:colOff>404446</xdr:colOff>
      <xdr:row>52</xdr:row>
      <xdr:rowOff>23446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F0CF5D-0070-49AF-9DB4-D551D2474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928688</xdr:colOff>
      <xdr:row>2</xdr:row>
      <xdr:rowOff>153352</xdr:rowOff>
    </xdr:from>
    <xdr:to>
      <xdr:col>14</xdr:col>
      <xdr:colOff>501650</xdr:colOff>
      <xdr:row>21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2633DE-0689-50AC-8660-6EE099A9B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923924</xdr:colOff>
      <xdr:row>57</xdr:row>
      <xdr:rowOff>49213</xdr:rowOff>
    </xdr:from>
    <xdr:to>
      <xdr:col>14</xdr:col>
      <xdr:colOff>498299</xdr:colOff>
      <xdr:row>75</xdr:row>
      <xdr:rowOff>155413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F736EE-A9E9-3BBA-42C2-296AF10BD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147534</xdr:colOff>
      <xdr:row>3</xdr:row>
      <xdr:rowOff>138</xdr:rowOff>
    </xdr:from>
    <xdr:to>
      <xdr:col>16</xdr:col>
      <xdr:colOff>553046</xdr:colOff>
      <xdr:row>18</xdr:row>
      <xdr:rowOff>9318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180D7-24D6-10DB-EB1D-333E34D59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40341</xdr:colOff>
      <xdr:row>72</xdr:row>
      <xdr:rowOff>8965</xdr:rowOff>
    </xdr:from>
    <xdr:to>
      <xdr:col>7</xdr:col>
      <xdr:colOff>972670</xdr:colOff>
      <xdr:row>86</xdr:row>
      <xdr:rowOff>62753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0AA2B2-A963-DB4F-3351-C07F7E037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2</xdr:row>
      <xdr:rowOff>3810</xdr:rowOff>
    </xdr:from>
    <xdr:to>
      <xdr:col>19</xdr:col>
      <xdr:colOff>167640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7228C3-5E8B-EA81-1F41-D2E6652DE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10732</xdr:colOff>
      <xdr:row>20</xdr:row>
      <xdr:rowOff>18245</xdr:rowOff>
    </xdr:from>
    <xdr:to>
      <xdr:col>16</xdr:col>
      <xdr:colOff>364901</xdr:colOff>
      <xdr:row>35</xdr:row>
      <xdr:rowOff>24684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406F37-4AD0-D37A-ABB2-5C3C02A6B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54</xdr:row>
      <xdr:rowOff>166688</xdr:rowOff>
    </xdr:from>
    <xdr:to>
      <xdr:col>14</xdr:col>
      <xdr:colOff>476250</xdr:colOff>
      <xdr:row>70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FB4F88-DC7A-9726-5612-CF4D3E7BA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123825</xdr:colOff>
      <xdr:row>70</xdr:row>
      <xdr:rowOff>42863</xdr:rowOff>
    </xdr:from>
    <xdr:to>
      <xdr:col>14</xdr:col>
      <xdr:colOff>476250</xdr:colOff>
      <xdr:row>85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0EB380-A4CF-1B37-A41D-061179039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13369</xdr:colOff>
      <xdr:row>19</xdr:row>
      <xdr:rowOff>66843</xdr:rowOff>
    </xdr:from>
    <xdr:to>
      <xdr:col>8</xdr:col>
      <xdr:colOff>2259263</xdr:colOff>
      <xdr:row>36</xdr:row>
      <xdr:rowOff>147053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833B9-0FB0-4223-A833-A5ECCD1A7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227263</xdr:colOff>
      <xdr:row>1</xdr:row>
      <xdr:rowOff>160421</xdr:rowOff>
    </xdr:from>
    <xdr:to>
      <xdr:col>18</xdr:col>
      <xdr:colOff>192611</xdr:colOff>
      <xdr:row>18</xdr:row>
      <xdr:rowOff>173789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743CA6-28B5-4A10-8E7A-206E5FABE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227263</xdr:colOff>
      <xdr:row>19</xdr:row>
      <xdr:rowOff>13368</xdr:rowOff>
    </xdr:from>
    <xdr:to>
      <xdr:col>18</xdr:col>
      <xdr:colOff>193031</xdr:colOff>
      <xdr:row>36</xdr:row>
      <xdr:rowOff>148315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209ABB-EB3D-44E6-B778-3D0D94860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66259</xdr:colOff>
      <xdr:row>2</xdr:row>
      <xdr:rowOff>64852</xdr:rowOff>
    </xdr:from>
    <xdr:to>
      <xdr:col>24</xdr:col>
      <xdr:colOff>371058</xdr:colOff>
      <xdr:row>102</xdr:row>
      <xdr:rowOff>64854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A94AAF-9F40-EF44-0065-C8BCA763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459" y="864952"/>
          <a:ext cx="13715999" cy="190500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0bf5cae351361fa/Coding%20Ninja/Datasets/Excel/Music%20Festival%20Case%20study/Artist_Popularity_Data.xlsx" TargetMode="External"/><Relationship Id="rId1" Type="http://schemas.openxmlformats.org/officeDocument/2006/relationships/externalLinkPath" Target="Artist_Popularit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tist_Popularity_Data"/>
    </sheetNames>
    <sheetDataSet>
      <sheetData sheetId="0">
        <row r="2">
          <cell r="A2" t="str">
            <v>Diljit Dosanjh</v>
          </cell>
          <cell r="B2" t="str">
            <v>Punjabi</v>
          </cell>
          <cell r="C2">
            <v>2027</v>
          </cell>
          <cell r="D2">
            <v>33738</v>
          </cell>
          <cell r="E2">
            <v>46</v>
          </cell>
          <cell r="F2">
            <v>116</v>
          </cell>
          <cell r="G2">
            <v>22334556</v>
          </cell>
          <cell r="H2" t="str">
            <v>Yes</v>
          </cell>
          <cell r="I2" t="str">
            <v>Amritsar, Kolkata, Delhi, Mumbai, Bengaluru</v>
          </cell>
        </row>
        <row r="3">
          <cell r="A3" t="str">
            <v>Honey Singh</v>
          </cell>
          <cell r="B3" t="str">
            <v>Hip-Hop</v>
          </cell>
          <cell r="C3">
            <v>1573</v>
          </cell>
          <cell r="D3">
            <v>35223</v>
          </cell>
          <cell r="E3">
            <v>34</v>
          </cell>
          <cell r="F3">
            <v>430</v>
          </cell>
          <cell r="G3">
            <v>25360560</v>
          </cell>
          <cell r="H3" t="str">
            <v>No</v>
          </cell>
          <cell r="I3" t="str">
            <v>Pune, Amritsar, Bengaluru</v>
          </cell>
        </row>
        <row r="4">
          <cell r="A4" t="str">
            <v>Mika Singh</v>
          </cell>
          <cell r="B4" t="str">
            <v>Bollywood</v>
          </cell>
          <cell r="C4">
            <v>1025</v>
          </cell>
          <cell r="D4">
            <v>11057</v>
          </cell>
          <cell r="E4">
            <v>12</v>
          </cell>
          <cell r="F4">
            <v>371</v>
          </cell>
          <cell r="G4">
            <v>7983154</v>
          </cell>
          <cell r="H4" t="str">
            <v>No</v>
          </cell>
          <cell r="I4" t="str">
            <v>Delhi, Amritsar, Bengaluru, Mumbai</v>
          </cell>
        </row>
        <row r="5">
          <cell r="A5" t="str">
            <v>Arijit Singh</v>
          </cell>
          <cell r="B5" t="str">
            <v>Bollywood</v>
          </cell>
          <cell r="C5">
            <v>2437</v>
          </cell>
          <cell r="D5">
            <v>25729</v>
          </cell>
          <cell r="E5">
            <v>30</v>
          </cell>
          <cell r="F5">
            <v>584</v>
          </cell>
          <cell r="G5">
            <v>18730712</v>
          </cell>
          <cell r="H5" t="str">
            <v>Yes</v>
          </cell>
          <cell r="I5" t="str">
            <v>Nagpur, Jaipur, Chandigarh</v>
          </cell>
        </row>
        <row r="6">
          <cell r="A6" t="str">
            <v>Ed Sheeran</v>
          </cell>
          <cell r="B6" t="str">
            <v>International Pop</v>
          </cell>
          <cell r="C6">
            <v>3436</v>
          </cell>
          <cell r="D6">
            <v>18609</v>
          </cell>
          <cell r="E6">
            <v>55</v>
          </cell>
          <cell r="F6">
            <v>736</v>
          </cell>
          <cell r="G6">
            <v>4856949</v>
          </cell>
          <cell r="H6" t="str">
            <v>Yes</v>
          </cell>
          <cell r="I6" t="str">
            <v>Pune, Amritsar, Goa, Chandigarh</v>
          </cell>
        </row>
        <row r="7">
          <cell r="A7" t="str">
            <v>Bryan Adams</v>
          </cell>
          <cell r="B7" t="str">
            <v>Rock</v>
          </cell>
          <cell r="C7">
            <v>992</v>
          </cell>
          <cell r="D7">
            <v>21632.555555555555</v>
          </cell>
          <cell r="E7">
            <v>30</v>
          </cell>
          <cell r="F7">
            <v>81</v>
          </cell>
          <cell r="G7">
            <v>8678356</v>
          </cell>
          <cell r="H7" t="str">
            <v>Yes</v>
          </cell>
          <cell r="I7" t="str">
            <v>Delhi, Jaipur, Bengaluru, Mumbai</v>
          </cell>
        </row>
        <row r="8">
          <cell r="A8" t="str">
            <v>DJ Snake</v>
          </cell>
          <cell r="B8" t="str">
            <v>EDM</v>
          </cell>
          <cell r="C8">
            <v>1431</v>
          </cell>
          <cell r="D8">
            <v>19089</v>
          </cell>
          <cell r="E8">
            <v>32</v>
          </cell>
          <cell r="F8">
            <v>429</v>
          </cell>
          <cell r="G8">
            <v>10193526</v>
          </cell>
          <cell r="H8" t="str">
            <v>No</v>
          </cell>
          <cell r="I8" t="str">
            <v>Bengaluru, Jaipur, Mumbai, Chandigarh, Kolkata, Delhi</v>
          </cell>
        </row>
        <row r="9">
          <cell r="A9" t="str">
            <v>Martin Garrix</v>
          </cell>
          <cell r="B9" t="str">
            <v>EDM</v>
          </cell>
          <cell r="C9">
            <v>2499</v>
          </cell>
          <cell r="D9">
            <v>11603</v>
          </cell>
          <cell r="E9">
            <v>43</v>
          </cell>
          <cell r="F9">
            <v>298</v>
          </cell>
          <cell r="G9">
            <v>6462871</v>
          </cell>
          <cell r="H9" t="str">
            <v>No</v>
          </cell>
          <cell r="I9" t="str">
            <v>Chandigarh, Delhi, Pune, Nagpur, Bengaluru, Kolkata</v>
          </cell>
        </row>
        <row r="10">
          <cell r="A10" t="str">
            <v>Badshah</v>
          </cell>
          <cell r="B10" t="str">
            <v>Bollywood</v>
          </cell>
          <cell r="C10">
            <v>3351</v>
          </cell>
          <cell r="D10">
            <v>36448</v>
          </cell>
          <cell r="E10">
            <v>33</v>
          </cell>
          <cell r="F10">
            <v>483</v>
          </cell>
          <cell r="G10">
            <v>20228640</v>
          </cell>
          <cell r="H10" t="str">
            <v>No</v>
          </cell>
          <cell r="I10" t="str">
            <v>Nagpur, Goa, Amritsar, Chandigarh, Mumbai</v>
          </cell>
        </row>
        <row r="11">
          <cell r="A11" t="str">
            <v>Shreya Ghoshal</v>
          </cell>
          <cell r="B11" t="str">
            <v>Classical/Bollywood</v>
          </cell>
          <cell r="C11">
            <v>3326</v>
          </cell>
          <cell r="D11">
            <v>3197</v>
          </cell>
          <cell r="E11">
            <v>23</v>
          </cell>
          <cell r="F11">
            <v>271</v>
          </cell>
          <cell r="G11">
            <v>792856</v>
          </cell>
          <cell r="H11" t="str">
            <v>No</v>
          </cell>
          <cell r="I11" t="str">
            <v>Pune, Mumbai, Delhi, Bengaluru, Amritsar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l" refreshedDate="46134.601416319441" createdVersion="8" refreshedVersion="8" minRefreshableVersion="3" recordCount="92" xr:uid="{FDBD25AB-7374-41B3-8466-D4F2FC647EC5}">
  <cacheSource type="worksheet">
    <worksheetSource ref="A1:M93" sheet="Cleaned Data"/>
  </cacheSource>
  <cacheFields count="14">
    <cacheField name="Festival_Name" numFmtId="0">
      <sharedItems count="10">
        <s v="NH7 Pune"/>
        <s v="VH1 Supersonic Delhi"/>
        <s v="Hornbill Festival Nagaland"/>
        <s v="Ziro Festival Arunachal"/>
        <s v="Bollywood Music Project"/>
        <s v="Lollapalooza Mumbai"/>
        <s v="Sunburn Goa"/>
        <s v="Supersonic Bengaluru"/>
        <s v="Magnetic Fields Rajasthan"/>
        <s v="Goa Tribal Festival"/>
      </sharedItems>
    </cacheField>
    <cacheField name="City" numFmtId="0">
      <sharedItems count="10">
        <s v="Kolkata"/>
        <s v="Bengaluru"/>
        <s v="Goa"/>
        <s v="Nagpur"/>
        <s v="Jaipur"/>
        <s v="Delhi"/>
        <s v="Pune"/>
        <s v="Mumbai"/>
        <s v="Amritsar"/>
        <s v="Chandigarh"/>
      </sharedItems>
    </cacheField>
    <cacheField name="Date" numFmtId="14">
      <sharedItems containsSemiMixedTypes="0" containsNonDate="0" containsDate="1" containsString="0" minDate="2024-01-08T00:00:00" maxDate="2024-12-29T00:00:00" count="77">
        <d v="2024-01-12T00:00:00"/>
        <d v="2024-09-18T00:00:00"/>
        <d v="2024-03-02T00:00:00"/>
        <d v="2024-06-11T00:00:00"/>
        <d v="2024-05-25T00:00:00"/>
        <d v="2024-03-20T00:00:00"/>
        <d v="2024-06-19T00:00:00"/>
        <d v="2024-05-28T00:00:00"/>
        <d v="2024-01-28T00:00:00"/>
        <d v="2024-12-23T00:00:00"/>
        <d v="2024-05-16T00:00:00"/>
        <d v="2024-12-18T00:00:00"/>
        <d v="2024-02-22T00:00:00"/>
        <d v="2024-10-16T00:00:00"/>
        <d v="2024-06-12T00:00:00"/>
        <d v="2024-04-02T00:00:00"/>
        <d v="2024-08-27T00:00:00"/>
        <d v="2024-12-08T00:00:00"/>
        <d v="2024-06-17T00:00:00"/>
        <d v="2024-05-13T00:00:00"/>
        <d v="2024-07-01T00:00:00"/>
        <d v="2024-01-08T00:00:00"/>
        <d v="2024-05-04T00:00:00"/>
        <d v="2024-04-25T00:00:00"/>
        <d v="2024-01-25T00:00:00"/>
        <d v="2024-09-04T00:00:00"/>
        <d v="2024-12-13T00:00:00"/>
        <d v="2024-12-21T00:00:00"/>
        <d v="2024-04-28T00:00:00"/>
        <d v="2024-04-10T00:00:00"/>
        <d v="2024-03-09T00:00:00"/>
        <d v="2024-03-07T00:00:00"/>
        <d v="2024-04-13T00:00:00"/>
        <d v="2024-08-05T00:00:00"/>
        <d v="2024-09-20T00:00:00"/>
        <d v="2024-08-03T00:00:00"/>
        <d v="2024-06-25T00:00:00"/>
        <d v="2024-12-28T00:00:00"/>
        <d v="2024-08-23T00:00:00"/>
        <d v="2024-08-20T00:00:00"/>
        <d v="2024-08-08T00:00:00"/>
        <d v="2024-06-24T00:00:00"/>
        <d v="2024-05-11T00:00:00"/>
        <d v="2024-04-04T00:00:00"/>
        <d v="2024-01-27T00:00:00"/>
        <d v="2024-07-26T00:00:00"/>
        <d v="2024-09-08T00:00:00"/>
        <d v="2024-12-09T00:00:00"/>
        <d v="2024-01-13T00:00:00"/>
        <d v="2024-06-05T00:00:00"/>
        <d v="2024-02-04T00:00:00"/>
        <d v="2024-05-19T00:00:00"/>
        <d v="2024-10-18T00:00:00"/>
        <d v="2024-07-13T00:00:00"/>
        <d v="2024-06-14T00:00:00"/>
        <d v="2024-03-19T00:00:00"/>
        <d v="2024-05-08T00:00:00"/>
        <d v="2024-03-17T00:00:00"/>
        <d v="2024-08-02T00:00:00"/>
        <d v="2024-01-26T00:00:00"/>
        <d v="2024-10-03T00:00:00"/>
        <d v="2024-02-17T00:00:00"/>
        <d v="2024-11-20T00:00:00"/>
        <d v="2024-02-23T00:00:00"/>
        <d v="2024-08-06T00:00:00"/>
        <d v="2024-11-13T00:00:00"/>
        <d v="2024-05-02T00:00:00"/>
        <d v="2024-11-05T00:00:00"/>
        <d v="2024-04-19T00:00:00"/>
        <d v="2024-04-03T00:00:00"/>
        <d v="2024-11-15T00:00:00"/>
        <d v="2024-12-10T00:00:00"/>
        <d v="2024-02-02T00:00:00"/>
        <d v="2024-02-06T00:00:00"/>
        <d v="2024-07-08T00:00:00"/>
        <d v="2024-12-06T00:00:00"/>
        <d v="2024-05-15T00:00:00"/>
      </sharedItems>
      <fieldGroup par="13"/>
    </cacheField>
    <cacheField name="Tour_Name" numFmtId="0">
      <sharedItems containsBlank="1"/>
    </cacheField>
    <cacheField name="Headlining_Artist" numFmtId="0">
      <sharedItems count="10">
        <s v="Badshah"/>
        <s v="Bryan Adams"/>
        <s v="Honey Singh"/>
        <s v="Arijit Singh"/>
        <s v="Mika Singh"/>
        <s v="Shreya Ghoshal"/>
        <s v="DJ Snake"/>
        <s v="Diljit Dosanjh"/>
        <s v="Martin Garrix"/>
        <s v="Ed Sheeran"/>
      </sharedItems>
    </cacheField>
    <cacheField name="Supporting_Artists" numFmtId="0">
      <sharedItems/>
    </cacheField>
    <cacheField name="Indian Artist vs International Artists" numFmtId="0">
      <sharedItems count="2">
        <s v="Indian Artist"/>
        <s v="International"/>
      </sharedItems>
    </cacheField>
    <cacheField name="Ticket_Price(Rs)" numFmtId="0">
      <sharedItems containsSemiMixedTypes="0" containsString="0" containsNumber="1" minValue="528" maxValue="6972" count="83">
        <n v="1253"/>
        <n v="6813.8"/>
        <n v="2144"/>
        <n v="1886"/>
        <n v="3984"/>
        <n v="2910.2168421052634"/>
        <n v="840"/>
        <n v="4191"/>
        <n v="1823"/>
        <n v="3953.6"/>
        <n v="2842"/>
        <n v="528"/>
        <n v="1543"/>
        <n v="2188"/>
        <n v="2217.6"/>
        <n v="5397"/>
        <n v="1601.6"/>
        <n v="4564"/>
        <n v="3350.2"/>
        <n v="4045"/>
        <n v="1008"/>
        <n v="2334"/>
        <n v="3977"/>
        <n v="3449"/>
        <n v="3668"/>
        <n v="3279"/>
        <n v="2948"/>
        <n v="2749.6"/>
        <n v="632"/>
        <n v="1932"/>
        <n v="1598.8"/>
        <n v="4452"/>
        <n v="2716"/>
        <n v="2237"/>
        <n v="1412"/>
        <n v="836"/>
        <n v="625"/>
        <n v="4629"/>
        <n v="3412"/>
        <n v="737"/>
        <n v="933"/>
        <n v="4503"/>
        <n v="2615.1999999999998"/>
        <n v="4046"/>
        <n v="4613"/>
        <n v="3437"/>
        <n v="2167"/>
        <n v="2495"/>
        <n v="1244.5999999999999"/>
        <n v="4120"/>
        <n v="4459"/>
        <n v="5391.4"/>
        <n v="2589"/>
        <n v="4078"/>
        <n v="1381"/>
        <n v="2817"/>
        <n v="2937"/>
        <n v="3235.4"/>
        <n v="2224.6"/>
        <n v="2679.6"/>
        <n v="2567"/>
        <n v="6972"/>
        <n v="4765.6000000000004"/>
        <n v="3243"/>
        <n v="1599"/>
        <n v="1180"/>
        <n v="3928"/>
        <n v="929"/>
        <n v="1824"/>
        <n v="3034"/>
        <n v="798"/>
        <n v="2753"/>
        <n v="2609"/>
        <n v="4418"/>
        <n v="4849"/>
        <n v="1750"/>
        <n v="4279.8"/>
        <n v="3586"/>
        <n v="3782"/>
        <n v="4834.2"/>
        <n v="4286"/>
        <n v="4529"/>
        <n v="726"/>
      </sharedItems>
      <fieldGroup base="7">
        <rangePr autoStart="0" autoEnd="0" startNum="500" endNum="7000" groupInterval="1000"/>
        <groupItems count="9">
          <s v="&lt;500"/>
          <s v="500-1500"/>
          <s v="1500-2500"/>
          <s v="2500-3500"/>
          <s v="3500-4500"/>
          <s v="4500-5500"/>
          <s v="5500-6500"/>
          <s v="6500-7500"/>
          <s v="&gt;7500"/>
        </groupItems>
      </fieldGroup>
    </cacheField>
    <cacheField name="Total_Attendance" numFmtId="0">
      <sharedItems containsSemiMixedTypes="0" containsString="0" containsNumber="1" minValue="2975.7" maxValue="56160"/>
    </cacheField>
    <cacheField name="Merchandise_Sales (Rs)" numFmtId="0">
      <sharedItems containsSemiMixedTypes="0" containsString="0" containsNumber="1" containsInteger="1" minValue="584100" maxValue="14904000"/>
    </cacheField>
    <cacheField name="Sponsorship_Revenue (Rs)" numFmtId="0">
      <sharedItems containsSemiMixedTypes="0" containsString="0" containsNumber="1" containsInteger="1" minValue="615109" maxValue="6333350"/>
    </cacheField>
    <cacheField name="Total_Revenue (Rs)" numFmtId="0">
      <sharedItems containsSemiMixedTypes="0" containsString="0" containsNumber="1" containsInteger="1" minValue="13348696" maxValue="339617008"/>
    </cacheField>
    <cacheField name="Days (Date)" numFmtId="0" databaseField="0">
      <fieldGroup base="2">
        <rangePr groupBy="days" startDate="2024-01-08T00:00:00" endDate="2024-12-29T00:00:00"/>
        <groupItems count="368">
          <s v="&lt;08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2-2024"/>
        </groupItems>
      </fieldGroup>
    </cacheField>
    <cacheField name="Months (Date)" numFmtId="0" databaseField="0">
      <fieldGroup base="2">
        <rangePr groupBy="months" startDate="2024-01-08T00:00:00" endDate="2024-12-29T00:00:00"/>
        <groupItems count="14">
          <s v="&lt;08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l" refreshedDate="46139.756200694443" createdVersion="8" refreshedVersion="8" minRefreshableVersion="3" recordCount="92" xr:uid="{25B70535-D4C3-47A0-8251-587684BD48EB}">
  <cacheSource type="worksheet">
    <worksheetSource ref="A1:V93" sheet="Cleaned Data"/>
  </cacheSource>
  <cacheFields count="23">
    <cacheField name="Festival_Name" numFmtId="0">
      <sharedItems count="10">
        <s v="NH7 Pune"/>
        <s v="VH1 Supersonic Delhi"/>
        <s v="Hornbill Festival Nagaland"/>
        <s v="Ziro Festival Arunachal"/>
        <s v="Bollywood Music Project"/>
        <s v="Lollapalooza Mumbai"/>
        <s v="Sunburn Goa"/>
        <s v="Supersonic Bengaluru"/>
        <s v="Magnetic Fields Rajasthan"/>
        <s v="Goa Tribal Festival"/>
      </sharedItems>
    </cacheField>
    <cacheField name="City" numFmtId="0">
      <sharedItems count="10">
        <s v="Kolkata"/>
        <s v="Bengaluru"/>
        <s v="Goa"/>
        <s v="Nagpur"/>
        <s v="Jaipur"/>
        <s v="Delhi"/>
        <s v="Pune"/>
        <s v="Mumbai"/>
        <s v="Amritsar"/>
        <s v="Chandigarh"/>
      </sharedItems>
    </cacheField>
    <cacheField name="Date" numFmtId="14">
      <sharedItems containsSemiMixedTypes="0" containsNonDate="0" containsDate="1" containsString="0" minDate="2024-01-08T00:00:00" maxDate="2024-12-29T00:00:00"/>
    </cacheField>
    <cacheField name="Tour_Name" numFmtId="0">
      <sharedItems containsBlank="1"/>
    </cacheField>
    <cacheField name="Headlining_Artist" numFmtId="0">
      <sharedItems count="10">
        <s v="Badshah"/>
        <s v="Bryan Adams"/>
        <s v="Honey Singh"/>
        <s v="Arijit Singh"/>
        <s v="Mika Singh"/>
        <s v="Shreya Ghoshal"/>
        <s v="DJ Snake"/>
        <s v="Diljit Dosanjh"/>
        <s v="Martin Garrix"/>
        <s v="Ed Sheeran"/>
      </sharedItems>
    </cacheField>
    <cacheField name="International &amp; Local Artists" numFmtId="0">
      <sharedItems count="2">
        <s v="Local Artist"/>
        <s v="International  "/>
      </sharedItems>
    </cacheField>
    <cacheField name="Supporting_Artists" numFmtId="0">
      <sharedItems/>
    </cacheField>
    <cacheField name="Ticket_Price(Rs)" numFmtId="0">
      <sharedItems containsSemiMixedTypes="0" containsString="0" containsNumber="1" minValue="528" maxValue="6972"/>
    </cacheField>
    <cacheField name="Total_Attendance" numFmtId="0">
      <sharedItems containsSemiMixedTypes="0" containsString="0" containsNumber="1" minValue="2975.7" maxValue="56160"/>
    </cacheField>
    <cacheField name="Revenue per Event" numFmtId="1">
      <sharedItems containsSemiMixedTypes="0" containsString="0" containsNumber="1" minValue="7725998" maxValue="178223572.79999998"/>
    </cacheField>
    <cacheField name="Merchandise_Sales (Rs)" numFmtId="0">
      <sharedItems containsSemiMixedTypes="0" containsString="0" containsNumber="1" containsInteger="1" minValue="584100" maxValue="14904000"/>
    </cacheField>
    <cacheField name="Sponsorship_Revenue (Rs)" numFmtId="0">
      <sharedItems containsSemiMixedTypes="0" containsString="0" containsNumber="1" containsInteger="1" minValue="615109" maxValue="6333350"/>
    </cacheField>
    <cacheField name="Total_Revenue (Rs)" numFmtId="0">
      <sharedItems containsSemiMixedTypes="0" containsString="0" containsNumber="1" containsInteger="1" minValue="13348696" maxValue="339617008"/>
    </cacheField>
    <cacheField name="Artist_Name" numFmtId="0">
      <sharedItems/>
    </cacheField>
    <cacheField name="Genre" numFmtId="0">
      <sharedItems count="7">
        <s v="Bollywood"/>
        <s v="Rock"/>
        <s v="Hip-Hop"/>
        <s v="Classical/Bollywood"/>
        <s v="EDM"/>
        <s v="Punjabi"/>
        <s v="International Pop"/>
      </sharedItems>
    </cacheField>
    <cacheField name="Average_Ticket_Price" numFmtId="0">
      <sharedItems containsSemiMixedTypes="0" containsString="0" containsNumber="1" containsInteger="1" minValue="992" maxValue="3436"/>
    </cacheField>
    <cacheField name="Average_Attendance_Per_City" numFmtId="0">
      <sharedItems containsSemiMixedTypes="0" containsString="0" containsNumber="1" minValue="3197" maxValue="36448"/>
    </cacheField>
    <cacheField name="Social_Media_Followers (millions)" numFmtId="0">
      <sharedItems containsSemiMixedTypes="0" containsString="0" containsNumber="1" containsInteger="1" minValue="12" maxValue="55"/>
    </cacheField>
    <cacheField name="Streaming_Plays (millions)" numFmtId="0">
      <sharedItems containsSemiMixedTypes="0" containsString="0" containsNumber="1" containsInteger="1" minValue="81" maxValue="736"/>
    </cacheField>
    <cacheField name="Merchandise_Revenue_Per_Concert (Rs)" numFmtId="0">
      <sharedItems containsSemiMixedTypes="0" containsString="0" containsNumber="1" containsInteger="1" minValue="792856" maxValue="25360560"/>
    </cacheField>
    <cacheField name="Tour_Impact" numFmtId="0">
      <sharedItems/>
    </cacheField>
    <cacheField name="Cities_Performed_In" numFmtId="0">
      <sharedItems/>
    </cacheField>
    <cacheField name="Field1" numFmtId="0" formula="'Ticket_Price(Rs)' +Total_Attendanc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x v="0"/>
    <m/>
    <x v="0"/>
    <s v="DJ Snake, Honey Singh"/>
    <x v="0"/>
    <x v="0"/>
    <n v="6166"/>
    <n v="1942290"/>
    <n v="3680408"/>
    <n v="13348696"/>
  </r>
  <r>
    <x v="0"/>
    <x v="1"/>
    <x v="1"/>
    <s v="Classics Tour"/>
    <x v="1"/>
    <s v="Badshah, Arijit Singh, Martin Garrix, Diljit Dosanjh"/>
    <x v="1"/>
    <x v="1"/>
    <n v="17889.900000000001"/>
    <n v="7667100"/>
    <n v="640053"/>
    <n v="132693072"/>
  </r>
  <r>
    <x v="1"/>
    <x v="2"/>
    <x v="2"/>
    <m/>
    <x v="2"/>
    <s v="Martin Garrix, Badshah, Ed Sheeran, Diljit Dosanjh"/>
    <x v="0"/>
    <x v="2"/>
    <n v="14688"/>
    <n v="2350080"/>
    <n v="2712686"/>
    <n v="36553838"/>
  </r>
  <r>
    <x v="2"/>
    <x v="3"/>
    <x v="3"/>
    <s v="Soulful Nights Tour"/>
    <x v="3"/>
    <s v="Martin Garrix, Badshah"/>
    <x v="0"/>
    <x v="3"/>
    <n v="35244"/>
    <n v="6132456"/>
    <n v="1181193"/>
    <n v="73783833"/>
  </r>
  <r>
    <x v="3"/>
    <x v="4"/>
    <x v="4"/>
    <m/>
    <x v="4"/>
    <s v="Diljit Dosanjh, Mika Singh"/>
    <x v="0"/>
    <x v="4"/>
    <n v="20798.88"/>
    <n v="2252122"/>
    <n v="2302603"/>
    <n v="58605653"/>
  </r>
  <r>
    <x v="3"/>
    <x v="2"/>
    <x v="5"/>
    <s v="Classics Tour"/>
    <x v="1"/>
    <s v="Ed Sheeran, Mika Singh, Shreya Ghoshal, Bryan Adams"/>
    <x v="1"/>
    <x v="5"/>
    <n v="18778.2"/>
    <n v="4828680"/>
    <n v="4948076"/>
    <n v="111635078"/>
  </r>
  <r>
    <x v="0"/>
    <x v="3"/>
    <x v="6"/>
    <m/>
    <x v="0"/>
    <s v="Honey Singh, Badshah, Bryan Adams, Martin Garrix"/>
    <x v="0"/>
    <x v="6"/>
    <n v="33535"/>
    <n v="12206740"/>
    <n v="1201595"/>
    <n v="41577735"/>
  </r>
  <r>
    <x v="4"/>
    <x v="5"/>
    <x v="7"/>
    <m/>
    <x v="5"/>
    <s v="Ed Sheeran, Shreya Ghoshal, Bryan Adams, Badshah"/>
    <x v="0"/>
    <x v="7"/>
    <n v="20798.88"/>
    <n v="4279770"/>
    <n v="3427104"/>
    <n v="81824709"/>
  </r>
  <r>
    <x v="5"/>
    <x v="0"/>
    <x v="8"/>
    <m/>
    <x v="2"/>
    <s v="Honey Singh, Diljit Dosanjh"/>
    <x v="0"/>
    <x v="8"/>
    <n v="15513"/>
    <n v="7539318"/>
    <n v="3948781"/>
    <n v="39768298"/>
  </r>
  <r>
    <x v="2"/>
    <x v="4"/>
    <x v="6"/>
    <m/>
    <x v="6"/>
    <s v="Honey Singh, Diljit Dosanjh, Arijit Singh"/>
    <x v="1"/>
    <x v="9"/>
    <n v="21693"/>
    <n v="9306297"/>
    <n v="4798020"/>
    <n v="75365349"/>
  </r>
  <r>
    <x v="6"/>
    <x v="2"/>
    <x v="9"/>
    <m/>
    <x v="5"/>
    <s v="Honey Singh, Badshah, Bryan Adams"/>
    <x v="0"/>
    <x v="10"/>
    <n v="24021"/>
    <n v="5020389"/>
    <n v="2851905"/>
    <n v="76139976"/>
  </r>
  <r>
    <x v="7"/>
    <x v="6"/>
    <x v="10"/>
    <s v="Born To Shine Tour"/>
    <x v="7"/>
    <s v="Mika Singh, Ed Sheeran, Arijit Singh"/>
    <x v="0"/>
    <x v="11"/>
    <n v="33241"/>
    <n v="2659280"/>
    <n v="3167786"/>
    <n v="19328026"/>
  </r>
  <r>
    <x v="8"/>
    <x v="7"/>
    <x v="11"/>
    <m/>
    <x v="8"/>
    <s v="Shreya Ghoshal, Ed Sheeran, Arijit Singh"/>
    <x v="1"/>
    <x v="12"/>
    <n v="19867"/>
    <n v="2821114"/>
    <n v="2897760"/>
    <n v="36373655"/>
  </r>
  <r>
    <x v="2"/>
    <x v="8"/>
    <x v="12"/>
    <m/>
    <x v="5"/>
    <s v="Bryan Adams, Badshah, Honey Singh"/>
    <x v="0"/>
    <x v="13"/>
    <n v="20603"/>
    <n v="9559792"/>
    <n v="4600450"/>
    <n v="59239606"/>
  </r>
  <r>
    <x v="1"/>
    <x v="0"/>
    <x v="13"/>
    <s v="Classics Tour"/>
    <x v="1"/>
    <s v="Ed Sheeran, Shreya Ghoshal"/>
    <x v="1"/>
    <x v="14"/>
    <n v="9504.6"/>
    <n v="5892852"/>
    <n v="795307"/>
    <n v="28195711"/>
  </r>
  <r>
    <x v="5"/>
    <x v="5"/>
    <x v="14"/>
    <s v="Classics Tour"/>
    <x v="1"/>
    <s v="Martin Garrix, Mika Singh, Bryan Adams"/>
    <x v="1"/>
    <x v="15"/>
    <n v="9158.1"/>
    <n v="1687707"/>
    <n v="2188470"/>
    <n v="54311142"/>
  </r>
  <r>
    <x v="3"/>
    <x v="6"/>
    <x v="15"/>
    <s v="Mathematics Tour"/>
    <x v="9"/>
    <s v="Honey Singh, Ed Sheeran"/>
    <x v="1"/>
    <x v="16"/>
    <n v="11790"/>
    <n v="3030030"/>
    <n v="3635278"/>
    <n v="20153068"/>
  </r>
  <r>
    <x v="3"/>
    <x v="5"/>
    <x v="16"/>
    <m/>
    <x v="5"/>
    <s v="Honey Singh, Mika Singh, Martin Garrix, Ed Sheeran"/>
    <x v="0"/>
    <x v="17"/>
    <n v="31755"/>
    <n v="6890835"/>
    <n v="4732974"/>
    <n v="156553629"/>
  </r>
  <r>
    <x v="6"/>
    <x v="3"/>
    <x v="17"/>
    <s v="Classics Tour"/>
    <x v="1"/>
    <s v="Ed Sheeran, Mika Singh, Shreya Ghoshal, Honey Singh"/>
    <x v="1"/>
    <x v="18"/>
    <n v="2975.7"/>
    <n v="1041495"/>
    <n v="3001940"/>
    <n v="14216078"/>
  </r>
  <r>
    <x v="6"/>
    <x v="5"/>
    <x v="18"/>
    <m/>
    <x v="0"/>
    <s v="Shreya Ghoshal, Diljit Dosanjh, Arijit Singh"/>
    <x v="0"/>
    <x v="19"/>
    <n v="27719"/>
    <n v="7539568"/>
    <n v="4670910"/>
    <n v="124333833"/>
  </r>
  <r>
    <x v="6"/>
    <x v="1"/>
    <x v="19"/>
    <s v="Soulful Nights Tour"/>
    <x v="3"/>
    <s v="Honey Singh, Diljit Dosanjh, Badshah"/>
    <x v="0"/>
    <x v="20"/>
    <n v="21142"/>
    <n v="2558182"/>
    <n v="1632574"/>
    <n v="25501892"/>
  </r>
  <r>
    <x v="0"/>
    <x v="9"/>
    <x v="20"/>
    <m/>
    <x v="8"/>
    <s v="Honey Singh, Bryan Adams, DJ Snake"/>
    <x v="1"/>
    <x v="21"/>
    <n v="16842"/>
    <n v="6905220"/>
    <n v="1067015"/>
    <n v="47281463"/>
  </r>
  <r>
    <x v="9"/>
    <x v="5"/>
    <x v="21"/>
    <s v="Born To Shine Tour"/>
    <x v="7"/>
    <s v="Ed Sheeran, Diljit Dosanjh, Shreya Ghoshal, Badshah"/>
    <x v="0"/>
    <x v="5"/>
    <n v="14456"/>
    <n v="4603680"/>
    <n v="2403962"/>
    <n v="41090442"/>
  </r>
  <r>
    <x v="8"/>
    <x v="8"/>
    <x v="22"/>
    <m/>
    <x v="0"/>
    <s v="Mika Singh, Diljit Dosanjh, Martin Garrix"/>
    <x v="0"/>
    <x v="22"/>
    <n v="25243"/>
    <n v="9238938"/>
    <n v="4689343"/>
    <n v="114319692"/>
  </r>
  <r>
    <x v="6"/>
    <x v="4"/>
    <x v="23"/>
    <m/>
    <x v="2"/>
    <s v="Bryan Adams, Diljit Dosanjh, Honey Singh, Mika Singh"/>
    <x v="0"/>
    <x v="23"/>
    <n v="13539"/>
    <n v="5672841"/>
    <n v="3471436"/>
    <n v="55840288"/>
  </r>
  <r>
    <x v="2"/>
    <x v="6"/>
    <x v="24"/>
    <m/>
    <x v="0"/>
    <s v="Martin Garrix, Bryan Adams, DJ Snake"/>
    <x v="0"/>
    <x v="24"/>
    <n v="36462"/>
    <n v="5250528"/>
    <n v="2377592"/>
    <n v="141370736"/>
  </r>
  <r>
    <x v="0"/>
    <x v="2"/>
    <x v="25"/>
    <m/>
    <x v="0"/>
    <s v="Arijit Singh, Diljit Dosanjh"/>
    <x v="0"/>
    <x v="25"/>
    <n v="32540"/>
    <n v="13341400"/>
    <n v="2840750"/>
    <n v="122880810"/>
  </r>
  <r>
    <x v="0"/>
    <x v="8"/>
    <x v="26"/>
    <m/>
    <x v="2"/>
    <s v="Diljit Dosanjh, Honey Singh, DJ Snake, Shreya Ghoshal"/>
    <x v="0"/>
    <x v="26"/>
    <n v="9316"/>
    <n v="1266976"/>
    <n v="2704822"/>
    <n v="31435366"/>
  </r>
  <r>
    <x v="0"/>
    <x v="5"/>
    <x v="27"/>
    <m/>
    <x v="6"/>
    <s v="Bryan Adams, Mika Singh, Arijit Singh"/>
    <x v="1"/>
    <x v="27"/>
    <n v="17172"/>
    <n v="7830432"/>
    <n v="3956927"/>
    <n v="45513167"/>
  </r>
  <r>
    <x v="3"/>
    <x v="1"/>
    <x v="28"/>
    <m/>
    <x v="2"/>
    <s v="Arijit Singh, Honey Singh"/>
    <x v="0"/>
    <x v="5"/>
    <n v="16737"/>
    <n v="6276375"/>
    <n v="2726932"/>
    <n v="85424449"/>
  </r>
  <r>
    <x v="0"/>
    <x v="9"/>
    <x v="29"/>
    <m/>
    <x v="5"/>
    <s v="Martin Garrix, Diljit Dosanjh, Badshah, Mika Singh"/>
    <x v="0"/>
    <x v="28"/>
    <n v="35304"/>
    <n v="10379376"/>
    <n v="1590737"/>
    <n v="34282241"/>
  </r>
  <r>
    <x v="9"/>
    <x v="0"/>
    <x v="30"/>
    <m/>
    <x v="2"/>
    <s v="DJ Snake, Arijit Singh, Badshah, Mika Singh"/>
    <x v="0"/>
    <x v="29"/>
    <n v="16841"/>
    <n v="7713178"/>
    <n v="4738764"/>
    <n v="44988754"/>
  </r>
  <r>
    <x v="3"/>
    <x v="2"/>
    <x v="31"/>
    <s v="Classics Tour"/>
    <x v="1"/>
    <s v="Mika Singh, Diljit Dosanjh, Shreya Ghoshal"/>
    <x v="1"/>
    <x v="30"/>
    <n v="18210.5"/>
    <n v="7336230"/>
    <n v="2229062"/>
    <n v="39274422"/>
  </r>
  <r>
    <x v="5"/>
    <x v="1"/>
    <x v="32"/>
    <s v="Born To Shine Tour"/>
    <x v="7"/>
    <s v="Diljit Dosanjh, DJ Snake, Honey Singh, Shreya Ghoshal"/>
    <x v="0"/>
    <x v="5"/>
    <n v="7559.5"/>
    <n v="1913135"/>
    <n v="4680189"/>
    <n v="21654174"/>
  </r>
  <r>
    <x v="1"/>
    <x v="1"/>
    <x v="33"/>
    <m/>
    <x v="8"/>
    <s v="DJ Snake, Honey Singh, Diljit Dosanjh"/>
    <x v="1"/>
    <x v="31"/>
    <n v="31745"/>
    <n v="4412555"/>
    <n v="4091720"/>
    <n v="149833015"/>
  </r>
  <r>
    <x v="4"/>
    <x v="7"/>
    <x v="34"/>
    <m/>
    <x v="4"/>
    <s v="Arijit Singh, DJ Snake, Martin Garrix"/>
    <x v="0"/>
    <x v="32"/>
    <n v="12688"/>
    <n v="2486848"/>
    <n v="1413822"/>
    <n v="38361278"/>
  </r>
  <r>
    <x v="6"/>
    <x v="9"/>
    <x v="35"/>
    <m/>
    <x v="4"/>
    <s v="DJ Snake, Badshah"/>
    <x v="0"/>
    <x v="33"/>
    <n v="20276"/>
    <n v="9671652"/>
    <n v="4912334"/>
    <n v="59941398"/>
  </r>
  <r>
    <x v="4"/>
    <x v="3"/>
    <x v="36"/>
    <m/>
    <x v="0"/>
    <s v="DJ Snake, Honey Singh, Diljit Dosanjh"/>
    <x v="0"/>
    <x v="34"/>
    <n v="20798.88"/>
    <n v="12753000"/>
    <n v="663225"/>
    <n v="61435521"/>
  </r>
  <r>
    <x v="4"/>
    <x v="2"/>
    <x v="37"/>
    <s v="Born To Shine Tour"/>
    <x v="7"/>
    <s v="Diljit Dosanjh, Shreya Ghoshal, Ed Sheeran"/>
    <x v="0"/>
    <x v="35"/>
    <n v="56160"/>
    <n v="14904000"/>
    <n v="4753926"/>
    <n v="55773126"/>
  </r>
  <r>
    <x v="4"/>
    <x v="9"/>
    <x v="38"/>
    <s v="Born To Shine Tour"/>
    <x v="7"/>
    <s v="Bryan Adams, DJ Snake, Mika Singh, Shreya Ghoshal"/>
    <x v="0"/>
    <x v="36"/>
    <n v="34043.1"/>
    <n v="11705589"/>
    <n v="2483828"/>
    <n v="30556292"/>
  </r>
  <r>
    <x v="5"/>
    <x v="0"/>
    <x v="34"/>
    <m/>
    <x v="0"/>
    <s v="Mika Singh, Arijit Singh, Ed Sheeran"/>
    <x v="0"/>
    <x v="37"/>
    <n v="34318"/>
    <n v="5113382"/>
    <n v="3030898"/>
    <n v="167002302"/>
  </r>
  <r>
    <x v="5"/>
    <x v="9"/>
    <x v="39"/>
    <m/>
    <x v="4"/>
    <s v="Shreya Ghoshal, Badshah, Arijit Singh, Bryan Adams"/>
    <x v="0"/>
    <x v="38"/>
    <n v="22029"/>
    <n v="7401744"/>
    <n v="4420985"/>
    <n v="86985677"/>
  </r>
  <r>
    <x v="3"/>
    <x v="7"/>
    <x v="40"/>
    <s v="Born To Shine Tour"/>
    <x v="7"/>
    <s v="Badshah, DJ Snake, Honey Singh, Mika Singh"/>
    <x v="0"/>
    <x v="39"/>
    <n v="28345.200000000001"/>
    <n v="3292404"/>
    <n v="4566892"/>
    <n v="23928844"/>
  </r>
  <r>
    <x v="6"/>
    <x v="2"/>
    <x v="37"/>
    <m/>
    <x v="4"/>
    <s v="Honey Singh, Shreya Ghoshal"/>
    <x v="0"/>
    <x v="40"/>
    <n v="31752"/>
    <n v="5366088"/>
    <n v="1334941"/>
    <n v="36325645"/>
  </r>
  <r>
    <x v="3"/>
    <x v="1"/>
    <x v="41"/>
    <s v="Soulful Nights Tour"/>
    <x v="3"/>
    <s v="Ed Sheeran, Arijit Singh, Badshah"/>
    <x v="0"/>
    <x v="41"/>
    <n v="7651"/>
    <n v="1361878"/>
    <n v="2805968"/>
    <n v="38620299"/>
  </r>
  <r>
    <x v="7"/>
    <x v="9"/>
    <x v="42"/>
    <s v="Mathematics Tour"/>
    <x v="9"/>
    <s v="DJ Snake, Mika Singh"/>
    <x v="1"/>
    <x v="42"/>
    <n v="6000"/>
    <n v="2094000"/>
    <n v="3409793"/>
    <n v="16711793"/>
  </r>
  <r>
    <x v="7"/>
    <x v="4"/>
    <x v="43"/>
    <s v="Born To Shine Tour"/>
    <x v="7"/>
    <s v="Mika Singh, Ed Sheeran"/>
    <x v="0"/>
    <x v="43"/>
    <n v="32925.1"/>
    <n v="4356244"/>
    <n v="1785594"/>
    <n v="108614880"/>
  </r>
  <r>
    <x v="1"/>
    <x v="3"/>
    <x v="44"/>
    <s v="Classics Tour"/>
    <x v="1"/>
    <s v="Mika Singh, Badshah"/>
    <x v="1"/>
    <x v="44"/>
    <n v="9412.2000000000007"/>
    <n v="5580090"/>
    <n v="4314798"/>
    <n v="54199458"/>
  </r>
  <r>
    <x v="1"/>
    <x v="2"/>
    <x v="45"/>
    <s v="Soulful Nights Tour"/>
    <x v="3"/>
    <s v="Ed Sheeran, DJ Snake, Mika Singh"/>
    <x v="0"/>
    <x v="45"/>
    <n v="17457"/>
    <n v="4800675"/>
    <n v="3816903"/>
    <n v="68617287"/>
  </r>
  <r>
    <x v="7"/>
    <x v="4"/>
    <x v="46"/>
    <m/>
    <x v="8"/>
    <s v="Martin Garrix, Badshah"/>
    <x v="1"/>
    <x v="46"/>
    <n v="23456"/>
    <n v="8068864"/>
    <n v="4892379"/>
    <n v="63790395"/>
  </r>
  <r>
    <x v="3"/>
    <x v="3"/>
    <x v="47"/>
    <m/>
    <x v="2"/>
    <s v="Arijit Singh, Honey Singh, Shreya Ghoshal, Ed Sheeran"/>
    <x v="0"/>
    <x v="47"/>
    <n v="26922"/>
    <n v="12868716"/>
    <n v="4865146"/>
    <n v="339617008"/>
  </r>
  <r>
    <x v="8"/>
    <x v="3"/>
    <x v="48"/>
    <s v="Classics Tour"/>
    <x v="1"/>
    <s v="Arijit Singh, Diljit Dosanjh"/>
    <x v="1"/>
    <x v="48"/>
    <n v="23400.3"/>
    <n v="10463277"/>
    <n v="1325646"/>
    <n v="41507304"/>
  </r>
  <r>
    <x v="6"/>
    <x v="6"/>
    <x v="33"/>
    <m/>
    <x v="5"/>
    <s v="DJ Snake, Shreya Ghoshal, Honey Singh, Diljit Dosanjh"/>
    <x v="0"/>
    <x v="49"/>
    <n v="20798.88"/>
    <n v="4873518"/>
    <n v="2422363"/>
    <n v="93103121"/>
  </r>
  <r>
    <x v="8"/>
    <x v="2"/>
    <x v="49"/>
    <m/>
    <x v="5"/>
    <s v="Martin Garrix, Badshah, Bryan Adams, Arijit Singh"/>
    <x v="0"/>
    <x v="5"/>
    <n v="20798.88"/>
    <n v="4728492"/>
    <n v="3476973"/>
    <n v="15717666"/>
  </r>
  <r>
    <x v="9"/>
    <x v="8"/>
    <x v="50"/>
    <s v="Classics Tour"/>
    <x v="1"/>
    <s v="Diljit Dosanjh, Ed Sheeran, DJ Snake, Honey Singh"/>
    <x v="1"/>
    <x v="50"/>
    <n v="19021.099999999999"/>
    <n v="9592069"/>
    <n v="3713395"/>
    <n v="99851469"/>
  </r>
  <r>
    <x v="3"/>
    <x v="4"/>
    <x v="51"/>
    <m/>
    <x v="5"/>
    <s v="Honey Singh, Ed Sheeran"/>
    <x v="0"/>
    <x v="5"/>
    <n v="31020"/>
    <n v="10701900"/>
    <n v="854727"/>
    <n v="122856387"/>
  </r>
  <r>
    <x v="4"/>
    <x v="4"/>
    <x v="52"/>
    <m/>
    <x v="4"/>
    <s v="DJ Snake, Arijit Singh, Shreya Ghoshal"/>
    <x v="0"/>
    <x v="5"/>
    <n v="5456"/>
    <n v="1085744"/>
    <n v="3936852"/>
    <n v="19235476"/>
  </r>
  <r>
    <x v="4"/>
    <x v="2"/>
    <x v="53"/>
    <m/>
    <x v="6"/>
    <s v="Bryan Adams, Martin Garrix"/>
    <x v="1"/>
    <x v="51"/>
    <n v="11355"/>
    <n v="2305065"/>
    <n v="1958821"/>
    <n v="191967964"/>
  </r>
  <r>
    <x v="6"/>
    <x v="5"/>
    <x v="54"/>
    <s v="Soulful Nights Tour"/>
    <x v="3"/>
    <s v="Martin Garrix, DJ Snake, Arijit Singh, Honey Singh"/>
    <x v="0"/>
    <x v="5"/>
    <n v="20798.88"/>
    <n v="3236079"/>
    <n v="3039149"/>
    <n v="24290802"/>
  </r>
  <r>
    <x v="8"/>
    <x v="0"/>
    <x v="55"/>
    <m/>
    <x v="0"/>
    <s v="Diljit Dosanjh, Arijit Singh, Shreya Ghoshal, Mika Singh"/>
    <x v="0"/>
    <x v="52"/>
    <n v="8270"/>
    <n v="1563030"/>
    <n v="3564057"/>
    <n v="106152468"/>
  </r>
  <r>
    <x v="4"/>
    <x v="2"/>
    <x v="56"/>
    <m/>
    <x v="2"/>
    <s v="Shreya Ghoshal, DJ Snake, Honey Singh, Bryan Adams"/>
    <x v="0"/>
    <x v="53"/>
    <n v="9560"/>
    <n v="3795320"/>
    <n v="2303574"/>
    <n v="45084574"/>
  </r>
  <r>
    <x v="9"/>
    <x v="2"/>
    <x v="57"/>
    <s v="Soulful Nights Tour"/>
    <x v="3"/>
    <s v="Ed Sheeran, Honey Singh, Arijit Singh"/>
    <x v="0"/>
    <x v="54"/>
    <n v="13578"/>
    <n v="5336154"/>
    <n v="1442642"/>
    <n v="25530014"/>
  </r>
  <r>
    <x v="1"/>
    <x v="9"/>
    <x v="58"/>
    <m/>
    <x v="2"/>
    <s v="Arijit Singh, Badshah"/>
    <x v="0"/>
    <x v="55"/>
    <n v="13994"/>
    <n v="6689132"/>
    <n v="3519113"/>
    <n v="49629343"/>
  </r>
  <r>
    <x v="9"/>
    <x v="1"/>
    <x v="59"/>
    <m/>
    <x v="0"/>
    <s v="Bryan Adams, Honey Singh, Mika Singh"/>
    <x v="0"/>
    <x v="56"/>
    <n v="14499"/>
    <n v="7177005"/>
    <n v="1341541"/>
    <n v="51102109"/>
  </r>
  <r>
    <x v="6"/>
    <x v="3"/>
    <x v="60"/>
    <m/>
    <x v="6"/>
    <s v="Ed Sheeran, Honey Singh, Badshah, Mika Singh"/>
    <x v="1"/>
    <x v="57"/>
    <n v="15002"/>
    <n v="3975530"/>
    <n v="4947667"/>
    <n v="43592819"/>
  </r>
  <r>
    <x v="0"/>
    <x v="2"/>
    <x v="61"/>
    <m/>
    <x v="6"/>
    <s v="Ed Sheeran, Badshah, Arijit Singh, Bryan Adams"/>
    <x v="1"/>
    <x v="58"/>
    <n v="23169"/>
    <n v="5630067"/>
    <n v="4471729"/>
    <n v="46917337"/>
  </r>
  <r>
    <x v="7"/>
    <x v="3"/>
    <x v="62"/>
    <m/>
    <x v="6"/>
    <s v="Martin Garrix, Honey Singh, DJ Snake, Arijit Singh"/>
    <x v="1"/>
    <x v="59"/>
    <n v="20798.88"/>
    <n v="1370391"/>
    <n v="1953924"/>
    <n v="23346669"/>
  </r>
  <r>
    <x v="8"/>
    <x v="6"/>
    <x v="63"/>
    <m/>
    <x v="4"/>
    <s v="Mika Singh, DJ Snake, Bryan Adams, Ed Sheeran"/>
    <x v="0"/>
    <x v="60"/>
    <n v="4240"/>
    <n v="1861360"/>
    <n v="1698282"/>
    <n v="14443722"/>
  </r>
  <r>
    <x v="2"/>
    <x v="5"/>
    <x v="46"/>
    <s v="Classics Tour"/>
    <x v="1"/>
    <s v="Honey Singh, Shreya Ghoshal"/>
    <x v="1"/>
    <x v="61"/>
    <n v="21681.1"/>
    <n v="13875904"/>
    <n v="2510128"/>
    <n v="170631572"/>
  </r>
  <r>
    <x v="2"/>
    <x v="6"/>
    <x v="64"/>
    <m/>
    <x v="2"/>
    <s v="Martin Garrix, Bryan Adams"/>
    <x v="0"/>
    <x v="5"/>
    <n v="32900"/>
    <n v="6777400"/>
    <n v="3584230"/>
    <n v="126301230"/>
  </r>
  <r>
    <x v="6"/>
    <x v="6"/>
    <x v="65"/>
    <s v="Classics Tour"/>
    <x v="1"/>
    <s v="Bryan Adams, Arijit Singh, Honey Singh"/>
    <x v="1"/>
    <x v="62"/>
    <n v="11366.6"/>
    <n v="6933626"/>
    <n v="2380633"/>
    <n v="64588411"/>
  </r>
  <r>
    <x v="7"/>
    <x v="5"/>
    <x v="66"/>
    <m/>
    <x v="5"/>
    <s v="Ed Sheeran, Honey Singh, DJ Snake, Bryan Adams"/>
    <x v="0"/>
    <x v="63"/>
    <n v="5362"/>
    <n v="739956"/>
    <n v="4259028"/>
    <n v="22387950"/>
  </r>
  <r>
    <x v="7"/>
    <x v="9"/>
    <x v="16"/>
    <m/>
    <x v="8"/>
    <s v="Shreya Ghoshal, Martin Garrix"/>
    <x v="1"/>
    <x v="64"/>
    <n v="6748"/>
    <n v="1005452"/>
    <n v="3330904"/>
    <n v="15126408"/>
  </r>
  <r>
    <x v="7"/>
    <x v="4"/>
    <x v="50"/>
    <s v="Soulful Nights Tour"/>
    <x v="3"/>
    <s v="Mika Singh, Diljit Dosanjh"/>
    <x v="0"/>
    <x v="65"/>
    <n v="11979"/>
    <n v="3114540"/>
    <n v="2375872"/>
    <n v="19625632"/>
  </r>
  <r>
    <x v="5"/>
    <x v="0"/>
    <x v="67"/>
    <s v="Born To Shine Tour"/>
    <x v="7"/>
    <s v="Arijit Singh, Mika Singh"/>
    <x v="0"/>
    <x v="66"/>
    <n v="45372.6"/>
    <n v="14623938"/>
    <n v="962979"/>
    <n v="152681973"/>
  </r>
  <r>
    <x v="5"/>
    <x v="4"/>
    <x v="68"/>
    <m/>
    <x v="8"/>
    <s v="Mika Singh, Badshah, Ed Sheeran, Diljit Dosanjh"/>
    <x v="1"/>
    <x v="67"/>
    <n v="17678"/>
    <n v="4118974"/>
    <n v="3432767"/>
    <n v="23974603"/>
  </r>
  <r>
    <x v="5"/>
    <x v="1"/>
    <x v="3"/>
    <m/>
    <x v="0"/>
    <s v="Arijit Singh, Ed Sheeran"/>
    <x v="0"/>
    <x v="68"/>
    <n v="11076"/>
    <n v="2193048"/>
    <n v="4584685"/>
    <n v="26980357"/>
  </r>
  <r>
    <x v="3"/>
    <x v="7"/>
    <x v="69"/>
    <s v="Soulful Nights Tour"/>
    <x v="3"/>
    <s v="Honey Singh, Martin Garrix, DJ Snake, Bryan Adams"/>
    <x v="0"/>
    <x v="69"/>
    <n v="9525"/>
    <n v="1266825"/>
    <n v="659581"/>
    <n v="30825256"/>
  </r>
  <r>
    <x v="6"/>
    <x v="8"/>
    <x v="70"/>
    <s v="Mathematics Tour"/>
    <x v="9"/>
    <s v="Honey Singh, Bryan Adams, DJ Snake"/>
    <x v="1"/>
    <x v="70"/>
    <n v="20798.88"/>
    <n v="4874352"/>
    <n v="1012227"/>
    <n v="16292499"/>
  </r>
  <r>
    <x v="1"/>
    <x v="3"/>
    <x v="71"/>
    <s v="Soulful Nights Tour"/>
    <x v="3"/>
    <s v="Martin Garrix, Badshah, Honey Singh, DJ Snake"/>
    <x v="0"/>
    <x v="71"/>
    <n v="7762"/>
    <n v="2227694"/>
    <n v="3105094"/>
    <n v="26701574"/>
  </r>
  <r>
    <x v="8"/>
    <x v="3"/>
    <x v="0"/>
    <s v="Soulful Nights Tour"/>
    <x v="3"/>
    <s v="Diljit Dosanjh, Mika Singh, DJ Snake"/>
    <x v="0"/>
    <x v="72"/>
    <n v="27598"/>
    <n v="13467824"/>
    <n v="3310368"/>
    <n v="88781374"/>
  </r>
  <r>
    <x v="4"/>
    <x v="7"/>
    <x v="72"/>
    <s v="Soulful Nights Tour"/>
    <x v="3"/>
    <s v="Martin Garrix, DJ Snake, Ed Sheeran, Mika Singh"/>
    <x v="0"/>
    <x v="73"/>
    <n v="8702"/>
    <n v="3280654"/>
    <n v="615109"/>
    <n v="42341199"/>
  </r>
  <r>
    <x v="1"/>
    <x v="1"/>
    <x v="73"/>
    <m/>
    <x v="5"/>
    <s v="Diljit Dosanjh, Arijit Singh, DJ Snake"/>
    <x v="0"/>
    <x v="74"/>
    <n v="8214"/>
    <n v="1667442"/>
    <n v="4255125"/>
    <n v="45752253"/>
  </r>
  <r>
    <x v="7"/>
    <x v="8"/>
    <x v="26"/>
    <s v="Classics Tour"/>
    <x v="1"/>
    <s v="DJ Snake, Mika Singh"/>
    <x v="1"/>
    <x v="75"/>
    <n v="20798.88"/>
    <n v="4231825"/>
    <n v="3268157"/>
    <n v="21531232"/>
  </r>
  <r>
    <x v="6"/>
    <x v="4"/>
    <x v="19"/>
    <m/>
    <x v="6"/>
    <s v="Badshah, Bryan Adams"/>
    <x v="1"/>
    <x v="76"/>
    <n v="18095"/>
    <n v="4089470"/>
    <n v="1719569"/>
    <n v="61125454"/>
  </r>
  <r>
    <x v="4"/>
    <x v="4"/>
    <x v="74"/>
    <m/>
    <x v="4"/>
    <s v="Arijit Singh, Ed Sheeran, Honey Singh, Mika Singh"/>
    <x v="0"/>
    <x v="77"/>
    <n v="38295"/>
    <n v="5476185"/>
    <n v="887815"/>
    <n v="143689870"/>
  </r>
  <r>
    <x v="7"/>
    <x v="2"/>
    <x v="75"/>
    <m/>
    <x v="4"/>
    <s v="Diljit Dosanjh, Martin Garrix"/>
    <x v="0"/>
    <x v="78"/>
    <n v="39893"/>
    <n v="6263201"/>
    <n v="6333350"/>
    <n v="158405197"/>
  </r>
  <r>
    <x v="4"/>
    <x v="1"/>
    <x v="35"/>
    <s v="Mathematics Tour"/>
    <x v="9"/>
    <s v="Mika Singh, DJ Snake"/>
    <x v="1"/>
    <x v="79"/>
    <n v="14283"/>
    <n v="5356125"/>
    <n v="1549672"/>
    <n v="56224996"/>
  </r>
  <r>
    <x v="4"/>
    <x v="0"/>
    <x v="2"/>
    <m/>
    <x v="0"/>
    <s v="Honey Singh, Diljit Dosanjh, Mika Singh"/>
    <x v="0"/>
    <x v="80"/>
    <n v="8925"/>
    <n v="2722125"/>
    <n v="896661"/>
    <n v="41871336"/>
  </r>
  <r>
    <x v="2"/>
    <x v="5"/>
    <x v="76"/>
    <s v="Soulful Nights Tour"/>
    <x v="3"/>
    <s v="Martin Garrix, Ed Sheeran, Mika Singh"/>
    <x v="0"/>
    <x v="5"/>
    <n v="4885"/>
    <n v="1734175"/>
    <n v="4292613"/>
    <n v="23891233"/>
  </r>
  <r>
    <x v="2"/>
    <x v="3"/>
    <x v="27"/>
    <m/>
    <x v="2"/>
    <s v="Mika Singh, Ed Sheeran"/>
    <x v="0"/>
    <x v="81"/>
    <n v="4425"/>
    <n v="584100"/>
    <n v="2385440"/>
    <n v="23010365"/>
  </r>
  <r>
    <x v="3"/>
    <x v="2"/>
    <x v="45"/>
    <m/>
    <x v="4"/>
    <s v="Shreya Ghoshal, Honey Singh, Badshah"/>
    <x v="0"/>
    <x v="82"/>
    <n v="37105"/>
    <n v="14545160"/>
    <n v="835232"/>
    <n v="423186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x v="0"/>
    <d v="2024-01-12T00:00:00"/>
    <m/>
    <x v="0"/>
    <x v="0"/>
    <s v="DJ Snake, Honey Singh"/>
    <n v="1253"/>
    <n v="6166"/>
    <n v="7725998"/>
    <n v="1942290"/>
    <n v="3680408"/>
    <n v="13348696"/>
    <s v="Badshah"/>
    <x v="0"/>
    <n v="3351"/>
    <n v="36448"/>
    <n v="33"/>
    <n v="483"/>
    <n v="20228640"/>
    <s v="No"/>
    <s v="Nagpur, Goa, Amritsar, Chandigarh, Mumbai"/>
  </r>
  <r>
    <x v="0"/>
    <x v="1"/>
    <d v="2024-09-18T00:00:00"/>
    <s v="Classics Tour"/>
    <x v="1"/>
    <x v="1"/>
    <s v="Badshah, Arijit Singh, Martin Garrix, Diljit Dosanjh"/>
    <n v="6813.8"/>
    <n v="17889.900000000001"/>
    <n v="121898200.62000002"/>
    <n v="7667100"/>
    <n v="640053"/>
    <n v="132693072"/>
    <s v="Bryan Adams"/>
    <x v="1"/>
    <n v="992"/>
    <n v="21632.555555555555"/>
    <n v="30"/>
    <n v="81"/>
    <n v="8678356"/>
    <s v="Yes"/>
    <s v="Delhi, Jaipur, Bengaluru, Mumbai"/>
  </r>
  <r>
    <x v="1"/>
    <x v="2"/>
    <d v="2024-03-02T00:00:00"/>
    <m/>
    <x v="2"/>
    <x v="0"/>
    <s v="Martin Garrix, Badshah, Ed Sheeran, Diljit Dosanjh"/>
    <n v="2144"/>
    <n v="14688"/>
    <n v="31491072"/>
    <n v="2350080"/>
    <n v="2712686"/>
    <n v="36553838"/>
    <s v="Honey Singh"/>
    <x v="2"/>
    <n v="1573"/>
    <n v="35223"/>
    <n v="34"/>
    <n v="430"/>
    <n v="25360560"/>
    <s v="No"/>
    <s v="Pune, Amritsar, Bengaluru"/>
  </r>
  <r>
    <x v="2"/>
    <x v="3"/>
    <d v="2024-06-11T00:00:00"/>
    <s v="Soulful Nights Tour"/>
    <x v="3"/>
    <x v="0"/>
    <s v="Martin Garrix, Badshah"/>
    <n v="1886"/>
    <n v="35244"/>
    <n v="66470184"/>
    <n v="6132456"/>
    <n v="1181193"/>
    <n v="73783833"/>
    <s v="Arijit Singh"/>
    <x v="0"/>
    <n v="2437"/>
    <n v="25729"/>
    <n v="30"/>
    <n v="584"/>
    <n v="18730712"/>
    <s v="Yes"/>
    <s v="Nagpur, Jaipur, Chandigarh"/>
  </r>
  <r>
    <x v="3"/>
    <x v="4"/>
    <d v="2024-05-25T00:00:00"/>
    <m/>
    <x v="4"/>
    <x v="0"/>
    <s v="Diljit Dosanjh, Mika Singh"/>
    <n v="3984"/>
    <n v="20798.88"/>
    <n v="82862737.920000002"/>
    <n v="2252122"/>
    <n v="2302603"/>
    <n v="58605653"/>
    <s v="Mika Singh"/>
    <x v="0"/>
    <n v="1025"/>
    <n v="11057"/>
    <n v="12"/>
    <n v="371"/>
    <n v="7983154"/>
    <s v="No"/>
    <s v="Delhi, Amritsar, Bengaluru, Mumbai"/>
  </r>
  <r>
    <x v="3"/>
    <x v="2"/>
    <d v="2024-03-20T00:00:00"/>
    <s v="Classics Tour"/>
    <x v="1"/>
    <x v="1"/>
    <s v="Ed Sheeran, Mika Singh, Shreya Ghoshal, Bryan Adams"/>
    <n v="2910.2168421052634"/>
    <n v="18778.2"/>
    <n v="54648633.904421061"/>
    <n v="4828680"/>
    <n v="4948076"/>
    <n v="111635078"/>
    <s v="Bryan Adams"/>
    <x v="1"/>
    <n v="992"/>
    <n v="21632.555555555555"/>
    <n v="30"/>
    <n v="81"/>
    <n v="8678356"/>
    <s v="Yes"/>
    <s v="Delhi, Jaipur, Bengaluru, Mumbai"/>
  </r>
  <r>
    <x v="0"/>
    <x v="3"/>
    <d v="2024-06-19T00:00:00"/>
    <m/>
    <x v="0"/>
    <x v="0"/>
    <s v="Honey Singh, Badshah, Bryan Adams, Martin Garrix"/>
    <n v="840"/>
    <n v="33535"/>
    <n v="28169400"/>
    <n v="12206740"/>
    <n v="1201595"/>
    <n v="41577735"/>
    <s v="Badshah"/>
    <x v="0"/>
    <n v="3351"/>
    <n v="36448"/>
    <n v="33"/>
    <n v="483"/>
    <n v="20228640"/>
    <s v="No"/>
    <s v="Nagpur, Goa, Amritsar, Chandigarh, Mumbai"/>
  </r>
  <r>
    <x v="4"/>
    <x v="5"/>
    <d v="2024-05-28T00:00:00"/>
    <m/>
    <x v="5"/>
    <x v="0"/>
    <s v="Ed Sheeran, Shreya Ghoshal, Bryan Adams, Badshah"/>
    <n v="4191"/>
    <n v="20798.88"/>
    <n v="87168106.079999998"/>
    <n v="4279770"/>
    <n v="3427104"/>
    <n v="81824709"/>
    <s v="Shreya Ghoshal"/>
    <x v="3"/>
    <n v="3326"/>
    <n v="3197"/>
    <n v="23"/>
    <n v="271"/>
    <n v="792856"/>
    <s v="No"/>
    <s v="Pune, Mumbai, Delhi, Bengaluru, Amritsar"/>
  </r>
  <r>
    <x v="5"/>
    <x v="0"/>
    <d v="2024-01-28T00:00:00"/>
    <m/>
    <x v="2"/>
    <x v="0"/>
    <s v="Honey Singh, Diljit Dosanjh"/>
    <n v="1823"/>
    <n v="15513"/>
    <n v="28280199"/>
    <n v="7539318"/>
    <n v="3948781"/>
    <n v="39768298"/>
    <s v="Honey Singh"/>
    <x v="2"/>
    <n v="1573"/>
    <n v="35223"/>
    <n v="34"/>
    <n v="430"/>
    <n v="25360560"/>
    <s v="No"/>
    <s v="Pune, Amritsar, Bengaluru"/>
  </r>
  <r>
    <x v="2"/>
    <x v="4"/>
    <d v="2024-06-19T00:00:00"/>
    <m/>
    <x v="6"/>
    <x v="1"/>
    <s v="Honey Singh, Diljit Dosanjh, Arijit Singh"/>
    <n v="3953.6"/>
    <n v="21693"/>
    <n v="85765444.799999997"/>
    <n v="9306297"/>
    <n v="4798020"/>
    <n v="75365349"/>
    <s v="DJ Snake"/>
    <x v="4"/>
    <n v="1431"/>
    <n v="19089"/>
    <n v="32"/>
    <n v="429"/>
    <n v="10193526"/>
    <s v="No"/>
    <s v="Bengaluru, Jaipur, Mumbai, Chandigarh, Kolkata, Delhi"/>
  </r>
  <r>
    <x v="6"/>
    <x v="2"/>
    <d v="2024-12-23T00:00:00"/>
    <m/>
    <x v="5"/>
    <x v="0"/>
    <s v="Honey Singh, Badshah, Bryan Adams"/>
    <n v="2842"/>
    <n v="24021"/>
    <n v="68267682"/>
    <n v="5020389"/>
    <n v="2851905"/>
    <n v="76139976"/>
    <s v="Shreya Ghoshal"/>
    <x v="3"/>
    <n v="3326"/>
    <n v="3197"/>
    <n v="23"/>
    <n v="271"/>
    <n v="792856"/>
    <s v="No"/>
    <s v="Pune, Mumbai, Delhi, Bengaluru, Amritsar"/>
  </r>
  <r>
    <x v="7"/>
    <x v="6"/>
    <d v="2024-05-16T00:00:00"/>
    <s v="Born To Shine Tour"/>
    <x v="7"/>
    <x v="0"/>
    <s v="Mika Singh, Ed Sheeran, Arijit Singh"/>
    <n v="528"/>
    <n v="33241"/>
    <n v="17551248"/>
    <n v="2659280"/>
    <n v="3167786"/>
    <n v="19328026"/>
    <s v="Diljit Dosanjh"/>
    <x v="5"/>
    <n v="2027"/>
    <n v="33738"/>
    <n v="46"/>
    <n v="116"/>
    <n v="22334556"/>
    <s v="Yes"/>
    <s v="Amritsar, Kolkata, Delhi, Mumbai, Bengaluru"/>
  </r>
  <r>
    <x v="8"/>
    <x v="7"/>
    <d v="2024-12-18T00:00:00"/>
    <m/>
    <x v="8"/>
    <x v="1"/>
    <s v="Shreya Ghoshal, Ed Sheeran, Arijit Singh"/>
    <n v="1543"/>
    <n v="19867"/>
    <n v="30654781"/>
    <n v="2821114"/>
    <n v="2897760"/>
    <n v="36373655"/>
    <s v="Martin Garrix"/>
    <x v="4"/>
    <n v="2499"/>
    <n v="11603"/>
    <n v="43"/>
    <n v="298"/>
    <n v="6462871"/>
    <s v="No"/>
    <s v="Chandigarh, Delhi, Pune, Nagpur, Bengaluru, Kolkata"/>
  </r>
  <r>
    <x v="2"/>
    <x v="8"/>
    <d v="2024-02-22T00:00:00"/>
    <m/>
    <x v="5"/>
    <x v="0"/>
    <s v="Bryan Adams, Badshah, Honey Singh"/>
    <n v="2188"/>
    <n v="20603"/>
    <n v="45079364"/>
    <n v="9559792"/>
    <n v="4600450"/>
    <n v="59239606"/>
    <s v="Shreya Ghoshal"/>
    <x v="3"/>
    <n v="3326"/>
    <n v="3197"/>
    <n v="23"/>
    <n v="271"/>
    <n v="792856"/>
    <s v="No"/>
    <s v="Pune, Mumbai, Delhi, Bengaluru, Amritsar"/>
  </r>
  <r>
    <x v="1"/>
    <x v="0"/>
    <d v="2024-10-16T00:00:00"/>
    <s v="Classics Tour"/>
    <x v="1"/>
    <x v="1"/>
    <s v="Ed Sheeran, Shreya Ghoshal"/>
    <n v="2217.6"/>
    <n v="9504.6"/>
    <n v="21077400.960000001"/>
    <n v="5892852"/>
    <n v="795307"/>
    <n v="28195711"/>
    <s v="Bryan Adams"/>
    <x v="1"/>
    <n v="992"/>
    <n v="21632.555555555555"/>
    <n v="30"/>
    <n v="81"/>
    <n v="8678356"/>
    <s v="Yes"/>
    <s v="Delhi, Jaipur, Bengaluru, Mumbai"/>
  </r>
  <r>
    <x v="5"/>
    <x v="5"/>
    <d v="2024-06-12T00:00:00"/>
    <s v="Classics Tour"/>
    <x v="1"/>
    <x v="1"/>
    <s v="Martin Garrix, Mika Singh, Bryan Adams"/>
    <n v="5397"/>
    <n v="9158.1"/>
    <n v="49426265.700000003"/>
    <n v="1687707"/>
    <n v="2188470"/>
    <n v="54311142"/>
    <s v="Bryan Adams"/>
    <x v="1"/>
    <n v="992"/>
    <n v="21632.555555555555"/>
    <n v="30"/>
    <n v="81"/>
    <n v="8678356"/>
    <s v="Yes"/>
    <s v="Delhi, Jaipur, Bengaluru, Mumbai"/>
  </r>
  <r>
    <x v="3"/>
    <x v="6"/>
    <d v="2024-04-02T00:00:00"/>
    <s v="Mathematics Tour"/>
    <x v="9"/>
    <x v="1"/>
    <s v="Honey Singh, Ed Sheeran"/>
    <n v="1601.6"/>
    <n v="11790"/>
    <n v="18882864"/>
    <n v="3030030"/>
    <n v="3635278"/>
    <n v="20153068"/>
    <s v="Ed Sheeran"/>
    <x v="6"/>
    <n v="3436"/>
    <n v="18609"/>
    <n v="55"/>
    <n v="736"/>
    <n v="4856949"/>
    <s v="Yes"/>
    <s v="Pune, Amritsar, Goa, Chandigarh"/>
  </r>
  <r>
    <x v="3"/>
    <x v="5"/>
    <d v="2024-08-27T00:00:00"/>
    <m/>
    <x v="5"/>
    <x v="0"/>
    <s v="Honey Singh, Mika Singh, Martin Garrix, Ed Sheeran"/>
    <n v="4564"/>
    <n v="31755"/>
    <n v="144929820"/>
    <n v="6890835"/>
    <n v="4732974"/>
    <n v="156553629"/>
    <s v="Shreya Ghoshal"/>
    <x v="3"/>
    <n v="3326"/>
    <n v="3197"/>
    <n v="23"/>
    <n v="271"/>
    <n v="792856"/>
    <s v="No"/>
    <s v="Pune, Mumbai, Delhi, Bengaluru, Amritsar"/>
  </r>
  <r>
    <x v="6"/>
    <x v="3"/>
    <d v="2024-12-08T00:00:00"/>
    <s v="Classics Tour"/>
    <x v="1"/>
    <x v="1"/>
    <s v="Ed Sheeran, Mika Singh, Shreya Ghoshal, Honey Singh"/>
    <n v="3350.2"/>
    <n v="2975.7"/>
    <n v="9969190.1399999987"/>
    <n v="1041495"/>
    <n v="3001940"/>
    <n v="14216078"/>
    <s v="Bryan Adams"/>
    <x v="1"/>
    <n v="992"/>
    <n v="21632.555555555555"/>
    <n v="30"/>
    <n v="81"/>
    <n v="8678356"/>
    <s v="Yes"/>
    <s v="Delhi, Jaipur, Bengaluru, Mumbai"/>
  </r>
  <r>
    <x v="6"/>
    <x v="5"/>
    <d v="2024-06-17T00:00:00"/>
    <m/>
    <x v="0"/>
    <x v="0"/>
    <s v="Shreya Ghoshal, Diljit Dosanjh, Arijit Singh"/>
    <n v="4045"/>
    <n v="27719"/>
    <n v="112123355"/>
    <n v="7539568"/>
    <n v="4670910"/>
    <n v="124333833"/>
    <s v="Badshah"/>
    <x v="0"/>
    <n v="3351"/>
    <n v="36448"/>
    <n v="33"/>
    <n v="483"/>
    <n v="20228640"/>
    <s v="No"/>
    <s v="Nagpur, Goa, Amritsar, Chandigarh, Mumbai"/>
  </r>
  <r>
    <x v="6"/>
    <x v="1"/>
    <d v="2024-05-13T00:00:00"/>
    <s v="Soulful Nights Tour"/>
    <x v="3"/>
    <x v="0"/>
    <s v="Honey Singh, Diljit Dosanjh, Badshah"/>
    <n v="1008"/>
    <n v="21142"/>
    <n v="21311136"/>
    <n v="2558182"/>
    <n v="1632574"/>
    <n v="25501892"/>
    <s v="Arijit Singh"/>
    <x v="0"/>
    <n v="2437"/>
    <n v="25729"/>
    <n v="30"/>
    <n v="584"/>
    <n v="18730712"/>
    <s v="Yes"/>
    <s v="Nagpur, Jaipur, Chandigarh"/>
  </r>
  <r>
    <x v="0"/>
    <x v="9"/>
    <d v="2024-07-01T00:00:00"/>
    <m/>
    <x v="8"/>
    <x v="1"/>
    <s v="Honey Singh, Bryan Adams, DJ Snake"/>
    <n v="2334"/>
    <n v="16842"/>
    <n v="39309228"/>
    <n v="6905220"/>
    <n v="1067015"/>
    <n v="47281463"/>
    <s v="Martin Garrix"/>
    <x v="4"/>
    <n v="2499"/>
    <n v="11603"/>
    <n v="43"/>
    <n v="298"/>
    <n v="6462871"/>
    <s v="No"/>
    <s v="Chandigarh, Delhi, Pune, Nagpur, Bengaluru, Kolkata"/>
  </r>
  <r>
    <x v="9"/>
    <x v="5"/>
    <d v="2024-01-08T00:00:00"/>
    <s v="Born To Shine Tour"/>
    <x v="7"/>
    <x v="0"/>
    <s v="Ed Sheeran, Diljit Dosanjh, Shreya Ghoshal, Badshah"/>
    <n v="2910.2168421052634"/>
    <n v="14456"/>
    <n v="42070094.669473685"/>
    <n v="4603680"/>
    <n v="2403962"/>
    <n v="41090442"/>
    <s v="Diljit Dosanjh"/>
    <x v="5"/>
    <n v="2027"/>
    <n v="33738"/>
    <n v="46"/>
    <n v="116"/>
    <n v="22334556"/>
    <s v="Yes"/>
    <s v="Amritsar, Kolkata, Delhi, Mumbai, Bengaluru"/>
  </r>
  <r>
    <x v="8"/>
    <x v="8"/>
    <d v="2024-05-04T00:00:00"/>
    <m/>
    <x v="0"/>
    <x v="0"/>
    <s v="Mika Singh, Diljit Dosanjh, Martin Garrix"/>
    <n v="3977"/>
    <n v="25243"/>
    <n v="100391411"/>
    <n v="9238938"/>
    <n v="4689343"/>
    <n v="114319692"/>
    <s v="Badshah"/>
    <x v="0"/>
    <n v="3351"/>
    <n v="36448"/>
    <n v="33"/>
    <n v="483"/>
    <n v="20228640"/>
    <s v="No"/>
    <s v="Nagpur, Goa, Amritsar, Chandigarh, Mumbai"/>
  </r>
  <r>
    <x v="6"/>
    <x v="4"/>
    <d v="2024-04-25T00:00:00"/>
    <m/>
    <x v="2"/>
    <x v="0"/>
    <s v="Bryan Adams, Diljit Dosanjh, Honey Singh, Mika Singh"/>
    <n v="3449"/>
    <n v="13539"/>
    <n v="46696011"/>
    <n v="5672841"/>
    <n v="3471436"/>
    <n v="55840288"/>
    <s v="Honey Singh"/>
    <x v="2"/>
    <n v="1573"/>
    <n v="35223"/>
    <n v="34"/>
    <n v="430"/>
    <n v="25360560"/>
    <s v="No"/>
    <s v="Pune, Amritsar, Bengaluru"/>
  </r>
  <r>
    <x v="2"/>
    <x v="6"/>
    <d v="2024-01-25T00:00:00"/>
    <m/>
    <x v="0"/>
    <x v="0"/>
    <s v="Martin Garrix, Bryan Adams, DJ Snake"/>
    <n v="3668"/>
    <n v="36462"/>
    <n v="133742616"/>
    <n v="5250528"/>
    <n v="2377592"/>
    <n v="141370736"/>
    <s v="Badshah"/>
    <x v="0"/>
    <n v="3351"/>
    <n v="36448"/>
    <n v="33"/>
    <n v="483"/>
    <n v="20228640"/>
    <s v="No"/>
    <s v="Nagpur, Goa, Amritsar, Chandigarh, Mumbai"/>
  </r>
  <r>
    <x v="0"/>
    <x v="2"/>
    <d v="2024-09-04T00:00:00"/>
    <m/>
    <x v="0"/>
    <x v="0"/>
    <s v="Arijit Singh, Diljit Dosanjh"/>
    <n v="3279"/>
    <n v="32540"/>
    <n v="106698660"/>
    <n v="13341400"/>
    <n v="2840750"/>
    <n v="122880810"/>
    <s v="Badshah"/>
    <x v="0"/>
    <n v="3351"/>
    <n v="36448"/>
    <n v="33"/>
    <n v="483"/>
    <n v="20228640"/>
    <s v="No"/>
    <s v="Nagpur, Goa, Amritsar, Chandigarh, Mumbai"/>
  </r>
  <r>
    <x v="0"/>
    <x v="8"/>
    <d v="2024-12-13T00:00:00"/>
    <m/>
    <x v="2"/>
    <x v="0"/>
    <s v="Diljit Dosanjh, Honey Singh, DJ Snake, Shreya Ghoshal"/>
    <n v="2948"/>
    <n v="9316"/>
    <n v="27463568"/>
    <n v="1266976"/>
    <n v="2704822"/>
    <n v="31435366"/>
    <s v="Honey Singh"/>
    <x v="2"/>
    <n v="1573"/>
    <n v="35223"/>
    <n v="34"/>
    <n v="430"/>
    <n v="25360560"/>
    <s v="No"/>
    <s v="Pune, Amritsar, Bengaluru"/>
  </r>
  <r>
    <x v="0"/>
    <x v="5"/>
    <d v="2024-12-21T00:00:00"/>
    <m/>
    <x v="6"/>
    <x v="1"/>
    <s v="Bryan Adams, Mika Singh, Arijit Singh"/>
    <n v="2749.6"/>
    <n v="17172"/>
    <n v="47216131.199999996"/>
    <n v="7830432"/>
    <n v="3956927"/>
    <n v="45513167"/>
    <s v="DJ Snake"/>
    <x v="4"/>
    <n v="1431"/>
    <n v="19089"/>
    <n v="32"/>
    <n v="429"/>
    <n v="10193526"/>
    <s v="No"/>
    <s v="Bengaluru, Jaipur, Mumbai, Chandigarh, Kolkata, Delhi"/>
  </r>
  <r>
    <x v="3"/>
    <x v="1"/>
    <d v="2024-04-28T00:00:00"/>
    <m/>
    <x v="2"/>
    <x v="0"/>
    <s v="Arijit Singh, Honey Singh"/>
    <n v="2910.2168421052634"/>
    <n v="16737"/>
    <n v="48708299.286315791"/>
    <n v="6276375"/>
    <n v="2726932"/>
    <n v="85424449"/>
    <s v="Honey Singh"/>
    <x v="2"/>
    <n v="1573"/>
    <n v="35223"/>
    <n v="34"/>
    <n v="430"/>
    <n v="25360560"/>
    <s v="No"/>
    <s v="Pune, Amritsar, Bengaluru"/>
  </r>
  <r>
    <x v="0"/>
    <x v="9"/>
    <d v="2024-04-10T00:00:00"/>
    <m/>
    <x v="5"/>
    <x v="0"/>
    <s v="Martin Garrix, Diljit Dosanjh, Badshah, Mika Singh"/>
    <n v="632"/>
    <n v="35304"/>
    <n v="22312128"/>
    <n v="10379376"/>
    <n v="1590737"/>
    <n v="34282241"/>
    <s v="Shreya Ghoshal"/>
    <x v="3"/>
    <n v="3326"/>
    <n v="3197"/>
    <n v="23"/>
    <n v="271"/>
    <n v="792856"/>
    <s v="No"/>
    <s v="Pune, Mumbai, Delhi, Bengaluru, Amritsar"/>
  </r>
  <r>
    <x v="9"/>
    <x v="0"/>
    <d v="2024-03-09T00:00:00"/>
    <m/>
    <x v="2"/>
    <x v="0"/>
    <s v="DJ Snake, Arijit Singh, Badshah, Mika Singh"/>
    <n v="1932"/>
    <n v="16841"/>
    <n v="32536812"/>
    <n v="7713178"/>
    <n v="4738764"/>
    <n v="44988754"/>
    <s v="Honey Singh"/>
    <x v="2"/>
    <n v="1573"/>
    <n v="35223"/>
    <n v="34"/>
    <n v="430"/>
    <n v="25360560"/>
    <s v="No"/>
    <s v="Pune, Amritsar, Bengaluru"/>
  </r>
  <r>
    <x v="3"/>
    <x v="2"/>
    <d v="2024-03-07T00:00:00"/>
    <s v="Classics Tour"/>
    <x v="1"/>
    <x v="1"/>
    <s v="Mika Singh, Diljit Dosanjh, Shreya Ghoshal"/>
    <n v="1598.8"/>
    <n v="18210.5"/>
    <n v="29114947.399999999"/>
    <n v="7336230"/>
    <n v="2229062"/>
    <n v="39274422"/>
    <s v="Bryan Adams"/>
    <x v="1"/>
    <n v="992"/>
    <n v="21632.555555555555"/>
    <n v="30"/>
    <n v="81"/>
    <n v="8678356"/>
    <s v="Yes"/>
    <s v="Delhi, Jaipur, Bengaluru, Mumbai"/>
  </r>
  <r>
    <x v="5"/>
    <x v="1"/>
    <d v="2024-04-13T00:00:00"/>
    <s v="Born To Shine Tour"/>
    <x v="7"/>
    <x v="0"/>
    <s v="Diljit Dosanjh, DJ Snake, Honey Singh, Shreya Ghoshal"/>
    <n v="2910.2168421052634"/>
    <n v="7559.5"/>
    <n v="21999784.217894737"/>
    <n v="1913135"/>
    <n v="4680189"/>
    <n v="21654174"/>
    <s v="Diljit Dosanjh"/>
    <x v="5"/>
    <n v="2027"/>
    <n v="33738"/>
    <n v="46"/>
    <n v="116"/>
    <n v="22334556"/>
    <s v="Yes"/>
    <s v="Amritsar, Kolkata, Delhi, Mumbai, Bengaluru"/>
  </r>
  <r>
    <x v="1"/>
    <x v="1"/>
    <d v="2024-08-05T00:00:00"/>
    <m/>
    <x v="8"/>
    <x v="1"/>
    <s v="DJ Snake, Honey Singh, Diljit Dosanjh"/>
    <n v="4452"/>
    <n v="31745"/>
    <n v="141328740"/>
    <n v="4412555"/>
    <n v="4091720"/>
    <n v="149833015"/>
    <s v="Martin Garrix"/>
    <x v="4"/>
    <n v="2499"/>
    <n v="11603"/>
    <n v="43"/>
    <n v="298"/>
    <n v="6462871"/>
    <s v="No"/>
    <s v="Chandigarh, Delhi, Pune, Nagpur, Bengaluru, Kolkata"/>
  </r>
  <r>
    <x v="4"/>
    <x v="7"/>
    <d v="2024-09-20T00:00:00"/>
    <m/>
    <x v="4"/>
    <x v="0"/>
    <s v="Arijit Singh, DJ Snake, Martin Garrix"/>
    <n v="2716"/>
    <n v="12688"/>
    <n v="34460608"/>
    <n v="2486848"/>
    <n v="1413822"/>
    <n v="38361278"/>
    <s v="Mika Singh"/>
    <x v="0"/>
    <n v="1025"/>
    <n v="11057"/>
    <n v="12"/>
    <n v="371"/>
    <n v="7983154"/>
    <s v="No"/>
    <s v="Delhi, Amritsar, Bengaluru, Mumbai"/>
  </r>
  <r>
    <x v="6"/>
    <x v="9"/>
    <d v="2024-08-03T00:00:00"/>
    <m/>
    <x v="4"/>
    <x v="0"/>
    <s v="DJ Snake, Badshah"/>
    <n v="2237"/>
    <n v="20276"/>
    <n v="45357412"/>
    <n v="9671652"/>
    <n v="4912334"/>
    <n v="59941398"/>
    <s v="Mika Singh"/>
    <x v="0"/>
    <n v="1025"/>
    <n v="11057"/>
    <n v="12"/>
    <n v="371"/>
    <n v="7983154"/>
    <s v="No"/>
    <s v="Delhi, Amritsar, Bengaluru, Mumbai"/>
  </r>
  <r>
    <x v="4"/>
    <x v="3"/>
    <d v="2024-06-25T00:00:00"/>
    <m/>
    <x v="0"/>
    <x v="0"/>
    <s v="DJ Snake, Honey Singh, Diljit Dosanjh"/>
    <n v="1412"/>
    <n v="20798.88"/>
    <n v="29368018.560000002"/>
    <n v="12753000"/>
    <n v="663225"/>
    <n v="61435521"/>
    <s v="Badshah"/>
    <x v="0"/>
    <n v="3351"/>
    <n v="36448"/>
    <n v="33"/>
    <n v="483"/>
    <n v="20228640"/>
    <s v="No"/>
    <s v="Nagpur, Goa, Amritsar, Chandigarh, Mumbai"/>
  </r>
  <r>
    <x v="4"/>
    <x v="2"/>
    <d v="2024-12-28T00:00:00"/>
    <s v="Born To Shine Tour"/>
    <x v="7"/>
    <x v="0"/>
    <s v="Diljit Dosanjh, Shreya Ghoshal, Ed Sheeran"/>
    <n v="836"/>
    <n v="56160"/>
    <n v="46949760"/>
    <n v="14904000"/>
    <n v="4753926"/>
    <n v="55773126"/>
    <s v="Diljit Dosanjh"/>
    <x v="5"/>
    <n v="2027"/>
    <n v="33738"/>
    <n v="46"/>
    <n v="116"/>
    <n v="22334556"/>
    <s v="Yes"/>
    <s v="Amritsar, Kolkata, Delhi, Mumbai, Bengaluru"/>
  </r>
  <r>
    <x v="4"/>
    <x v="9"/>
    <d v="2024-08-23T00:00:00"/>
    <s v="Born To Shine Tour"/>
    <x v="7"/>
    <x v="0"/>
    <s v="Bryan Adams, DJ Snake, Mika Singh, Shreya Ghoshal"/>
    <n v="625"/>
    <n v="34043.1"/>
    <n v="21276937.5"/>
    <n v="11705589"/>
    <n v="2483828"/>
    <n v="30556292"/>
    <s v="Diljit Dosanjh"/>
    <x v="5"/>
    <n v="2027"/>
    <n v="33738"/>
    <n v="46"/>
    <n v="116"/>
    <n v="22334556"/>
    <s v="Yes"/>
    <s v="Amritsar, Kolkata, Delhi, Mumbai, Bengaluru"/>
  </r>
  <r>
    <x v="5"/>
    <x v="0"/>
    <d v="2024-09-20T00:00:00"/>
    <m/>
    <x v="0"/>
    <x v="0"/>
    <s v="Mika Singh, Arijit Singh, Ed Sheeran"/>
    <n v="4629"/>
    <n v="34318"/>
    <n v="158858022"/>
    <n v="5113382"/>
    <n v="3030898"/>
    <n v="167002302"/>
    <s v="Badshah"/>
    <x v="0"/>
    <n v="3351"/>
    <n v="36448"/>
    <n v="33"/>
    <n v="483"/>
    <n v="20228640"/>
    <s v="No"/>
    <s v="Nagpur, Goa, Amritsar, Chandigarh, Mumbai"/>
  </r>
  <r>
    <x v="5"/>
    <x v="9"/>
    <d v="2024-08-20T00:00:00"/>
    <m/>
    <x v="4"/>
    <x v="0"/>
    <s v="Shreya Ghoshal, Badshah, Arijit Singh, Bryan Adams"/>
    <n v="3412"/>
    <n v="22029"/>
    <n v="75162948"/>
    <n v="7401744"/>
    <n v="4420985"/>
    <n v="86985677"/>
    <s v="Mika Singh"/>
    <x v="0"/>
    <n v="1025"/>
    <n v="11057"/>
    <n v="12"/>
    <n v="371"/>
    <n v="7983154"/>
    <s v="No"/>
    <s v="Delhi, Amritsar, Bengaluru, Mumbai"/>
  </r>
  <r>
    <x v="3"/>
    <x v="7"/>
    <d v="2024-08-08T00:00:00"/>
    <s v="Born To Shine Tour"/>
    <x v="7"/>
    <x v="0"/>
    <s v="Badshah, DJ Snake, Honey Singh, Mika Singh"/>
    <n v="737"/>
    <n v="28345.200000000001"/>
    <n v="20890412.400000002"/>
    <n v="3292404"/>
    <n v="4566892"/>
    <n v="23928844"/>
    <s v="Diljit Dosanjh"/>
    <x v="5"/>
    <n v="2027"/>
    <n v="33738"/>
    <n v="46"/>
    <n v="116"/>
    <n v="22334556"/>
    <s v="Yes"/>
    <s v="Amritsar, Kolkata, Delhi, Mumbai, Bengaluru"/>
  </r>
  <r>
    <x v="6"/>
    <x v="2"/>
    <d v="2024-12-28T00:00:00"/>
    <m/>
    <x v="4"/>
    <x v="0"/>
    <s v="Honey Singh, Shreya Ghoshal"/>
    <n v="933"/>
    <n v="31752"/>
    <n v="29624616"/>
    <n v="5366088"/>
    <n v="1334941"/>
    <n v="36325645"/>
    <s v="Mika Singh"/>
    <x v="0"/>
    <n v="1025"/>
    <n v="11057"/>
    <n v="12"/>
    <n v="371"/>
    <n v="7983154"/>
    <s v="No"/>
    <s v="Delhi, Amritsar, Bengaluru, Mumbai"/>
  </r>
  <r>
    <x v="3"/>
    <x v="1"/>
    <d v="2024-06-24T00:00:00"/>
    <s v="Soulful Nights Tour"/>
    <x v="3"/>
    <x v="0"/>
    <s v="Ed Sheeran, Arijit Singh, Badshah"/>
    <n v="4503"/>
    <n v="7651"/>
    <n v="34452453"/>
    <n v="1361878"/>
    <n v="2805968"/>
    <n v="38620299"/>
    <s v="Arijit Singh"/>
    <x v="0"/>
    <n v="2437"/>
    <n v="25729"/>
    <n v="30"/>
    <n v="584"/>
    <n v="18730712"/>
    <s v="Yes"/>
    <s v="Nagpur, Jaipur, Chandigarh"/>
  </r>
  <r>
    <x v="7"/>
    <x v="9"/>
    <d v="2024-05-11T00:00:00"/>
    <s v="Mathematics Tour"/>
    <x v="9"/>
    <x v="1"/>
    <s v="DJ Snake, Mika Singh"/>
    <n v="2615.1999999999998"/>
    <n v="6000"/>
    <n v="15691199.999999998"/>
    <n v="2094000"/>
    <n v="3409793"/>
    <n v="16711793"/>
    <s v="Ed Sheeran"/>
    <x v="6"/>
    <n v="3436"/>
    <n v="18609"/>
    <n v="55"/>
    <n v="736"/>
    <n v="4856949"/>
    <s v="Yes"/>
    <s v="Pune, Amritsar, Goa, Chandigarh"/>
  </r>
  <r>
    <x v="7"/>
    <x v="4"/>
    <d v="2024-04-04T00:00:00"/>
    <s v="Born To Shine Tour"/>
    <x v="7"/>
    <x v="0"/>
    <s v="Mika Singh, Ed Sheeran"/>
    <n v="4046"/>
    <n v="32925.1"/>
    <n v="133214954.59999999"/>
    <n v="4356244"/>
    <n v="1785594"/>
    <n v="108614880"/>
    <s v="Diljit Dosanjh"/>
    <x v="5"/>
    <n v="2027"/>
    <n v="33738"/>
    <n v="46"/>
    <n v="116"/>
    <n v="22334556"/>
    <s v="Yes"/>
    <s v="Amritsar, Kolkata, Delhi, Mumbai, Bengaluru"/>
  </r>
  <r>
    <x v="1"/>
    <x v="3"/>
    <d v="2024-01-27T00:00:00"/>
    <s v="Classics Tour"/>
    <x v="1"/>
    <x v="1"/>
    <s v="Mika Singh, Badshah"/>
    <n v="4613"/>
    <n v="9412.2000000000007"/>
    <n v="43418478.600000001"/>
    <n v="5580090"/>
    <n v="4314798"/>
    <n v="54199458"/>
    <s v="Bryan Adams"/>
    <x v="1"/>
    <n v="992"/>
    <n v="21632.555555555555"/>
    <n v="30"/>
    <n v="81"/>
    <n v="8678356"/>
    <s v="Yes"/>
    <s v="Delhi, Jaipur, Bengaluru, Mumbai"/>
  </r>
  <r>
    <x v="1"/>
    <x v="2"/>
    <d v="2024-07-26T00:00:00"/>
    <s v="Soulful Nights Tour"/>
    <x v="3"/>
    <x v="0"/>
    <s v="Ed Sheeran, DJ Snake, Mika Singh"/>
    <n v="3437"/>
    <n v="17457"/>
    <n v="59999709"/>
    <n v="4800675"/>
    <n v="3816903"/>
    <n v="68617287"/>
    <s v="Arijit Singh"/>
    <x v="0"/>
    <n v="2437"/>
    <n v="25729"/>
    <n v="30"/>
    <n v="584"/>
    <n v="18730712"/>
    <s v="Yes"/>
    <s v="Nagpur, Jaipur, Chandigarh"/>
  </r>
  <r>
    <x v="7"/>
    <x v="4"/>
    <d v="2024-09-08T00:00:00"/>
    <m/>
    <x v="8"/>
    <x v="1"/>
    <s v="Martin Garrix, Badshah"/>
    <n v="2167"/>
    <n v="23456"/>
    <n v="50829152"/>
    <n v="8068864"/>
    <n v="4892379"/>
    <n v="63790395"/>
    <s v="Martin Garrix"/>
    <x v="4"/>
    <n v="2499"/>
    <n v="11603"/>
    <n v="43"/>
    <n v="298"/>
    <n v="6462871"/>
    <s v="No"/>
    <s v="Chandigarh, Delhi, Pune, Nagpur, Bengaluru, Kolkata"/>
  </r>
  <r>
    <x v="3"/>
    <x v="3"/>
    <d v="2024-12-09T00:00:00"/>
    <m/>
    <x v="2"/>
    <x v="0"/>
    <s v="Arijit Singh, Honey Singh, Shreya Ghoshal, Ed Sheeran"/>
    <n v="2495"/>
    <n v="26922"/>
    <n v="67170390"/>
    <n v="12868716"/>
    <n v="4865146"/>
    <n v="339617008"/>
    <s v="Honey Singh"/>
    <x v="2"/>
    <n v="1573"/>
    <n v="35223"/>
    <n v="34"/>
    <n v="430"/>
    <n v="25360560"/>
    <s v="No"/>
    <s v="Pune, Amritsar, Bengaluru"/>
  </r>
  <r>
    <x v="8"/>
    <x v="3"/>
    <d v="2024-01-13T00:00:00"/>
    <s v="Classics Tour"/>
    <x v="1"/>
    <x v="1"/>
    <s v="Arijit Singh, Diljit Dosanjh"/>
    <n v="1244.5999999999999"/>
    <n v="23400.3"/>
    <n v="29124013.379999995"/>
    <n v="10463277"/>
    <n v="1325646"/>
    <n v="41507304"/>
    <s v="Bryan Adams"/>
    <x v="1"/>
    <n v="992"/>
    <n v="21632.555555555555"/>
    <n v="30"/>
    <n v="81"/>
    <n v="8678356"/>
    <s v="Yes"/>
    <s v="Delhi, Jaipur, Bengaluru, Mumbai"/>
  </r>
  <r>
    <x v="6"/>
    <x v="6"/>
    <d v="2024-08-05T00:00:00"/>
    <m/>
    <x v="5"/>
    <x v="0"/>
    <s v="DJ Snake, Shreya Ghoshal, Honey Singh, Diljit Dosanjh"/>
    <n v="4120"/>
    <n v="20798.88"/>
    <n v="85691385.600000009"/>
    <n v="4873518"/>
    <n v="2422363"/>
    <n v="93103121"/>
    <s v="Shreya Ghoshal"/>
    <x v="3"/>
    <n v="3326"/>
    <n v="3197"/>
    <n v="23"/>
    <n v="271"/>
    <n v="792856"/>
    <s v="No"/>
    <s v="Pune, Mumbai, Delhi, Bengaluru, Amritsar"/>
  </r>
  <r>
    <x v="8"/>
    <x v="2"/>
    <d v="2024-06-05T00:00:00"/>
    <m/>
    <x v="5"/>
    <x v="0"/>
    <s v="Martin Garrix, Badshah, Bryan Adams, Arijit Singh"/>
    <n v="2910.2168421052634"/>
    <n v="20798.88"/>
    <n v="60529250.872926325"/>
    <n v="4728492"/>
    <n v="3476973"/>
    <n v="15717666"/>
    <s v="Shreya Ghoshal"/>
    <x v="3"/>
    <n v="3326"/>
    <n v="3197"/>
    <n v="23"/>
    <n v="271"/>
    <n v="792856"/>
    <s v="No"/>
    <s v="Pune, Mumbai, Delhi, Bengaluru, Amritsar"/>
  </r>
  <r>
    <x v="9"/>
    <x v="8"/>
    <d v="2024-02-04T00:00:00"/>
    <s v="Classics Tour"/>
    <x v="1"/>
    <x v="1"/>
    <s v="Diljit Dosanjh, Ed Sheeran, DJ Snake, Honey Singh"/>
    <n v="4459"/>
    <n v="19021.099999999999"/>
    <n v="84815084.899999991"/>
    <n v="9592069"/>
    <n v="3713395"/>
    <n v="99851469"/>
    <s v="Bryan Adams"/>
    <x v="1"/>
    <n v="992"/>
    <n v="21632.555555555555"/>
    <n v="30"/>
    <n v="81"/>
    <n v="8678356"/>
    <s v="Yes"/>
    <s v="Delhi, Jaipur, Bengaluru, Mumbai"/>
  </r>
  <r>
    <x v="3"/>
    <x v="4"/>
    <d v="2024-05-19T00:00:00"/>
    <m/>
    <x v="5"/>
    <x v="0"/>
    <s v="Honey Singh, Ed Sheeran"/>
    <n v="2910.2168421052634"/>
    <n v="31020"/>
    <n v="90274926.442105263"/>
    <n v="10701900"/>
    <n v="854727"/>
    <n v="122856387"/>
    <s v="Shreya Ghoshal"/>
    <x v="3"/>
    <n v="3326"/>
    <n v="3197"/>
    <n v="23"/>
    <n v="271"/>
    <n v="792856"/>
    <s v="No"/>
    <s v="Pune, Mumbai, Delhi, Bengaluru, Amritsar"/>
  </r>
  <r>
    <x v="4"/>
    <x v="4"/>
    <d v="2024-10-18T00:00:00"/>
    <m/>
    <x v="4"/>
    <x v="0"/>
    <s v="DJ Snake, Arijit Singh, Shreya Ghoshal"/>
    <n v="2910.2168421052634"/>
    <n v="5456"/>
    <n v="15878143.090526316"/>
    <n v="1085744"/>
    <n v="3936852"/>
    <n v="19235476"/>
    <s v="Mika Singh"/>
    <x v="0"/>
    <n v="1025"/>
    <n v="11057"/>
    <n v="12"/>
    <n v="371"/>
    <n v="7983154"/>
    <s v="No"/>
    <s v="Delhi, Amritsar, Bengaluru, Mumbai"/>
  </r>
  <r>
    <x v="4"/>
    <x v="2"/>
    <d v="2024-07-13T00:00:00"/>
    <m/>
    <x v="6"/>
    <x v="1"/>
    <s v="Bryan Adams, Martin Garrix"/>
    <n v="5391.4"/>
    <n v="11355"/>
    <n v="61219346.999999993"/>
    <n v="2305065"/>
    <n v="1958821"/>
    <n v="191967964"/>
    <s v="DJ Snake"/>
    <x v="4"/>
    <n v="1431"/>
    <n v="19089"/>
    <n v="32"/>
    <n v="429"/>
    <n v="10193526"/>
    <s v="No"/>
    <s v="Bengaluru, Jaipur, Mumbai, Chandigarh, Kolkata, Delhi"/>
  </r>
  <r>
    <x v="6"/>
    <x v="5"/>
    <d v="2024-06-14T00:00:00"/>
    <s v="Soulful Nights Tour"/>
    <x v="3"/>
    <x v="0"/>
    <s v="Martin Garrix, DJ Snake, Arijit Singh, Honey Singh"/>
    <n v="2910.2168421052634"/>
    <n v="20798.88"/>
    <n v="60529250.872926325"/>
    <n v="3236079"/>
    <n v="3039149"/>
    <n v="24290802"/>
    <s v="Arijit Singh"/>
    <x v="0"/>
    <n v="2437"/>
    <n v="25729"/>
    <n v="30"/>
    <n v="584"/>
    <n v="18730712"/>
    <s v="Yes"/>
    <s v="Nagpur, Jaipur, Chandigarh"/>
  </r>
  <r>
    <x v="8"/>
    <x v="0"/>
    <d v="2024-03-19T00:00:00"/>
    <m/>
    <x v="0"/>
    <x v="0"/>
    <s v="Diljit Dosanjh, Arijit Singh, Shreya Ghoshal, Mika Singh"/>
    <n v="2589"/>
    <n v="8270"/>
    <n v="21411030"/>
    <n v="1563030"/>
    <n v="3564057"/>
    <n v="106152468"/>
    <s v="Badshah"/>
    <x v="0"/>
    <n v="3351"/>
    <n v="36448"/>
    <n v="33"/>
    <n v="483"/>
    <n v="20228640"/>
    <s v="No"/>
    <s v="Nagpur, Goa, Amritsar, Chandigarh, Mumbai"/>
  </r>
  <r>
    <x v="4"/>
    <x v="2"/>
    <d v="2024-05-08T00:00:00"/>
    <m/>
    <x v="2"/>
    <x v="0"/>
    <s v="Shreya Ghoshal, DJ Snake, Honey Singh, Bryan Adams"/>
    <n v="4078"/>
    <n v="9560"/>
    <n v="38985680"/>
    <n v="3795320"/>
    <n v="2303574"/>
    <n v="45084574"/>
    <s v="Honey Singh"/>
    <x v="2"/>
    <n v="1573"/>
    <n v="35223"/>
    <n v="34"/>
    <n v="430"/>
    <n v="25360560"/>
    <s v="No"/>
    <s v="Pune, Amritsar, Bengaluru"/>
  </r>
  <r>
    <x v="9"/>
    <x v="2"/>
    <d v="2024-03-17T00:00:00"/>
    <s v="Soulful Nights Tour"/>
    <x v="3"/>
    <x v="0"/>
    <s v="Ed Sheeran, Honey Singh, Arijit Singh"/>
    <n v="1381"/>
    <n v="13578"/>
    <n v="18751218"/>
    <n v="5336154"/>
    <n v="1442642"/>
    <n v="25530014"/>
    <s v="Arijit Singh"/>
    <x v="0"/>
    <n v="2437"/>
    <n v="25729"/>
    <n v="30"/>
    <n v="584"/>
    <n v="18730712"/>
    <s v="Yes"/>
    <s v="Nagpur, Jaipur, Chandigarh"/>
  </r>
  <r>
    <x v="1"/>
    <x v="9"/>
    <d v="2024-08-02T00:00:00"/>
    <m/>
    <x v="2"/>
    <x v="0"/>
    <s v="Arijit Singh, Badshah"/>
    <n v="2817"/>
    <n v="13994"/>
    <n v="39421098"/>
    <n v="6689132"/>
    <n v="3519113"/>
    <n v="49629343"/>
    <s v="Honey Singh"/>
    <x v="2"/>
    <n v="1573"/>
    <n v="35223"/>
    <n v="34"/>
    <n v="430"/>
    <n v="25360560"/>
    <s v="No"/>
    <s v="Pune, Amritsar, Bengaluru"/>
  </r>
  <r>
    <x v="9"/>
    <x v="1"/>
    <d v="2024-01-26T00:00:00"/>
    <m/>
    <x v="0"/>
    <x v="0"/>
    <s v="Bryan Adams, Honey Singh, Mika Singh"/>
    <n v="2937"/>
    <n v="14499"/>
    <n v="42583563"/>
    <n v="7177005"/>
    <n v="1341541"/>
    <n v="51102109"/>
    <s v="Badshah"/>
    <x v="0"/>
    <n v="3351"/>
    <n v="36448"/>
    <n v="33"/>
    <n v="483"/>
    <n v="20228640"/>
    <s v="No"/>
    <s v="Nagpur, Goa, Amritsar, Chandigarh, Mumbai"/>
  </r>
  <r>
    <x v="6"/>
    <x v="3"/>
    <d v="2024-10-03T00:00:00"/>
    <m/>
    <x v="6"/>
    <x v="1"/>
    <s v="Ed Sheeran, Honey Singh, Badshah, Mika Singh"/>
    <n v="3235.4"/>
    <n v="15002"/>
    <n v="48537470.800000004"/>
    <n v="3975530"/>
    <n v="4947667"/>
    <n v="43592819"/>
    <s v="DJ Snake"/>
    <x v="4"/>
    <n v="1431"/>
    <n v="19089"/>
    <n v="32"/>
    <n v="429"/>
    <n v="10193526"/>
    <s v="No"/>
    <s v="Bengaluru, Jaipur, Mumbai, Chandigarh, Kolkata, Delhi"/>
  </r>
  <r>
    <x v="0"/>
    <x v="2"/>
    <d v="2024-02-17T00:00:00"/>
    <m/>
    <x v="6"/>
    <x v="1"/>
    <s v="Ed Sheeran, Badshah, Arijit Singh, Bryan Adams"/>
    <n v="2224.6"/>
    <n v="23169"/>
    <n v="51541757.399999999"/>
    <n v="5630067"/>
    <n v="4471729"/>
    <n v="46917337"/>
    <s v="DJ Snake"/>
    <x v="4"/>
    <n v="1431"/>
    <n v="19089"/>
    <n v="32"/>
    <n v="429"/>
    <n v="10193526"/>
    <s v="No"/>
    <s v="Bengaluru, Jaipur, Mumbai, Chandigarh, Kolkata, Delhi"/>
  </r>
  <r>
    <x v="7"/>
    <x v="3"/>
    <d v="2024-11-20T00:00:00"/>
    <m/>
    <x v="6"/>
    <x v="1"/>
    <s v="Martin Garrix, Honey Singh, DJ Snake, Arijit Singh"/>
    <n v="2679.6"/>
    <n v="20798.88"/>
    <n v="55732678.847999997"/>
    <n v="1370391"/>
    <n v="1953924"/>
    <n v="23346669"/>
    <s v="DJ Snake"/>
    <x v="4"/>
    <n v="1431"/>
    <n v="19089"/>
    <n v="32"/>
    <n v="429"/>
    <n v="10193526"/>
    <s v="No"/>
    <s v="Bengaluru, Jaipur, Mumbai, Chandigarh, Kolkata, Delhi"/>
  </r>
  <r>
    <x v="8"/>
    <x v="6"/>
    <d v="2024-02-23T00:00:00"/>
    <m/>
    <x v="4"/>
    <x v="0"/>
    <s v="Mika Singh, DJ Snake, Bryan Adams, Ed Sheeran"/>
    <n v="2567"/>
    <n v="4240"/>
    <n v="10884080"/>
    <n v="1861360"/>
    <n v="1698282"/>
    <n v="14443722"/>
    <s v="Mika Singh"/>
    <x v="0"/>
    <n v="1025"/>
    <n v="11057"/>
    <n v="12"/>
    <n v="371"/>
    <n v="7983154"/>
    <s v="No"/>
    <s v="Delhi, Amritsar, Bengaluru, Mumbai"/>
  </r>
  <r>
    <x v="2"/>
    <x v="5"/>
    <d v="2024-09-08T00:00:00"/>
    <s v="Classics Tour"/>
    <x v="1"/>
    <x v="1"/>
    <s v="Honey Singh, Shreya Ghoshal"/>
    <n v="6972"/>
    <n v="21681.1"/>
    <n v="151160629.19999999"/>
    <n v="13875904"/>
    <n v="2510128"/>
    <n v="170631572"/>
    <s v="Bryan Adams"/>
    <x v="1"/>
    <n v="992"/>
    <n v="21632.555555555555"/>
    <n v="30"/>
    <n v="81"/>
    <n v="8678356"/>
    <s v="Yes"/>
    <s v="Delhi, Jaipur, Bengaluru, Mumbai"/>
  </r>
  <r>
    <x v="2"/>
    <x v="6"/>
    <d v="2024-08-06T00:00:00"/>
    <m/>
    <x v="2"/>
    <x v="0"/>
    <s v="Martin Garrix, Bryan Adams"/>
    <n v="2910.2168421052634"/>
    <n v="32900"/>
    <n v="95746134.105263159"/>
    <n v="6777400"/>
    <n v="3584230"/>
    <n v="126301230"/>
    <s v="Honey Singh"/>
    <x v="2"/>
    <n v="1573"/>
    <n v="35223"/>
    <n v="34"/>
    <n v="430"/>
    <n v="25360560"/>
    <s v="No"/>
    <s v="Pune, Amritsar, Bengaluru"/>
  </r>
  <r>
    <x v="6"/>
    <x v="6"/>
    <d v="2024-11-13T00:00:00"/>
    <s v="Classics Tour"/>
    <x v="1"/>
    <x v="1"/>
    <s v="Bryan Adams, Arijit Singh, Honey Singh"/>
    <n v="4765.6000000000004"/>
    <n v="11366.6"/>
    <n v="54168668.960000008"/>
    <n v="6933626"/>
    <n v="2380633"/>
    <n v="64588411"/>
    <s v="Bryan Adams"/>
    <x v="1"/>
    <n v="992"/>
    <n v="21632.555555555555"/>
    <n v="30"/>
    <n v="81"/>
    <n v="8678356"/>
    <s v="Yes"/>
    <s v="Delhi, Jaipur, Bengaluru, Mumbai"/>
  </r>
  <r>
    <x v="7"/>
    <x v="5"/>
    <d v="2024-05-02T00:00:00"/>
    <m/>
    <x v="5"/>
    <x v="0"/>
    <s v="Ed Sheeran, Honey Singh, DJ Snake, Bryan Adams"/>
    <n v="3243"/>
    <n v="5362"/>
    <n v="17388966"/>
    <n v="739956"/>
    <n v="4259028"/>
    <n v="22387950"/>
    <s v="Shreya Ghoshal"/>
    <x v="3"/>
    <n v="3326"/>
    <n v="3197"/>
    <n v="23"/>
    <n v="271"/>
    <n v="792856"/>
    <s v="No"/>
    <s v="Pune, Mumbai, Delhi, Bengaluru, Amritsar"/>
  </r>
  <r>
    <x v="7"/>
    <x v="9"/>
    <d v="2024-08-27T00:00:00"/>
    <m/>
    <x v="8"/>
    <x v="1"/>
    <s v="Shreya Ghoshal, Martin Garrix"/>
    <n v="1599"/>
    <n v="6748"/>
    <n v="10790052"/>
    <n v="1005452"/>
    <n v="3330904"/>
    <n v="15126408"/>
    <s v="Martin Garrix"/>
    <x v="4"/>
    <n v="2499"/>
    <n v="11603"/>
    <n v="43"/>
    <n v="298"/>
    <n v="6462871"/>
    <s v="No"/>
    <s v="Chandigarh, Delhi, Pune, Nagpur, Bengaluru, Kolkata"/>
  </r>
  <r>
    <x v="7"/>
    <x v="4"/>
    <d v="2024-02-04T00:00:00"/>
    <s v="Soulful Nights Tour"/>
    <x v="3"/>
    <x v="0"/>
    <s v="Mika Singh, Diljit Dosanjh"/>
    <n v="1180"/>
    <n v="11979"/>
    <n v="14135220"/>
    <n v="3114540"/>
    <n v="2375872"/>
    <n v="19625632"/>
    <s v="Arijit Singh"/>
    <x v="0"/>
    <n v="2437"/>
    <n v="25729"/>
    <n v="30"/>
    <n v="584"/>
    <n v="18730712"/>
    <s v="Yes"/>
    <s v="Nagpur, Jaipur, Chandigarh"/>
  </r>
  <r>
    <x v="5"/>
    <x v="0"/>
    <d v="2024-11-05T00:00:00"/>
    <s v="Born To Shine Tour"/>
    <x v="7"/>
    <x v="0"/>
    <s v="Arijit Singh, Mika Singh"/>
    <n v="3928"/>
    <n v="45372.6"/>
    <n v="178223572.79999998"/>
    <n v="14623938"/>
    <n v="962979"/>
    <n v="152681973"/>
    <s v="Diljit Dosanjh"/>
    <x v="5"/>
    <n v="2027"/>
    <n v="33738"/>
    <n v="46"/>
    <n v="116"/>
    <n v="22334556"/>
    <s v="Yes"/>
    <s v="Amritsar, Kolkata, Delhi, Mumbai, Bengaluru"/>
  </r>
  <r>
    <x v="5"/>
    <x v="4"/>
    <d v="2024-04-19T00:00:00"/>
    <m/>
    <x v="8"/>
    <x v="1"/>
    <s v="Mika Singh, Badshah, Ed Sheeran, Diljit Dosanjh"/>
    <n v="929"/>
    <n v="17678"/>
    <n v="16422862"/>
    <n v="4118974"/>
    <n v="3432767"/>
    <n v="23974603"/>
    <s v="Martin Garrix"/>
    <x v="4"/>
    <n v="2499"/>
    <n v="11603"/>
    <n v="43"/>
    <n v="298"/>
    <n v="6462871"/>
    <s v="No"/>
    <s v="Chandigarh, Delhi, Pune, Nagpur, Bengaluru, Kolkata"/>
  </r>
  <r>
    <x v="5"/>
    <x v="1"/>
    <d v="2024-06-11T00:00:00"/>
    <m/>
    <x v="0"/>
    <x v="0"/>
    <s v="Arijit Singh, Ed Sheeran"/>
    <n v="1824"/>
    <n v="11076"/>
    <n v="20202624"/>
    <n v="2193048"/>
    <n v="4584685"/>
    <n v="26980357"/>
    <s v="Badshah"/>
    <x v="0"/>
    <n v="3351"/>
    <n v="36448"/>
    <n v="33"/>
    <n v="483"/>
    <n v="20228640"/>
    <s v="No"/>
    <s v="Nagpur, Goa, Amritsar, Chandigarh, Mumbai"/>
  </r>
  <r>
    <x v="3"/>
    <x v="7"/>
    <d v="2024-04-03T00:00:00"/>
    <s v="Soulful Nights Tour"/>
    <x v="3"/>
    <x v="0"/>
    <s v="Honey Singh, Martin Garrix, DJ Snake, Bryan Adams"/>
    <n v="3034"/>
    <n v="9525"/>
    <n v="28898850"/>
    <n v="1266825"/>
    <n v="659581"/>
    <n v="30825256"/>
    <s v="Arijit Singh"/>
    <x v="0"/>
    <n v="2437"/>
    <n v="25729"/>
    <n v="30"/>
    <n v="584"/>
    <n v="18730712"/>
    <s v="Yes"/>
    <s v="Nagpur, Jaipur, Chandigarh"/>
  </r>
  <r>
    <x v="6"/>
    <x v="8"/>
    <d v="2024-11-15T00:00:00"/>
    <s v="Mathematics Tour"/>
    <x v="9"/>
    <x v="1"/>
    <s v="Honey Singh, Bryan Adams, DJ Snake"/>
    <n v="798"/>
    <n v="20798.88"/>
    <n v="16597506.24"/>
    <n v="4874352"/>
    <n v="1012227"/>
    <n v="16292499"/>
    <s v="Ed Sheeran"/>
    <x v="6"/>
    <n v="3436"/>
    <n v="18609"/>
    <n v="55"/>
    <n v="736"/>
    <n v="4856949"/>
    <s v="Yes"/>
    <s v="Pune, Amritsar, Goa, Chandigarh"/>
  </r>
  <r>
    <x v="1"/>
    <x v="3"/>
    <d v="2024-12-10T00:00:00"/>
    <s v="Soulful Nights Tour"/>
    <x v="3"/>
    <x v="0"/>
    <s v="Martin Garrix, Badshah, Honey Singh, DJ Snake"/>
    <n v="2753"/>
    <n v="7762"/>
    <n v="21368786"/>
    <n v="2227694"/>
    <n v="3105094"/>
    <n v="26701574"/>
    <s v="Arijit Singh"/>
    <x v="0"/>
    <n v="2437"/>
    <n v="25729"/>
    <n v="30"/>
    <n v="584"/>
    <n v="18730712"/>
    <s v="Yes"/>
    <s v="Nagpur, Jaipur, Chandigarh"/>
  </r>
  <r>
    <x v="8"/>
    <x v="3"/>
    <d v="2024-01-12T00:00:00"/>
    <s v="Soulful Nights Tour"/>
    <x v="3"/>
    <x v="0"/>
    <s v="Diljit Dosanjh, Mika Singh, DJ Snake"/>
    <n v="2609"/>
    <n v="27598"/>
    <n v="72003182"/>
    <n v="13467824"/>
    <n v="3310368"/>
    <n v="88781374"/>
    <s v="Arijit Singh"/>
    <x v="0"/>
    <n v="2437"/>
    <n v="25729"/>
    <n v="30"/>
    <n v="584"/>
    <n v="18730712"/>
    <s v="Yes"/>
    <s v="Nagpur, Jaipur, Chandigarh"/>
  </r>
  <r>
    <x v="4"/>
    <x v="7"/>
    <d v="2024-02-02T00:00:00"/>
    <s v="Soulful Nights Tour"/>
    <x v="3"/>
    <x v="0"/>
    <s v="Martin Garrix, DJ Snake, Ed Sheeran, Mika Singh"/>
    <n v="4418"/>
    <n v="8702"/>
    <n v="38445436"/>
    <n v="3280654"/>
    <n v="615109"/>
    <n v="42341199"/>
    <s v="Arijit Singh"/>
    <x v="0"/>
    <n v="2437"/>
    <n v="25729"/>
    <n v="30"/>
    <n v="584"/>
    <n v="18730712"/>
    <s v="Yes"/>
    <s v="Nagpur, Jaipur, Chandigarh"/>
  </r>
  <r>
    <x v="1"/>
    <x v="1"/>
    <d v="2024-02-06T00:00:00"/>
    <m/>
    <x v="5"/>
    <x v="0"/>
    <s v="Diljit Dosanjh, Arijit Singh, DJ Snake"/>
    <n v="4849"/>
    <n v="8214"/>
    <n v="39829686"/>
    <n v="1667442"/>
    <n v="4255125"/>
    <n v="45752253"/>
    <s v="Shreya Ghoshal"/>
    <x v="3"/>
    <n v="3326"/>
    <n v="3197"/>
    <n v="23"/>
    <n v="271"/>
    <n v="792856"/>
    <s v="No"/>
    <s v="Pune, Mumbai, Delhi, Bengaluru, Amritsar"/>
  </r>
  <r>
    <x v="7"/>
    <x v="8"/>
    <d v="2024-12-13T00:00:00"/>
    <s v="Classics Tour"/>
    <x v="1"/>
    <x v="1"/>
    <s v="DJ Snake, Mika Singh"/>
    <n v="1750"/>
    <n v="20798.88"/>
    <n v="36398040"/>
    <n v="4231825"/>
    <n v="3268157"/>
    <n v="21531232"/>
    <s v="Bryan Adams"/>
    <x v="1"/>
    <n v="992"/>
    <n v="21632.555555555555"/>
    <n v="30"/>
    <n v="81"/>
    <n v="8678356"/>
    <s v="Yes"/>
    <s v="Delhi, Jaipur, Bengaluru, Mumbai"/>
  </r>
  <r>
    <x v="6"/>
    <x v="4"/>
    <d v="2024-05-13T00:00:00"/>
    <m/>
    <x v="6"/>
    <x v="1"/>
    <s v="Badshah, Bryan Adams"/>
    <n v="4279.8"/>
    <n v="18095"/>
    <n v="77442981"/>
    <n v="4089470"/>
    <n v="1719569"/>
    <n v="61125454"/>
    <s v="DJ Snake"/>
    <x v="4"/>
    <n v="1431"/>
    <n v="19089"/>
    <n v="32"/>
    <n v="429"/>
    <n v="10193526"/>
    <s v="No"/>
    <s v="Bengaluru, Jaipur, Mumbai, Chandigarh, Kolkata, Delhi"/>
  </r>
  <r>
    <x v="4"/>
    <x v="4"/>
    <d v="2024-07-08T00:00:00"/>
    <m/>
    <x v="4"/>
    <x v="0"/>
    <s v="Arijit Singh, Ed Sheeran, Honey Singh, Mika Singh"/>
    <n v="3586"/>
    <n v="38295"/>
    <n v="137325870"/>
    <n v="5476185"/>
    <n v="887815"/>
    <n v="143689870"/>
    <s v="Mika Singh"/>
    <x v="0"/>
    <n v="1025"/>
    <n v="11057"/>
    <n v="12"/>
    <n v="371"/>
    <n v="7983154"/>
    <s v="No"/>
    <s v="Delhi, Amritsar, Bengaluru, Mumbai"/>
  </r>
  <r>
    <x v="7"/>
    <x v="2"/>
    <d v="2024-12-06T00:00:00"/>
    <m/>
    <x v="4"/>
    <x v="0"/>
    <s v="Diljit Dosanjh, Martin Garrix"/>
    <n v="3782"/>
    <n v="39893"/>
    <n v="150875326"/>
    <n v="6263201"/>
    <n v="6333350"/>
    <n v="158405197"/>
    <s v="Mika Singh"/>
    <x v="0"/>
    <n v="1025"/>
    <n v="11057"/>
    <n v="12"/>
    <n v="371"/>
    <n v="7983154"/>
    <s v="No"/>
    <s v="Delhi, Amritsar, Bengaluru, Mumbai"/>
  </r>
  <r>
    <x v="4"/>
    <x v="1"/>
    <d v="2024-08-03T00:00:00"/>
    <s v="Mathematics Tour"/>
    <x v="9"/>
    <x v="1"/>
    <s v="Mika Singh, DJ Snake"/>
    <n v="4834.2"/>
    <n v="14283"/>
    <n v="69046878.599999994"/>
    <n v="5356125"/>
    <n v="1549672"/>
    <n v="56224996"/>
    <s v="Ed Sheeran"/>
    <x v="6"/>
    <n v="3436"/>
    <n v="18609"/>
    <n v="55"/>
    <n v="736"/>
    <n v="4856949"/>
    <s v="Yes"/>
    <s v="Pune, Amritsar, Goa, Chandigarh"/>
  </r>
  <r>
    <x v="4"/>
    <x v="0"/>
    <d v="2024-03-02T00:00:00"/>
    <m/>
    <x v="0"/>
    <x v="0"/>
    <s v="Honey Singh, Diljit Dosanjh, Mika Singh"/>
    <n v="4286"/>
    <n v="8925"/>
    <n v="38252550"/>
    <n v="2722125"/>
    <n v="896661"/>
    <n v="41871336"/>
    <s v="Badshah"/>
    <x v="0"/>
    <n v="3351"/>
    <n v="36448"/>
    <n v="33"/>
    <n v="483"/>
    <n v="20228640"/>
    <s v="No"/>
    <s v="Nagpur, Goa, Amritsar, Chandigarh, Mumbai"/>
  </r>
  <r>
    <x v="2"/>
    <x v="5"/>
    <d v="2024-05-15T00:00:00"/>
    <s v="Soulful Nights Tour"/>
    <x v="3"/>
    <x v="0"/>
    <s v="Martin Garrix, Ed Sheeran, Mika Singh"/>
    <n v="2910.2168421052634"/>
    <n v="4885"/>
    <n v="14216409.273684211"/>
    <n v="1734175"/>
    <n v="4292613"/>
    <n v="23891233"/>
    <s v="Arijit Singh"/>
    <x v="0"/>
    <n v="2437"/>
    <n v="25729"/>
    <n v="30"/>
    <n v="584"/>
    <n v="18730712"/>
    <s v="Yes"/>
    <s v="Nagpur, Jaipur, Chandigarh"/>
  </r>
  <r>
    <x v="2"/>
    <x v="3"/>
    <d v="2024-12-21T00:00:00"/>
    <m/>
    <x v="2"/>
    <x v="0"/>
    <s v="Mika Singh, Ed Sheeran"/>
    <n v="4529"/>
    <n v="4425"/>
    <n v="20040825"/>
    <n v="584100"/>
    <n v="2385440"/>
    <n v="23010365"/>
    <s v="Honey Singh"/>
    <x v="2"/>
    <n v="1573"/>
    <n v="35223"/>
    <n v="34"/>
    <n v="430"/>
    <n v="25360560"/>
    <s v="No"/>
    <s v="Pune, Amritsar, Bengaluru"/>
  </r>
  <r>
    <x v="3"/>
    <x v="2"/>
    <d v="2024-07-26T00:00:00"/>
    <m/>
    <x v="4"/>
    <x v="0"/>
    <s v="Shreya Ghoshal, Honey Singh, Badshah"/>
    <n v="726"/>
    <n v="37105"/>
    <n v="26938230"/>
    <n v="14545160"/>
    <n v="835232"/>
    <n v="42318622"/>
    <s v="Mika Singh"/>
    <x v="0"/>
    <n v="1025"/>
    <n v="11057"/>
    <n v="12"/>
    <n v="371"/>
    <n v="7983154"/>
    <s v="No"/>
    <s v="Delhi, Amritsar, Bengaluru, Mumb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C68D9-6EA5-4AA6-8BB9-CFE635A879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C16" firstHeaderRow="0" firstDataRow="1" firstDataCol="1"/>
  <pivotFields count="14">
    <pivotField showAll="0"/>
    <pivotField showAll="0"/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 (Rs)" fld="11" baseField="0" baseItem="0"/>
    <dataField name="Sum of Total_Revenue (Rs)2" fld="11" showDataAs="percentOfCol" baseField="0" baseItem="0" numFmtId="10"/>
  </dataFields>
  <formats count="16">
    <format dxfId="83">
      <pivotArea collapsedLevelsAreSubtotals="1" fieldPosition="0">
        <references count="1">
          <reference field="13" count="1">
            <x v="7"/>
          </reference>
        </references>
      </pivotArea>
    </format>
    <format dxfId="84">
      <pivotArea dataOnly="0" labelOnly="1" fieldPosition="0">
        <references count="1">
          <reference field="13" count="1">
            <x v="7"/>
          </reference>
        </references>
      </pivotArea>
    </format>
    <format dxfId="85">
      <pivotArea collapsedLevelsAreSubtotals="1" fieldPosition="0">
        <references count="1">
          <reference field="13" count="1">
            <x v="11"/>
          </reference>
        </references>
      </pivotArea>
    </format>
    <format dxfId="86">
      <pivotArea dataOnly="0" labelOnly="1" fieldPosition="0">
        <references count="1">
          <reference field="13" count="1">
            <x v="11"/>
          </reference>
        </references>
      </pivotArea>
    </format>
    <format dxfId="87">
      <pivotArea type="all" dataOnly="0" outline="0" fieldPosition="0"/>
    </format>
    <format dxfId="88">
      <pivotArea dataOnly="0" labelOnly="1" fieldPosition="0">
        <references count="1">
          <reference field="1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82">
      <pivotArea type="all" dataOnly="0" outline="0" fieldPosition="0"/>
    </format>
    <format dxfId="81">
      <pivotArea dataOnly="0" labelOnly="1" fieldPosition="0">
        <references count="1">
          <reference field="1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80">
      <pivotArea collapsedLevelsAreSubtotals="1" fieldPosition="0">
        <references count="1">
          <reference field="13" count="1">
            <x v="8"/>
          </reference>
        </references>
      </pivotArea>
    </format>
    <format dxfId="79">
      <pivotArea dataOnly="0" labelOnly="1" fieldPosition="0">
        <references count="1">
          <reference field="13" count="1">
            <x v="8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3" type="button" dataOnly="0" labelOnly="1" outline="0" axis="axisRow" fieldPosition="0"/>
    </format>
    <format dxfId="57">
      <pivotArea dataOnly="0" labelOnly="1" fieldPosition="0">
        <references count="1">
          <reference field="1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D71F8-37A0-4BFD-80A7-4F1531BD226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70:B81" firstHeaderRow="1" firstDataRow="1" firstDataCol="1"/>
  <pivotFields count="14">
    <pivotField showAll="0" sortType="descending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axis="axisRow" showAll="0" sortType="descending">
      <items count="11">
        <item x="3"/>
        <item x="0"/>
        <item x="1"/>
        <item x="7"/>
        <item x="6"/>
        <item x="9"/>
        <item x="2"/>
        <item x="8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4"/>
  </rowFields>
  <rowItems count="11">
    <i>
      <x v="1"/>
    </i>
    <i>
      <x v="3"/>
    </i>
    <i>
      <x v="8"/>
    </i>
    <i>
      <x v="9"/>
    </i>
    <i>
      <x/>
    </i>
    <i>
      <x v="2"/>
    </i>
    <i>
      <x v="6"/>
    </i>
    <i>
      <x v="4"/>
    </i>
    <i>
      <x v="7"/>
    </i>
    <i>
      <x v="5"/>
    </i>
    <i t="grand">
      <x/>
    </i>
  </rowItems>
  <colItems count="1">
    <i/>
  </colItems>
  <dataFields count="1">
    <dataField name="Sum of Total_Attendance" fld="8" baseField="0" baseItem="0" numFmtId="1"/>
  </dataFields>
  <formats count="7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CF05E-C38A-4230-B5BE-4F83DE5820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9:C60" firstHeaderRow="0" firstDataRow="1" firstDataCol="1"/>
  <pivotFields count="14">
    <pivotField showAll="0"/>
    <pivotField axis="axisRow" showAll="0">
      <items count="11">
        <item x="6"/>
        <item x="3"/>
        <item x="7"/>
        <item x="0"/>
        <item x="4"/>
        <item x="2"/>
        <item x="5"/>
        <item x="9"/>
        <item x="1"/>
        <item x="8"/>
        <item t="default"/>
      </items>
    </pivotField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(Rs)" fld="11" baseField="0" baseItem="0"/>
    <dataField name="Total Attendance" fld="8" baseField="0" baseItem="0" numFmtId="1"/>
  </dataFields>
  <formats count="7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" type="button" dataOnly="0" labelOnly="1" outline="0" axis="axisRow" fieldPosition="0"/>
    </format>
    <format dxfId="45">
      <pivotArea dataOnly="0" labelOnly="1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216E4-8E91-4597-B287-7E9464EFCA4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6:C39" firstHeaderRow="0" firstDataRow="1" firstDataCol="1"/>
  <pivotFields count="14">
    <pivotField showAll="0"/>
    <pivotField showAll="0"/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showAll="0"/>
    <pivotField showAll="0"/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Revenue1 (Rs)" fld="11" baseField="0" baseItem="0"/>
    <dataField name="Total_Attendance1" fld="8" baseField="0" baseItem="0" numFmtId="1"/>
  </dataFields>
  <formats count="7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3" type="button" dataOnly="0" labelOnly="1" outline="0" axis="axisRow" fieldPosition="0"/>
    </format>
    <format dxfId="51">
      <pivotArea dataOnly="0" labelOnly="1" fieldPosition="0">
        <references count="1">
          <reference field="13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5A2CD-63E4-4BB4-81A5-8C9D39B5A2B4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24:G31" firstHeaderRow="0" firstDataRow="1" firstDataCol="1"/>
  <pivotFields count="14">
    <pivotField dataField="1" showAll="0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</pivotField>
    <pivotField showAll="0">
      <items count="11">
        <item x="6"/>
        <item x="3"/>
        <item x="7"/>
        <item x="0"/>
        <item x="4"/>
        <item x="2"/>
        <item x="5"/>
        <item x="9"/>
        <item x="1"/>
        <item x="8"/>
        <item t="default"/>
      </items>
    </pivotField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showAll="0">
      <items count="11">
        <item x="3"/>
        <item x="0"/>
        <item x="1"/>
        <item x="7"/>
        <item x="6"/>
        <item x="9"/>
        <item x="2"/>
        <item x="8"/>
        <item x="4"/>
        <item x="5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10">
        <item x="1"/>
        <item x="2"/>
        <item x="3"/>
        <item x="4"/>
        <item x="5"/>
        <item x="7"/>
        <item x="6"/>
        <item x="8"/>
        <item x="0"/>
        <item t="default"/>
      </items>
    </pivotField>
    <pivotField dataField="1"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Festival_Name" fld="0" subtotal="count" baseField="0" baseItem="0"/>
    <dataField name="Average of Total_Revenue (Rs)" fld="11" subtotal="average" baseField="0" baseItem="0" numFmtId="165"/>
    <dataField name="Total_Revenue (Rs)2" fld="11" baseField="0" baseItem="0" numFmtId="165"/>
    <dataField name="Total_Attendance2" fld="8" baseField="0" baseItem="0" numFmtId="165"/>
    <dataField name="Average of Total_Attendance" fld="8" subtotal="average" baseField="0" baseItem="0" numFmtId="165"/>
    <dataField name="Attedance%" fld="8" showDataAs="percentOfCol" baseField="0" baseItem="0" numFmtId="10"/>
  </dataFields>
  <formats count="11">
    <format dxfId="1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8">
      <pivotArea outline="0" fieldPosition="0">
        <references count="1">
          <reference field="4294967294" count="1">
            <x v="5"/>
          </reference>
        </references>
      </pivotArea>
    </format>
    <format dxfId="1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7" type="button" dataOnly="0" labelOnly="1" outline="0" axis="axisRow" fieldPosition="0"/>
    </format>
    <format dxfId="24">
      <pivotArea dataOnly="0" labelOnly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8859C-1DAE-4F72-8D92-A67987101F9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C14" firstHeaderRow="0" firstDataRow="1" firstDataCol="1"/>
  <pivotFields count="14">
    <pivotField showAll="0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</pivotField>
    <pivotField axis="axisRow" showAll="0" sortType="ascending">
      <items count="11">
        <item x="6"/>
        <item x="3"/>
        <item x="7"/>
        <item x="0"/>
        <item x="4"/>
        <item x="2"/>
        <item x="5"/>
        <item x="9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78">
        <item x="21"/>
        <item x="0"/>
        <item x="48"/>
        <item x="24"/>
        <item x="59"/>
        <item x="44"/>
        <item x="8"/>
        <item x="72"/>
        <item x="50"/>
        <item x="73"/>
        <item x="61"/>
        <item x="12"/>
        <item x="63"/>
        <item x="2"/>
        <item x="31"/>
        <item x="30"/>
        <item x="57"/>
        <item x="55"/>
        <item x="5"/>
        <item x="15"/>
        <item x="69"/>
        <item x="43"/>
        <item x="29"/>
        <item x="32"/>
        <item x="68"/>
        <item x="23"/>
        <item x="28"/>
        <item x="66"/>
        <item x="22"/>
        <item x="56"/>
        <item x="42"/>
        <item x="19"/>
        <item x="76"/>
        <item x="10"/>
        <item x="51"/>
        <item x="4"/>
        <item x="7"/>
        <item x="49"/>
        <item x="3"/>
        <item x="14"/>
        <item x="54"/>
        <item x="18"/>
        <item x="6"/>
        <item x="41"/>
        <item x="36"/>
        <item x="20"/>
        <item x="74"/>
        <item x="53"/>
        <item x="45"/>
        <item x="58"/>
        <item x="35"/>
        <item x="33"/>
        <item x="64"/>
        <item x="40"/>
        <item x="39"/>
        <item x="38"/>
        <item x="16"/>
        <item x="25"/>
        <item x="46"/>
        <item x="1"/>
        <item x="34"/>
        <item x="60"/>
        <item x="13"/>
        <item x="52"/>
        <item x="67"/>
        <item x="65"/>
        <item x="70"/>
        <item x="62"/>
        <item x="75"/>
        <item x="17"/>
        <item x="47"/>
        <item x="71"/>
        <item x="26"/>
        <item x="11"/>
        <item x="27"/>
        <item x="9"/>
        <item x="37"/>
        <item t="default"/>
      </items>
    </pivotField>
    <pivotField showAll="0"/>
    <pivotField showAll="0">
      <items count="11">
        <item x="3"/>
        <item x="0"/>
        <item x="1"/>
        <item x="7"/>
        <item x="6"/>
        <item x="9"/>
        <item x="2"/>
        <item x="8"/>
        <item x="4"/>
        <item x="5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1">
    <field x="1"/>
  </rowFields>
  <rowItems count="11">
    <i>
      <x v="7"/>
    </i>
    <i>
      <x v="2"/>
    </i>
    <i>
      <x v="5"/>
    </i>
    <i>
      <x v="1"/>
    </i>
    <i>
      <x v="9"/>
    </i>
    <i>
      <x v="3"/>
    </i>
    <i>
      <x/>
    </i>
    <i>
      <x v="4"/>
    </i>
    <i>
      <x v="8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icket_Price(Rs)" fld="7" subtotal="average" baseField="0" baseItem="0"/>
    <dataField name="Total Attendance" fld="8" showDataAs="percentOfCol" baseField="0" baseItem="0" numFmtId="10"/>
  </dataFields>
  <formats count="8">
    <format dxfId="131">
      <pivotArea collapsedLevelsAreSubtotals="1" fieldPosition="0">
        <references count="1">
          <reference field="1" count="0"/>
        </references>
      </pivotArea>
    </format>
    <format dxfId="130">
      <pivotArea outline="0" fieldPosition="0">
        <references count="1">
          <reference field="4294967294" count="1"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25137-D971-4DB2-81DE-CE509F1B526F}" name="PivotTable2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54:E57" firstHeaderRow="0" firstDataRow="1" firstDataCol="1"/>
  <pivotFields count="23">
    <pivotField showAll="0"/>
    <pivotField showAll="0"/>
    <pivotField numFmtId="14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dataField="1" showAll="0"/>
    <pivotField dataField="1"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Events" fld="5" subtotal="count" baseField="0" baseItem="0"/>
    <dataField name="Total Attendance3" fld="8" baseField="0" baseItem="0"/>
    <dataField name="Total Revenue3" fld="12" baseField="0" baseItem="0"/>
    <dataField name="Average of Ticket_Price(Rs)" fld="7" subtotal="average" baseField="0" baseItem="0"/>
  </dataFields>
  <formats count="7">
    <format dxfId="118">
      <pivotArea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5" type="button" dataOnly="0" labelOnly="1" outline="0" axis="axisRow" fieldPosition="0"/>
    </format>
    <format dxfId="63">
      <pivotArea dataOnly="0" labelOnly="1" fieldPosition="0">
        <references count="1">
          <reference field="5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F9979-3F65-4EB2-8321-4ADED155C541}" name="PivotTable2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8:D46" firstHeaderRow="0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showAll="0"/>
    <pivotField dataField="1" showAll="0"/>
    <pivotField showAll="0"/>
    <pivotField axis="axisRow" showAll="0">
      <items count="8">
        <item x="0"/>
        <item x="3"/>
        <item x="4"/>
        <item x="2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2" baseField="0" baseItem="0"/>
    <dataField name="Total Attendance" fld="8" baseField="0" baseItem="0" numFmtId="1"/>
    <dataField name="Average of Total_Attendance" fld="8" subtotal="average" baseField="0" baseItem="0" numFmtId="43"/>
  </dataFields>
  <formats count="9"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9">
      <pivotArea outline="0" collapsedLevelsAreSubtotals="1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14" type="button" dataOnly="0" labelOnly="1" outline="0" axis="axisRow" fieldPosition="0"/>
    </format>
    <format dxfId="69">
      <pivotArea dataOnly="0" labelOnly="1" fieldPosition="0">
        <references count="1">
          <reference field="14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CBB8-A859-4077-8AAD-E3083801DD97}" name="PivotTable2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:D15" firstHeaderRow="0" firstDataRow="1" firstDataCol="1"/>
  <pivotFields count="23">
    <pivotField dataField="1" showAll="0"/>
    <pivotField showAll="0"/>
    <pivotField numFmtId="14" showAll="0"/>
    <pivotField showAll="0"/>
    <pivotField axis="axisRow" showAll="0">
      <items count="11">
        <item x="3"/>
        <item x="0"/>
        <item x="1"/>
        <item x="7"/>
        <item x="6"/>
        <item x="9"/>
        <item x="2"/>
        <item x="8"/>
        <item x="4"/>
        <item x="5"/>
        <item t="default"/>
      </items>
    </pivotField>
    <pivotField showAll="0"/>
    <pivotField showAll="0"/>
    <pivotField showAll="0"/>
    <pivotField dataField="1"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Revenue" fld="12" baseField="0" baseItem="0"/>
    <dataField name="Total Attendance" fld="8" baseField="0" baseItem="0" numFmtId="1"/>
    <dataField name="Event Count " fld="0" subtotal="count" baseField="0" baseItem="0"/>
  </dataFields>
  <formats count="10">
    <format dxfId="1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3">
      <pivotArea outline="0" collapsedLevelsAreSubtotals="1" fieldPosition="0"/>
    </format>
    <format dxfId="122">
      <pivotArea type="all" dataOnly="0" outline="0" fieldPosition="0"/>
    </format>
    <format dxfId="89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 axis="axisRow" fieldPosition="0"/>
    </format>
    <format dxfId="75">
      <pivotArea dataOnly="0" labelOnly="1" fieldPosition="0">
        <references count="1">
          <reference field="4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0778D-E0F1-4EA6-B20D-722D2D2EC5D1}" name="PivotTable2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4:E15" firstHeaderRow="0" firstDataRow="1" firstDataCol="1"/>
  <pivotFields count="23">
    <pivotField axis="axisRow" showAll="0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ponsorship Revenue(Rs)" fld="11" baseField="0" baseItem="0"/>
    <dataField name="Total Merchandise Revenue(Rs)" fld="10" baseField="0" baseItem="0"/>
    <dataField name="Total Revenue(Rs)" fld="12" baseField="0" baseItem="0"/>
  </dataFields>
  <formats count="6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70F43-6D0F-4470-9F3E-067FDBEC7C6D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8:F69" firstHeaderRow="0" firstDataRow="1" firstDataCol="1"/>
  <pivotFields count="23">
    <pivotField axis="axisRow" dataField="1" showAll="0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numFmtI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number of events" fld="0" subtotal="count" baseField="0" baseItem="0"/>
    <dataField name="Total Merchandise(Rs)" fld="10" baseField="0" baseItem="0"/>
    <dataField name="Total Revenue(Rs)" fld="12" baseField="0" baseItem="0"/>
    <dataField name="Total Attendance4" fld="8" baseField="0" baseItem="0"/>
  </dataFields>
  <formats count="7">
    <format dxfId="1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9CB45-0E58-4BB5-92C2-7C094C33F21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F36" firstHeaderRow="0" firstDataRow="1" firstDataCol="1"/>
  <pivotFields count="23">
    <pivotField axis="axisRow" dataField="1" showAll="0">
      <items count="11">
        <item x="4"/>
        <item x="9"/>
        <item x="2"/>
        <item x="5"/>
        <item x="8"/>
        <item x="0"/>
        <item x="6"/>
        <item x="7"/>
        <item x="1"/>
        <item x="3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dataField="1" showAll="0"/>
    <pivotField numFmtI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Ticket_Price(Rs)" fld="7" subtotal="average" baseField="0" baseItem="0" numFmtId="1"/>
    <dataField name="Total number of events" fld="0" subtotal="count" baseField="0" baseItem="0"/>
    <dataField name="Total Sponsorship Revenue4" fld="11" baseField="0" baseItem="0"/>
    <dataField name="Total Attendance4" fld="8" baseField="0" baseItem="0"/>
  </dataFields>
  <formats count="7">
    <format dxfId="117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CF109-9CB2-4875-913B-3C7CFAF3A459}" name="PivotTable16" cacheId="24" applyNumberFormats="0" applyBorderFormats="0" applyFontFormats="0" applyPatternFormats="0" applyAlignmentFormats="0" applyWidthHeightFormats="1" dataCaption="Values" grandTotalCaption="Total Attendance" updatedVersion="8" minRefreshableVersion="3" useAutoFormatting="1" itemPrintTitles="1" createdVersion="8" indent="0" outline="1" outlineData="1" multipleFieldFilters="0" chartFormat="1">
  <location ref="B20:J32" firstHeaderRow="1" firstDataRow="2" firstDataCol="1"/>
  <pivotFields count="23">
    <pivotField showAll="0"/>
    <pivotField axis="axisRow" showAll="0">
      <items count="11">
        <item x="8"/>
        <item x="1"/>
        <item x="9"/>
        <item x="5"/>
        <item x="2"/>
        <item x="4"/>
        <item x="0"/>
        <item x="7"/>
        <item x="3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showAll="0"/>
    <pivotField showAll="0"/>
    <pivotField showAll="0"/>
    <pivotField axis="axisCol" showAll="0">
      <items count="8">
        <item x="0"/>
        <item x="3"/>
        <item x="4"/>
        <item x="2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_Attendance" fld="8" baseField="0" baseItem="0"/>
  </dataFields>
  <formats count="20">
    <format dxfId="109">
      <pivotArea grandCol="1" outline="0" collapsedLevelsAreSubtotals="1" fieldPosition="0"/>
    </format>
    <format dxfId="108">
      <pivotArea outline="0" collapsedLevelsAreSubtotals="1" fieldPosition="0">
        <references count="1">
          <reference field="14" count="1" selected="0">
            <x v="6"/>
          </reference>
        </references>
      </pivotArea>
    </format>
    <format dxfId="107">
      <pivotArea collapsedLevelsAreSubtotals="1" fieldPosition="0">
        <references count="2">
          <reference field="1" count="9">
            <x v="1"/>
            <x v="2"/>
            <x v="3"/>
            <x v="4"/>
            <x v="5"/>
            <x v="6"/>
            <x v="7"/>
            <x v="8"/>
            <x v="9"/>
          </reference>
          <reference field="14" count="1" selected="0">
            <x v="5"/>
          </reference>
        </references>
      </pivotArea>
    </format>
    <format dxfId="106">
      <pivotArea field="14" grandRow="1" outline="0" collapsedLevelsAreSubtotals="1" axis="axisCol" fieldPosition="0">
        <references count="1">
          <reference field="14" count="1" selected="0">
            <x v="5"/>
          </reference>
        </references>
      </pivotArea>
    </format>
    <format dxfId="105">
      <pivotArea grandRow="1" outline="0" collapsedLevelsAreSubtotals="1" fieldPosition="0"/>
    </format>
    <format dxfId="104">
      <pivotArea collapsedLevelsAreSubtotals="1" fieldPosition="0">
        <references count="2">
          <reference field="1" count="1">
            <x v="5"/>
          </reference>
          <reference field="14" count="1" selected="0">
            <x v="0"/>
          </reference>
        </references>
      </pivotArea>
    </format>
    <format dxfId="103">
      <pivotArea collapsedLevelsAreSubtotals="1" fieldPosition="0">
        <references count="2">
          <reference field="1" count="1">
            <x v="8"/>
          </reference>
          <reference field="14" count="1" selected="0">
            <x v="0"/>
          </reference>
        </references>
      </pivotArea>
    </format>
    <format dxfId="102">
      <pivotArea collapsedLevelsAreSubtotals="1" fieldPosition="0">
        <references count="2">
          <reference field="1" count="2">
            <x v="3"/>
            <x v="4"/>
          </reference>
          <reference field="14" count="1" selected="0">
            <x v="1"/>
          </reference>
        </references>
      </pivotArea>
    </format>
    <format dxfId="101">
      <pivotArea collapsedLevelsAreSubtotals="1" fieldPosition="0">
        <references count="2">
          <reference field="1" count="1">
            <x v="9"/>
          </reference>
          <reference field="14" count="1" selected="0">
            <x v="1"/>
          </reference>
        </references>
      </pivotArea>
    </format>
    <format dxfId="100">
      <pivotArea collapsedLevelsAreSubtotals="1" fieldPosition="0">
        <references count="2">
          <reference field="1" count="1">
            <x v="8"/>
          </reference>
          <reference field="14" count="1" selected="0">
            <x v="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4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4" count="0"/>
        </references>
      </pivotArea>
    </format>
    <format dxfId="90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B50E1-347F-445F-B5A7-E7C171184F3E}" name="PivotTable15" cacheId="24" applyNumberFormats="0" applyBorderFormats="0" applyFontFormats="0" applyPatternFormats="0" applyAlignmentFormats="0" applyWidthHeightFormats="1" dataCaption="Values" grandTotalCaption="Total Events" updatedVersion="8" minRefreshableVersion="3" useAutoFormatting="1" itemPrintTitles="1" createdVersion="8" indent="0" outline="1" outlineData="1" multipleFieldFilters="0" chartFormat="1">
  <location ref="B3:J15" firstHeaderRow="1" firstDataRow="2" firstDataCol="1"/>
  <pivotFields count="23">
    <pivotField showAll="0"/>
    <pivotField axis="axisRow" showAll="0">
      <items count="11">
        <item x="8"/>
        <item x="1"/>
        <item x="9"/>
        <item x="5"/>
        <item x="2"/>
        <item x="4"/>
        <item x="0"/>
        <item x="7"/>
        <item x="3"/>
        <item x="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axis="axisCol" dataField="1" showAll="0">
      <items count="8">
        <item x="0"/>
        <item x="3"/>
        <item x="4"/>
        <item x="2"/>
        <item x="6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enre" fld="14" subtotal="count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2FDF-9BE7-4442-9225-E976E48CF41D}">
  <sheetPr codeName="Sheet1"/>
  <dimension ref="A1:O106"/>
  <sheetViews>
    <sheetView topLeftCell="J1" workbookViewId="0">
      <pane ySplit="1" topLeftCell="A2" activePane="bottomLeft" state="frozen"/>
      <selection activeCell="H1" sqref="H1"/>
      <selection pane="bottomLeft" activeCell="O1" sqref="O1"/>
    </sheetView>
  </sheetViews>
  <sheetFormatPr defaultRowHeight="14.4" x14ac:dyDescent="0.3"/>
  <cols>
    <col min="1" max="1" width="22.109375" bestFit="1" customWidth="1"/>
    <col min="2" max="2" width="10.21875" bestFit="1" customWidth="1"/>
    <col min="3" max="3" width="10.33203125" bestFit="1" customWidth="1"/>
    <col min="4" max="4" width="15.88671875" bestFit="1" customWidth="1"/>
    <col min="5" max="5" width="17.6640625" bestFit="1" customWidth="1"/>
    <col min="6" max="6" width="44.88671875" bestFit="1" customWidth="1"/>
    <col min="7" max="7" width="16.88671875" bestFit="1" customWidth="1"/>
    <col min="8" max="8" width="17.77734375" bestFit="1" customWidth="1"/>
    <col min="9" max="9" width="23.109375" bestFit="1" customWidth="1"/>
    <col min="10" max="10" width="33.5546875" bestFit="1" customWidth="1"/>
    <col min="11" max="11" width="25.33203125" bestFit="1" customWidth="1"/>
    <col min="12" max="12" width="35.6640625" bestFit="1" customWidth="1"/>
    <col min="13" max="13" width="18.88671875" bestFit="1" customWidth="1"/>
    <col min="14" max="14" width="22.77734375" bestFit="1" customWidth="1"/>
  </cols>
  <sheetData>
    <row r="1" spans="1:15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237</v>
      </c>
      <c r="K1" s="16" t="s">
        <v>9</v>
      </c>
      <c r="L1" s="16" t="s">
        <v>238</v>
      </c>
      <c r="M1" s="16" t="s">
        <v>10</v>
      </c>
      <c r="N1" s="16" t="s">
        <v>154</v>
      </c>
      <c r="O1" s="23"/>
    </row>
    <row r="2" spans="1:15" x14ac:dyDescent="0.3">
      <c r="A2" t="s">
        <v>11</v>
      </c>
      <c r="B2" t="s">
        <v>12</v>
      </c>
      <c r="C2" s="1">
        <v>45303</v>
      </c>
      <c r="E2" t="s">
        <v>13</v>
      </c>
      <c r="F2" t="s">
        <v>14</v>
      </c>
      <c r="G2">
        <v>1253</v>
      </c>
      <c r="H2">
        <v>6166</v>
      </c>
      <c r="I2">
        <v>1942290</v>
      </c>
      <c r="J2" t="str">
        <f>IF(OR(I2&gt;'Missing Values &amp; Outliers'!$K$8,I2&lt;'Missing Values &amp; Outliers'!$K$9),"O","NA")</f>
        <v>NA</v>
      </c>
      <c r="K2">
        <v>3680408</v>
      </c>
      <c r="L2" t="str">
        <f>IF(OR(K2&gt;'Missing Values &amp; Outliers'!$K$15,K2&lt;'Missing Values &amp; Outliers'!$K$16),"O","NA")</f>
        <v>NA</v>
      </c>
      <c r="M2">
        <v>13348696</v>
      </c>
      <c r="N2" s="17" t="s">
        <v>155</v>
      </c>
    </row>
    <row r="3" spans="1:15" x14ac:dyDescent="0.3">
      <c r="A3" t="s">
        <v>15</v>
      </c>
      <c r="B3" t="s">
        <v>16</v>
      </c>
      <c r="C3" s="1">
        <v>45403</v>
      </c>
      <c r="E3" t="s">
        <v>17</v>
      </c>
      <c r="F3" t="s">
        <v>18</v>
      </c>
      <c r="G3">
        <v>1689</v>
      </c>
      <c r="H3">
        <v>40643</v>
      </c>
      <c r="I3">
        <v>16622987</v>
      </c>
      <c r="J3" s="22" t="str">
        <f>IF(OR(I3&gt;'Missing Values &amp; Outliers'!$K$8,I3&lt;'Missing Values &amp; Outliers'!$K$9),"O","NA")</f>
        <v>O</v>
      </c>
      <c r="K3">
        <v>2589481</v>
      </c>
      <c r="L3" t="str">
        <f>IF(OR(K3&gt;'Missing Values &amp; Outliers'!$K$15,K3&lt;'Missing Values &amp; Outliers'!$K$16),"O","NA")</f>
        <v>NA</v>
      </c>
      <c r="M3">
        <v>87858495</v>
      </c>
      <c r="N3" s="17" t="s">
        <v>155</v>
      </c>
    </row>
    <row r="4" spans="1:15" x14ac:dyDescent="0.3">
      <c r="A4" t="s">
        <v>11</v>
      </c>
      <c r="B4" t="s">
        <v>19</v>
      </c>
      <c r="C4" s="1">
        <v>45553</v>
      </c>
      <c r="D4" t="s">
        <v>20</v>
      </c>
      <c r="E4" t="s">
        <v>21</v>
      </c>
      <c r="F4" t="s">
        <v>22</v>
      </c>
      <c r="G4">
        <v>6813.8</v>
      </c>
      <c r="H4">
        <v>17889.900000000001</v>
      </c>
      <c r="I4">
        <v>7667100</v>
      </c>
      <c r="J4" t="str">
        <f>IF(OR(I4&gt;'Missing Values &amp; Outliers'!$K$8,I4&lt;'Missing Values &amp; Outliers'!$K$9),"O","NA")</f>
        <v>NA</v>
      </c>
      <c r="K4">
        <v>640053</v>
      </c>
      <c r="L4" t="str">
        <f>IF(OR(K4&gt;'Missing Values &amp; Outliers'!$K$15,K4&lt;'Missing Values &amp; Outliers'!$K$16),"O","NA")</f>
        <v>NA</v>
      </c>
      <c r="M4">
        <v>132693072</v>
      </c>
      <c r="N4" s="17" t="s">
        <v>155</v>
      </c>
    </row>
    <row r="5" spans="1:15" x14ac:dyDescent="0.3">
      <c r="A5" t="s">
        <v>23</v>
      </c>
      <c r="B5" t="s">
        <v>24</v>
      </c>
      <c r="C5" s="1">
        <v>45353</v>
      </c>
      <c r="E5" t="s">
        <v>17</v>
      </c>
      <c r="F5" t="s">
        <v>25</v>
      </c>
      <c r="G5">
        <v>2144</v>
      </c>
      <c r="H5">
        <v>14688</v>
      </c>
      <c r="I5">
        <v>2350080</v>
      </c>
      <c r="J5" t="str">
        <f>IF(OR(I5&gt;'Missing Values &amp; Outliers'!$K$8,I5&lt;'Missing Values &amp; Outliers'!$K$9),"O","NA")</f>
        <v>NA</v>
      </c>
      <c r="K5">
        <v>2712686</v>
      </c>
      <c r="L5" t="str">
        <f>IF(OR(K5&gt;'Missing Values &amp; Outliers'!$K$15,K5&lt;'Missing Values &amp; Outliers'!$K$16),"O","NA")</f>
        <v>NA</v>
      </c>
      <c r="M5">
        <v>36553838</v>
      </c>
      <c r="N5" s="17" t="s">
        <v>155</v>
      </c>
    </row>
    <row r="6" spans="1:15" x14ac:dyDescent="0.3">
      <c r="A6" t="s">
        <v>26</v>
      </c>
      <c r="B6" t="s">
        <v>27</v>
      </c>
      <c r="C6" s="1">
        <v>45454</v>
      </c>
      <c r="D6" t="s">
        <v>28</v>
      </c>
      <c r="E6" t="s">
        <v>29</v>
      </c>
      <c r="F6" t="s">
        <v>30</v>
      </c>
      <c r="G6">
        <v>1886</v>
      </c>
      <c r="H6">
        <v>35244</v>
      </c>
      <c r="I6">
        <v>6132456</v>
      </c>
      <c r="J6" t="str">
        <f>IF(OR(I6&gt;'Missing Values &amp; Outliers'!$K$8,I6&lt;'Missing Values &amp; Outliers'!$K$9),"O","NA")</f>
        <v>NA</v>
      </c>
      <c r="K6">
        <v>1181193</v>
      </c>
      <c r="L6" t="str">
        <f>IF(OR(K6&gt;'Missing Values &amp; Outliers'!$K$15,K6&lt;'Missing Values &amp; Outliers'!$K$16),"O","NA")</f>
        <v>NA</v>
      </c>
      <c r="M6">
        <v>73783833</v>
      </c>
      <c r="N6" s="17" t="s">
        <v>155</v>
      </c>
    </row>
    <row r="7" spans="1:15" x14ac:dyDescent="0.3">
      <c r="A7" t="s">
        <v>15</v>
      </c>
      <c r="B7" t="s">
        <v>31</v>
      </c>
      <c r="C7" s="1">
        <v>45437</v>
      </c>
      <c r="E7" t="s">
        <v>32</v>
      </c>
      <c r="F7" t="s">
        <v>33</v>
      </c>
      <c r="G7">
        <v>3984</v>
      </c>
      <c r="H7" s="6">
        <f>'Missing Values &amp; Outliers'!$E$13</f>
        <v>20798.88</v>
      </c>
      <c r="I7">
        <v>2252122</v>
      </c>
      <c r="J7" t="str">
        <f>IF(OR(I7&gt;'Missing Values &amp; Outliers'!$K$8,I7&lt;'Missing Values &amp; Outliers'!$K$9),"O","NA")</f>
        <v>NA</v>
      </c>
      <c r="K7">
        <v>2302603</v>
      </c>
      <c r="L7" t="str">
        <f>IF(OR(K7&gt;'Missing Values &amp; Outliers'!$K$15,K7&lt;'Missing Values &amp; Outliers'!$K$16),"O","NA")</f>
        <v>NA</v>
      </c>
      <c r="M7">
        <v>58605653</v>
      </c>
      <c r="N7" s="17" t="s">
        <v>155</v>
      </c>
    </row>
    <row r="8" spans="1:15" x14ac:dyDescent="0.3">
      <c r="A8" t="s">
        <v>15</v>
      </c>
      <c r="B8" t="s">
        <v>24</v>
      </c>
      <c r="C8" s="1">
        <v>45371</v>
      </c>
      <c r="D8" t="s">
        <v>20</v>
      </c>
      <c r="E8" t="s">
        <v>21</v>
      </c>
      <c r="F8" t="s">
        <v>34</v>
      </c>
      <c r="G8" s="4">
        <f>'Missing Values &amp; Outliers'!$E$5</f>
        <v>2910.2168421052634</v>
      </c>
      <c r="H8">
        <v>18778.2</v>
      </c>
      <c r="I8">
        <v>4828680</v>
      </c>
      <c r="J8" t="str">
        <f>IF(OR(I8&gt;'Missing Values &amp; Outliers'!$K$8,I8&lt;'Missing Values &amp; Outliers'!$K$9),"O","NA")</f>
        <v>NA</v>
      </c>
      <c r="K8">
        <v>4948076</v>
      </c>
      <c r="L8" t="str">
        <f>IF(OR(K8&gt;'Missing Values &amp; Outliers'!$K$15,K8&lt;'Missing Values &amp; Outliers'!$K$16),"O","NA")</f>
        <v>NA</v>
      </c>
      <c r="M8">
        <v>111635078</v>
      </c>
      <c r="N8" s="17" t="s">
        <v>155</v>
      </c>
    </row>
    <row r="9" spans="1:15" x14ac:dyDescent="0.3">
      <c r="A9" t="s">
        <v>11</v>
      </c>
      <c r="B9" t="s">
        <v>27</v>
      </c>
      <c r="C9" s="1">
        <v>45462</v>
      </c>
      <c r="E9" t="s">
        <v>13</v>
      </c>
      <c r="F9" t="s">
        <v>35</v>
      </c>
      <c r="G9">
        <v>840</v>
      </c>
      <c r="H9">
        <v>33535</v>
      </c>
      <c r="I9">
        <v>12206740</v>
      </c>
      <c r="J9" t="str">
        <f>IF(OR(I9&gt;'Missing Values &amp; Outliers'!$K$8,I9&lt;'Missing Values &amp; Outliers'!$K$9),"O","NA")</f>
        <v>NA</v>
      </c>
      <c r="K9">
        <v>1201595</v>
      </c>
      <c r="L9" t="str">
        <f>IF(OR(K9&gt;'Missing Values &amp; Outliers'!$K$15,K9&lt;'Missing Values &amp; Outliers'!$K$16),"O","NA")</f>
        <v>NA</v>
      </c>
      <c r="M9">
        <v>41577735</v>
      </c>
      <c r="N9" s="17" t="s">
        <v>155</v>
      </c>
    </row>
    <row r="10" spans="1:15" x14ac:dyDescent="0.3">
      <c r="A10" t="s">
        <v>36</v>
      </c>
      <c r="B10" t="s">
        <v>16</v>
      </c>
      <c r="C10" s="1">
        <v>45440</v>
      </c>
      <c r="E10" t="s">
        <v>37</v>
      </c>
      <c r="F10" t="s">
        <v>38</v>
      </c>
      <c r="G10">
        <v>4191</v>
      </c>
      <c r="H10" s="6">
        <f>'Missing Values &amp; Outliers'!$E$13</f>
        <v>20798.88</v>
      </c>
      <c r="I10">
        <v>4279770</v>
      </c>
      <c r="J10" t="str">
        <f>IF(OR(I10&gt;'Missing Values &amp; Outliers'!$K$8,I10&lt;'Missing Values &amp; Outliers'!$K$9),"O","NA")</f>
        <v>NA</v>
      </c>
      <c r="K10">
        <v>3427104</v>
      </c>
      <c r="L10" t="str">
        <f>IF(OR(K10&gt;'Missing Values &amp; Outliers'!$K$15,K10&lt;'Missing Values &amp; Outliers'!$K$16),"O","NA")</f>
        <v>NA</v>
      </c>
      <c r="M10">
        <v>81824709</v>
      </c>
      <c r="N10" s="17" t="s">
        <v>155</v>
      </c>
    </row>
    <row r="11" spans="1:15" x14ac:dyDescent="0.3">
      <c r="A11" t="s">
        <v>39</v>
      </c>
      <c r="B11" t="s">
        <v>12</v>
      </c>
      <c r="C11" s="1">
        <v>45319</v>
      </c>
      <c r="E11" t="s">
        <v>17</v>
      </c>
      <c r="F11" t="s">
        <v>40</v>
      </c>
      <c r="G11">
        <v>1823</v>
      </c>
      <c r="H11">
        <v>15513</v>
      </c>
      <c r="I11">
        <v>7539318</v>
      </c>
      <c r="J11" t="str">
        <f>IF(OR(I11&gt;'Missing Values &amp; Outliers'!$K$8,I11&lt;'Missing Values &amp; Outliers'!$K$9),"O","NA")</f>
        <v>NA</v>
      </c>
      <c r="K11">
        <v>3948781</v>
      </c>
      <c r="L11" t="str">
        <f>IF(OR(K11&gt;'Missing Values &amp; Outliers'!$K$15,K11&lt;'Missing Values &amp; Outliers'!$K$16),"O","NA")</f>
        <v>NA</v>
      </c>
      <c r="M11">
        <v>39768298</v>
      </c>
      <c r="N11" s="17" t="s">
        <v>155</v>
      </c>
    </row>
    <row r="12" spans="1:15" x14ac:dyDescent="0.3">
      <c r="A12" t="s">
        <v>26</v>
      </c>
      <c r="B12" t="s">
        <v>31</v>
      </c>
      <c r="C12" s="1">
        <v>45462</v>
      </c>
      <c r="E12" t="s">
        <v>41</v>
      </c>
      <c r="F12" t="s">
        <v>42</v>
      </c>
      <c r="G12">
        <v>3953.6</v>
      </c>
      <c r="H12">
        <v>21693</v>
      </c>
      <c r="I12">
        <v>9306297</v>
      </c>
      <c r="J12" t="str">
        <f>IF(OR(I12&gt;'Missing Values &amp; Outliers'!$K$8,I12&lt;'Missing Values &amp; Outliers'!$K$9),"O","NA")</f>
        <v>NA</v>
      </c>
      <c r="K12">
        <v>4798020</v>
      </c>
      <c r="L12" t="str">
        <f>IF(OR(K12&gt;'Missing Values &amp; Outliers'!$K$15,K12&lt;'Missing Values &amp; Outliers'!$K$16),"O","NA")</f>
        <v>NA</v>
      </c>
      <c r="M12">
        <v>75365349</v>
      </c>
      <c r="N12" s="17" t="s">
        <v>155</v>
      </c>
    </row>
    <row r="13" spans="1:15" x14ac:dyDescent="0.3">
      <c r="A13" t="s">
        <v>43</v>
      </c>
      <c r="B13" t="s">
        <v>24</v>
      </c>
      <c r="C13" s="1">
        <v>45649</v>
      </c>
      <c r="E13" t="s">
        <v>37</v>
      </c>
      <c r="F13" t="s">
        <v>44</v>
      </c>
      <c r="G13">
        <v>2842</v>
      </c>
      <c r="H13">
        <v>24021</v>
      </c>
      <c r="I13">
        <v>5020389</v>
      </c>
      <c r="J13" t="str">
        <f>IF(OR(I13&gt;'Missing Values &amp; Outliers'!$K$8,I13&lt;'Missing Values &amp; Outliers'!$K$9),"O","NA")</f>
        <v>NA</v>
      </c>
      <c r="K13">
        <v>2851905</v>
      </c>
      <c r="L13" t="str">
        <f>IF(OR(K13&gt;'Missing Values &amp; Outliers'!$K$15,K13&lt;'Missing Values &amp; Outliers'!$K$16),"O","NA")</f>
        <v>NA</v>
      </c>
      <c r="M13">
        <v>76139976</v>
      </c>
      <c r="N13" s="17" t="s">
        <v>155</v>
      </c>
    </row>
    <row r="14" spans="1:15" x14ac:dyDescent="0.3">
      <c r="A14" t="s">
        <v>45</v>
      </c>
      <c r="B14" t="s">
        <v>46</v>
      </c>
      <c r="C14" s="1">
        <v>45428</v>
      </c>
      <c r="D14" t="s">
        <v>47</v>
      </c>
      <c r="E14" t="s">
        <v>48</v>
      </c>
      <c r="F14" t="s">
        <v>49</v>
      </c>
      <c r="G14">
        <v>528</v>
      </c>
      <c r="H14">
        <v>33241</v>
      </c>
      <c r="I14">
        <v>2659280</v>
      </c>
      <c r="J14" t="str">
        <f>IF(OR(I14&gt;'Missing Values &amp; Outliers'!$K$8,I14&lt;'Missing Values &amp; Outliers'!$K$9),"O","NA")</f>
        <v>NA</v>
      </c>
      <c r="K14">
        <v>3167786</v>
      </c>
      <c r="L14" t="str">
        <f>IF(OR(K14&gt;'Missing Values &amp; Outliers'!$K$15,K14&lt;'Missing Values &amp; Outliers'!$K$16),"O","NA")</f>
        <v>NA</v>
      </c>
      <c r="M14">
        <v>19328026</v>
      </c>
      <c r="N14" s="17" t="s">
        <v>155</v>
      </c>
    </row>
    <row r="15" spans="1:15" x14ac:dyDescent="0.3">
      <c r="A15" t="s">
        <v>50</v>
      </c>
      <c r="B15" t="s">
        <v>51</v>
      </c>
      <c r="C15" s="1">
        <v>45644</v>
      </c>
      <c r="E15" t="s">
        <v>52</v>
      </c>
      <c r="F15" t="s">
        <v>53</v>
      </c>
      <c r="G15">
        <v>1543</v>
      </c>
      <c r="H15">
        <v>19867</v>
      </c>
      <c r="I15">
        <v>2821114</v>
      </c>
      <c r="J15" t="str">
        <f>IF(OR(I15&gt;'Missing Values &amp; Outliers'!$K$8,I15&lt;'Missing Values &amp; Outliers'!$K$9),"O","NA")</f>
        <v>NA</v>
      </c>
      <c r="K15">
        <v>2897760</v>
      </c>
      <c r="L15" t="str">
        <f>IF(OR(K15&gt;'Missing Values &amp; Outliers'!$K$15,K15&lt;'Missing Values &amp; Outliers'!$K$16),"O","NA")</f>
        <v>NA</v>
      </c>
      <c r="M15">
        <v>36373655</v>
      </c>
      <c r="N15" s="17" t="s">
        <v>155</v>
      </c>
    </row>
    <row r="16" spans="1:15" x14ac:dyDescent="0.3">
      <c r="A16" t="s">
        <v>26</v>
      </c>
      <c r="B16" t="s">
        <v>54</v>
      </c>
      <c r="C16" s="1">
        <v>45344</v>
      </c>
      <c r="E16" t="s">
        <v>37</v>
      </c>
      <c r="F16" t="s">
        <v>55</v>
      </c>
      <c r="G16">
        <v>2188</v>
      </c>
      <c r="H16">
        <v>20603</v>
      </c>
      <c r="I16">
        <v>9559792</v>
      </c>
      <c r="J16" t="str">
        <f>IF(OR(I16&gt;'Missing Values &amp; Outliers'!$K$8,I16&lt;'Missing Values &amp; Outliers'!$K$9),"O","NA")</f>
        <v>NA</v>
      </c>
      <c r="K16">
        <v>4600450</v>
      </c>
      <c r="L16" t="str">
        <f>IF(OR(K16&gt;'Missing Values &amp; Outliers'!$K$15,K16&lt;'Missing Values &amp; Outliers'!$K$16),"O","NA")</f>
        <v>NA</v>
      </c>
      <c r="M16">
        <v>59239606</v>
      </c>
      <c r="N16" s="17" t="s">
        <v>155</v>
      </c>
    </row>
    <row r="17" spans="1:14" x14ac:dyDescent="0.3">
      <c r="A17" t="s">
        <v>23</v>
      </c>
      <c r="B17" t="s">
        <v>12</v>
      </c>
      <c r="C17" s="1">
        <v>45581</v>
      </c>
      <c r="D17" t="s">
        <v>20</v>
      </c>
      <c r="E17" t="s">
        <v>21</v>
      </c>
      <c r="F17" t="s">
        <v>56</v>
      </c>
      <c r="G17">
        <v>2217.6</v>
      </c>
      <c r="H17">
        <v>9504.6</v>
      </c>
      <c r="I17">
        <v>5892852</v>
      </c>
      <c r="J17" t="str">
        <f>IF(OR(I17&gt;'Missing Values &amp; Outliers'!$K$8,I17&lt;'Missing Values &amp; Outliers'!$K$9),"O","NA")</f>
        <v>NA</v>
      </c>
      <c r="K17">
        <v>795307</v>
      </c>
      <c r="L17" t="str">
        <f>IF(OR(K17&gt;'Missing Values &amp; Outliers'!$K$15,K17&lt;'Missing Values &amp; Outliers'!$K$16),"O","NA")</f>
        <v>NA</v>
      </c>
      <c r="M17">
        <v>28195711</v>
      </c>
      <c r="N17" s="17" t="s">
        <v>155</v>
      </c>
    </row>
    <row r="18" spans="1:14" x14ac:dyDescent="0.3">
      <c r="A18" t="s">
        <v>39</v>
      </c>
      <c r="B18" t="s">
        <v>16</v>
      </c>
      <c r="C18" s="1">
        <v>45455</v>
      </c>
      <c r="D18" t="s">
        <v>20</v>
      </c>
      <c r="E18" t="s">
        <v>21</v>
      </c>
      <c r="F18" t="s">
        <v>57</v>
      </c>
      <c r="G18">
        <v>5397</v>
      </c>
      <c r="H18">
        <v>9158.1</v>
      </c>
      <c r="I18">
        <v>1687707</v>
      </c>
      <c r="J18" t="str">
        <f>IF(OR(I18&gt;'Missing Values &amp; Outliers'!$K$8,I18&lt;'Missing Values &amp; Outliers'!$K$9),"O","NA")</f>
        <v>NA</v>
      </c>
      <c r="K18">
        <v>2188470</v>
      </c>
      <c r="L18" t="str">
        <f>IF(OR(K18&gt;'Missing Values &amp; Outliers'!$K$15,K18&lt;'Missing Values &amp; Outliers'!$K$16),"O","NA")</f>
        <v>NA</v>
      </c>
      <c r="M18">
        <v>54311142</v>
      </c>
      <c r="N18" s="17" t="s">
        <v>155</v>
      </c>
    </row>
    <row r="19" spans="1:14" x14ac:dyDescent="0.3">
      <c r="A19" t="s">
        <v>15</v>
      </c>
      <c r="B19" t="s">
        <v>46</v>
      </c>
      <c r="C19" s="1">
        <v>45384</v>
      </c>
      <c r="D19" t="s">
        <v>58</v>
      </c>
      <c r="E19" t="s">
        <v>59</v>
      </c>
      <c r="F19" t="s">
        <v>60</v>
      </c>
      <c r="G19">
        <v>1601.6</v>
      </c>
      <c r="H19">
        <v>11790</v>
      </c>
      <c r="I19">
        <v>3030030</v>
      </c>
      <c r="J19" t="str">
        <f>IF(OR(I19&gt;'Missing Values &amp; Outliers'!$K$8,I19&lt;'Missing Values &amp; Outliers'!$K$9),"O","NA")</f>
        <v>NA</v>
      </c>
      <c r="K19">
        <v>3635278</v>
      </c>
      <c r="L19" t="str">
        <f>IF(OR(K19&gt;'Missing Values &amp; Outliers'!$K$15,K19&lt;'Missing Values &amp; Outliers'!$K$16),"O","NA")</f>
        <v>NA</v>
      </c>
      <c r="M19">
        <v>20153068</v>
      </c>
      <c r="N19" s="17" t="s">
        <v>155</v>
      </c>
    </row>
    <row r="20" spans="1:14" x14ac:dyDescent="0.3">
      <c r="A20" t="s">
        <v>15</v>
      </c>
      <c r="B20" t="s">
        <v>16</v>
      </c>
      <c r="C20" s="1">
        <v>45531</v>
      </c>
      <c r="E20" t="s">
        <v>37</v>
      </c>
      <c r="F20" t="s">
        <v>61</v>
      </c>
      <c r="G20">
        <v>4564</v>
      </c>
      <c r="H20">
        <v>31755</v>
      </c>
      <c r="I20">
        <v>6890835</v>
      </c>
      <c r="J20" t="str">
        <f>IF(OR(I20&gt;'Missing Values &amp; Outliers'!$K$8,I20&lt;'Missing Values &amp; Outliers'!$K$9),"O","NA")</f>
        <v>NA</v>
      </c>
      <c r="K20">
        <v>4732974</v>
      </c>
      <c r="L20" t="str">
        <f>IF(OR(K20&gt;'Missing Values &amp; Outliers'!$K$15,K20&lt;'Missing Values &amp; Outliers'!$K$16),"O","NA")</f>
        <v>NA</v>
      </c>
      <c r="M20">
        <v>156553629</v>
      </c>
      <c r="N20" s="17" t="s">
        <v>155</v>
      </c>
    </row>
    <row r="21" spans="1:14" x14ac:dyDescent="0.3">
      <c r="A21" t="s">
        <v>43</v>
      </c>
      <c r="B21" t="s">
        <v>27</v>
      </c>
      <c r="C21" s="1">
        <v>45634</v>
      </c>
      <c r="D21" t="s">
        <v>20</v>
      </c>
      <c r="E21" t="s">
        <v>21</v>
      </c>
      <c r="F21" t="s">
        <v>62</v>
      </c>
      <c r="G21">
        <v>3350.2</v>
      </c>
      <c r="H21">
        <v>2975.7</v>
      </c>
      <c r="I21">
        <v>1041495</v>
      </c>
      <c r="J21" t="str">
        <f>IF(OR(I21&gt;'Missing Values &amp; Outliers'!$K$8,I21&lt;'Missing Values &amp; Outliers'!$K$9),"O","NA")</f>
        <v>NA</v>
      </c>
      <c r="K21">
        <v>3001940</v>
      </c>
      <c r="L21" t="str">
        <f>IF(OR(K21&gt;'Missing Values &amp; Outliers'!$K$15,K21&lt;'Missing Values &amp; Outliers'!$K$16),"O","NA")</f>
        <v>NA</v>
      </c>
      <c r="M21">
        <v>14216078</v>
      </c>
      <c r="N21" s="17" t="s">
        <v>155</v>
      </c>
    </row>
    <row r="22" spans="1:14" x14ac:dyDescent="0.3">
      <c r="A22" t="s">
        <v>43</v>
      </c>
      <c r="B22" t="s">
        <v>16</v>
      </c>
      <c r="C22" s="1">
        <v>45460</v>
      </c>
      <c r="E22" t="s">
        <v>13</v>
      </c>
      <c r="F22" t="s">
        <v>63</v>
      </c>
      <c r="G22">
        <v>4045</v>
      </c>
      <c r="H22">
        <v>27719</v>
      </c>
      <c r="I22">
        <v>7539568</v>
      </c>
      <c r="J22" t="str">
        <f>IF(OR(I22&gt;'Missing Values &amp; Outliers'!$K$8,I22&lt;'Missing Values &amp; Outliers'!$K$9),"O","NA")</f>
        <v>NA</v>
      </c>
      <c r="K22">
        <v>4670910</v>
      </c>
      <c r="L22" t="str">
        <f>IF(OR(K22&gt;'Missing Values &amp; Outliers'!$K$15,K22&lt;'Missing Values &amp; Outliers'!$K$16),"O","NA")</f>
        <v>NA</v>
      </c>
      <c r="M22">
        <v>124333833</v>
      </c>
      <c r="N22" s="17" t="s">
        <v>155</v>
      </c>
    </row>
    <row r="23" spans="1:14" x14ac:dyDescent="0.3">
      <c r="A23" t="s">
        <v>43</v>
      </c>
      <c r="B23" t="s">
        <v>19</v>
      </c>
      <c r="C23" s="1">
        <v>45425</v>
      </c>
      <c r="D23" t="s">
        <v>28</v>
      </c>
      <c r="E23" t="s">
        <v>29</v>
      </c>
      <c r="F23" t="s">
        <v>64</v>
      </c>
      <c r="G23">
        <v>1008</v>
      </c>
      <c r="H23">
        <v>21142</v>
      </c>
      <c r="I23">
        <v>2558182</v>
      </c>
      <c r="J23" t="str">
        <f>IF(OR(I23&gt;'Missing Values &amp; Outliers'!$K$8,I23&lt;'Missing Values &amp; Outliers'!$K$9),"O","NA")</f>
        <v>NA</v>
      </c>
      <c r="K23">
        <v>1632574</v>
      </c>
      <c r="L23" t="str">
        <f>IF(OR(K23&gt;'Missing Values &amp; Outliers'!$K$15,K23&lt;'Missing Values &amp; Outliers'!$K$16),"O","NA")</f>
        <v>NA</v>
      </c>
      <c r="M23">
        <v>25501892</v>
      </c>
      <c r="N23" s="17" t="s">
        <v>155</v>
      </c>
    </row>
    <row r="24" spans="1:14" x14ac:dyDescent="0.3">
      <c r="A24" t="s">
        <v>11</v>
      </c>
      <c r="B24" t="s">
        <v>65</v>
      </c>
      <c r="C24" s="1">
        <v>45474</v>
      </c>
      <c r="E24" t="s">
        <v>52</v>
      </c>
      <c r="F24" t="s">
        <v>66</v>
      </c>
      <c r="G24">
        <v>2334</v>
      </c>
      <c r="H24">
        <v>16842</v>
      </c>
      <c r="I24">
        <v>6905220</v>
      </c>
      <c r="J24" t="str">
        <f>IF(OR(I24&gt;'Missing Values &amp; Outliers'!$K$8,I24&lt;'Missing Values &amp; Outliers'!$K$9),"O","NA")</f>
        <v>NA</v>
      </c>
      <c r="K24">
        <v>1067015</v>
      </c>
      <c r="L24" t="str">
        <f>IF(OR(K24&gt;'Missing Values &amp; Outliers'!$K$15,K24&lt;'Missing Values &amp; Outliers'!$K$16),"O","NA")</f>
        <v>NA</v>
      </c>
      <c r="M24">
        <v>47281463</v>
      </c>
      <c r="N24" s="17" t="s">
        <v>155</v>
      </c>
    </row>
    <row r="25" spans="1:14" x14ac:dyDescent="0.3">
      <c r="A25" t="s">
        <v>67</v>
      </c>
      <c r="B25" t="s">
        <v>16</v>
      </c>
      <c r="C25" s="1">
        <v>45299</v>
      </c>
      <c r="D25" t="s">
        <v>47</v>
      </c>
      <c r="E25" t="s">
        <v>48</v>
      </c>
      <c r="F25" t="s">
        <v>68</v>
      </c>
      <c r="G25" s="4">
        <f>'Missing Values &amp; Outliers'!$E$5</f>
        <v>2910.2168421052634</v>
      </c>
      <c r="H25">
        <v>14456</v>
      </c>
      <c r="I25">
        <v>4603680</v>
      </c>
      <c r="J25" t="str">
        <f>IF(OR(I25&gt;'Missing Values &amp; Outliers'!$K$8,I25&lt;'Missing Values &amp; Outliers'!$K$9),"O","NA")</f>
        <v>NA</v>
      </c>
      <c r="K25">
        <v>2403962</v>
      </c>
      <c r="L25" t="str">
        <f>IF(OR(K25&gt;'Missing Values &amp; Outliers'!$K$15,K25&lt;'Missing Values &amp; Outliers'!$K$16),"O","NA")</f>
        <v>NA</v>
      </c>
      <c r="M25">
        <v>41090442</v>
      </c>
      <c r="N25" s="17" t="s">
        <v>155</v>
      </c>
    </row>
    <row r="26" spans="1:14" x14ac:dyDescent="0.3">
      <c r="A26" t="s">
        <v>50</v>
      </c>
      <c r="B26" t="s">
        <v>54</v>
      </c>
      <c r="C26" s="1">
        <v>45416</v>
      </c>
      <c r="E26" t="s">
        <v>13</v>
      </c>
      <c r="F26" t="s">
        <v>69</v>
      </c>
      <c r="G26">
        <v>3977</v>
      </c>
      <c r="H26">
        <v>25243</v>
      </c>
      <c r="I26">
        <v>9238938</v>
      </c>
      <c r="J26" t="str">
        <f>IF(OR(I26&gt;'Missing Values &amp; Outliers'!$K$8,I26&lt;'Missing Values &amp; Outliers'!$K$9),"O","NA")</f>
        <v>NA</v>
      </c>
      <c r="K26">
        <v>4689343</v>
      </c>
      <c r="L26" t="str">
        <f>IF(OR(K26&gt;'Missing Values &amp; Outliers'!$K$15,K26&lt;'Missing Values &amp; Outliers'!$K$16),"O","NA")</f>
        <v>NA</v>
      </c>
      <c r="M26">
        <v>114319692</v>
      </c>
      <c r="N26" s="17" t="s">
        <v>155</v>
      </c>
    </row>
    <row r="27" spans="1:14" x14ac:dyDescent="0.3">
      <c r="A27" t="s">
        <v>43</v>
      </c>
      <c r="B27" t="s">
        <v>31</v>
      </c>
      <c r="C27" s="1">
        <v>45407</v>
      </c>
      <c r="E27" t="s">
        <v>17</v>
      </c>
      <c r="F27" t="s">
        <v>70</v>
      </c>
      <c r="G27">
        <v>3449</v>
      </c>
      <c r="H27">
        <v>13539</v>
      </c>
      <c r="I27">
        <v>5672841</v>
      </c>
      <c r="J27" t="str">
        <f>IF(OR(I27&gt;'Missing Values &amp; Outliers'!$K$8,I27&lt;'Missing Values &amp; Outliers'!$K$9),"O","NA")</f>
        <v>NA</v>
      </c>
      <c r="K27">
        <v>3471436</v>
      </c>
      <c r="L27" t="str">
        <f>IF(OR(K27&gt;'Missing Values &amp; Outliers'!$K$15,K27&lt;'Missing Values &amp; Outliers'!$K$16),"O","NA")</f>
        <v>NA</v>
      </c>
      <c r="M27">
        <v>55840288</v>
      </c>
      <c r="N27" s="17" t="s">
        <v>155</v>
      </c>
    </row>
    <row r="28" spans="1:14" x14ac:dyDescent="0.3">
      <c r="A28" t="s">
        <v>26</v>
      </c>
      <c r="B28" t="s">
        <v>46</v>
      </c>
      <c r="C28" s="1">
        <v>45316</v>
      </c>
      <c r="E28" t="s">
        <v>13</v>
      </c>
      <c r="F28" t="s">
        <v>71</v>
      </c>
      <c r="G28">
        <v>3668</v>
      </c>
      <c r="H28">
        <v>36462</v>
      </c>
      <c r="I28">
        <v>5250528</v>
      </c>
      <c r="J28" t="str">
        <f>IF(OR(I28&gt;'Missing Values &amp; Outliers'!$K$8,I28&lt;'Missing Values &amp; Outliers'!$K$9),"O","NA")</f>
        <v>NA</v>
      </c>
      <c r="K28">
        <v>2377592</v>
      </c>
      <c r="L28" t="str">
        <f>IF(OR(K28&gt;'Missing Values &amp; Outliers'!$K$15,K28&lt;'Missing Values &amp; Outliers'!$K$16),"O","NA")</f>
        <v>NA</v>
      </c>
      <c r="M28">
        <v>141370736</v>
      </c>
      <c r="N28" s="17" t="s">
        <v>155</v>
      </c>
    </row>
    <row r="29" spans="1:14" x14ac:dyDescent="0.3">
      <c r="A29" t="s">
        <v>11</v>
      </c>
      <c r="B29" t="s">
        <v>24</v>
      </c>
      <c r="C29" s="1">
        <v>45539</v>
      </c>
      <c r="E29" t="s">
        <v>13</v>
      </c>
      <c r="F29" t="s">
        <v>72</v>
      </c>
      <c r="G29">
        <v>3279</v>
      </c>
      <c r="H29">
        <v>32540</v>
      </c>
      <c r="I29">
        <v>13341400</v>
      </c>
      <c r="J29" t="str">
        <f>IF(OR(I29&gt;'Missing Values &amp; Outliers'!$K$8,I29&lt;'Missing Values &amp; Outliers'!$K$9),"O","NA")</f>
        <v>NA</v>
      </c>
      <c r="K29">
        <v>2840750</v>
      </c>
      <c r="L29" t="str">
        <f>IF(OR(K29&gt;'Missing Values &amp; Outliers'!$K$15,K29&lt;'Missing Values &amp; Outliers'!$K$16),"O","NA")</f>
        <v>NA</v>
      </c>
      <c r="M29">
        <v>122880810</v>
      </c>
      <c r="N29" s="17" t="s">
        <v>155</v>
      </c>
    </row>
    <row r="30" spans="1:14" x14ac:dyDescent="0.3">
      <c r="A30" t="s">
        <v>11</v>
      </c>
      <c r="B30" t="s">
        <v>54</v>
      </c>
      <c r="C30" s="1">
        <v>45639</v>
      </c>
      <c r="E30" t="s">
        <v>17</v>
      </c>
      <c r="F30" t="s">
        <v>73</v>
      </c>
      <c r="G30">
        <v>2948</v>
      </c>
      <c r="H30">
        <v>9316</v>
      </c>
      <c r="I30">
        <v>1266976</v>
      </c>
      <c r="J30" t="str">
        <f>IF(OR(I30&gt;'Missing Values &amp; Outliers'!$K$8,I30&lt;'Missing Values &amp; Outliers'!$K$9),"O","NA")</f>
        <v>NA</v>
      </c>
      <c r="K30">
        <v>2704822</v>
      </c>
      <c r="L30" t="str">
        <f>IF(OR(K30&gt;'Missing Values &amp; Outliers'!$K$15,K30&lt;'Missing Values &amp; Outliers'!$K$16),"O","NA")</f>
        <v>NA</v>
      </c>
      <c r="M30">
        <v>31435366</v>
      </c>
      <c r="N30" s="17" t="s">
        <v>155</v>
      </c>
    </row>
    <row r="31" spans="1:14" x14ac:dyDescent="0.3">
      <c r="A31" t="s">
        <v>11</v>
      </c>
      <c r="B31" t="s">
        <v>16</v>
      </c>
      <c r="C31" s="1">
        <v>45647</v>
      </c>
      <c r="E31" t="s">
        <v>41</v>
      </c>
      <c r="F31" t="s">
        <v>74</v>
      </c>
      <c r="G31">
        <v>2749.6</v>
      </c>
      <c r="H31">
        <v>17172</v>
      </c>
      <c r="I31">
        <v>7830432</v>
      </c>
      <c r="J31" t="str">
        <f>IF(OR(I31&gt;'Missing Values &amp; Outliers'!$K$8,I31&lt;'Missing Values &amp; Outliers'!$K$9),"O","NA")</f>
        <v>NA</v>
      </c>
      <c r="K31">
        <v>3956927</v>
      </c>
      <c r="L31" t="str">
        <f>IF(OR(K31&gt;'Missing Values &amp; Outliers'!$K$15,K31&lt;'Missing Values &amp; Outliers'!$K$16),"O","NA")</f>
        <v>NA</v>
      </c>
      <c r="M31">
        <v>45513167</v>
      </c>
      <c r="N31" s="17" t="s">
        <v>155</v>
      </c>
    </row>
    <row r="32" spans="1:14" x14ac:dyDescent="0.3">
      <c r="A32" t="s">
        <v>15</v>
      </c>
      <c r="B32" t="s">
        <v>19</v>
      </c>
      <c r="C32" s="1">
        <v>45410</v>
      </c>
      <c r="E32" t="s">
        <v>17</v>
      </c>
      <c r="F32" t="s">
        <v>75</v>
      </c>
      <c r="G32" s="4">
        <f>'Missing Values &amp; Outliers'!$E$5</f>
        <v>2910.2168421052634</v>
      </c>
      <c r="H32">
        <v>16737</v>
      </c>
      <c r="I32">
        <v>6276375</v>
      </c>
      <c r="J32" t="str">
        <f>IF(OR(I32&gt;'Missing Values &amp; Outliers'!$K$8,I32&lt;'Missing Values &amp; Outliers'!$K$9),"O","NA")</f>
        <v>NA</v>
      </c>
      <c r="K32">
        <v>2726932</v>
      </c>
      <c r="L32" t="str">
        <f>IF(OR(K32&gt;'Missing Values &amp; Outliers'!$K$15,K32&lt;'Missing Values &amp; Outliers'!$K$16),"O","NA")</f>
        <v>NA</v>
      </c>
      <c r="M32">
        <v>85424449</v>
      </c>
      <c r="N32" s="17" t="s">
        <v>155</v>
      </c>
    </row>
    <row r="33" spans="1:14" x14ac:dyDescent="0.3">
      <c r="A33" t="s">
        <v>11</v>
      </c>
      <c r="B33" t="s">
        <v>65</v>
      </c>
      <c r="C33" s="1">
        <v>45392</v>
      </c>
      <c r="E33" t="s">
        <v>37</v>
      </c>
      <c r="F33" t="s">
        <v>76</v>
      </c>
      <c r="G33">
        <v>632</v>
      </c>
      <c r="H33">
        <v>35304</v>
      </c>
      <c r="I33">
        <v>10379376</v>
      </c>
      <c r="J33" t="str">
        <f>IF(OR(I33&gt;'Missing Values &amp; Outliers'!$K$8,I33&lt;'Missing Values &amp; Outliers'!$K$9),"O","NA")</f>
        <v>NA</v>
      </c>
      <c r="K33">
        <v>1590737</v>
      </c>
      <c r="L33" t="str">
        <f>IF(OR(K33&gt;'Missing Values &amp; Outliers'!$K$15,K33&lt;'Missing Values &amp; Outliers'!$K$16),"O","NA")</f>
        <v>NA</v>
      </c>
      <c r="M33">
        <v>34282241</v>
      </c>
      <c r="N33" s="17" t="s">
        <v>155</v>
      </c>
    </row>
    <row r="34" spans="1:14" x14ac:dyDescent="0.3">
      <c r="A34" t="s">
        <v>67</v>
      </c>
      <c r="B34" t="s">
        <v>12</v>
      </c>
      <c r="C34" s="1">
        <v>45360</v>
      </c>
      <c r="E34" t="s">
        <v>17</v>
      </c>
      <c r="F34" t="s">
        <v>77</v>
      </c>
      <c r="G34">
        <v>1932</v>
      </c>
      <c r="H34">
        <v>16841</v>
      </c>
      <c r="I34">
        <v>7713178</v>
      </c>
      <c r="J34" t="str">
        <f>IF(OR(I34&gt;'Missing Values &amp; Outliers'!$K$8,I34&lt;'Missing Values &amp; Outliers'!$K$9),"O","NA")</f>
        <v>NA</v>
      </c>
      <c r="K34">
        <v>4738764</v>
      </c>
      <c r="L34" t="str">
        <f>IF(OR(K34&gt;'Missing Values &amp; Outliers'!$K$15,K34&lt;'Missing Values &amp; Outliers'!$K$16),"O","NA")</f>
        <v>NA</v>
      </c>
      <c r="M34">
        <v>44988754</v>
      </c>
      <c r="N34" s="17" t="s">
        <v>155</v>
      </c>
    </row>
    <row r="35" spans="1:14" x14ac:dyDescent="0.3">
      <c r="A35" t="s">
        <v>15</v>
      </c>
      <c r="B35" t="s">
        <v>24</v>
      </c>
      <c r="C35" s="1">
        <v>45358</v>
      </c>
      <c r="D35" t="s">
        <v>20</v>
      </c>
      <c r="E35" t="s">
        <v>21</v>
      </c>
      <c r="F35" t="s">
        <v>78</v>
      </c>
      <c r="G35">
        <v>1598.8</v>
      </c>
      <c r="H35">
        <v>18210.5</v>
      </c>
      <c r="I35">
        <v>7336230</v>
      </c>
      <c r="J35" t="str">
        <f>IF(OR(I35&gt;'Missing Values &amp; Outliers'!$K$8,I35&lt;'Missing Values &amp; Outliers'!$K$9),"O","NA")</f>
        <v>NA</v>
      </c>
      <c r="K35">
        <v>2229062</v>
      </c>
      <c r="L35" t="str">
        <f>IF(OR(K35&gt;'Missing Values &amp; Outliers'!$K$15,K35&lt;'Missing Values &amp; Outliers'!$K$16),"O","NA")</f>
        <v>NA</v>
      </c>
      <c r="M35">
        <v>39274422</v>
      </c>
      <c r="N35" s="17" t="s">
        <v>155</v>
      </c>
    </row>
    <row r="36" spans="1:14" x14ac:dyDescent="0.3">
      <c r="A36" t="s">
        <v>11</v>
      </c>
      <c r="B36" t="s">
        <v>16</v>
      </c>
      <c r="C36" s="1">
        <v>45326</v>
      </c>
      <c r="D36" t="s">
        <v>47</v>
      </c>
      <c r="E36" t="s">
        <v>48</v>
      </c>
      <c r="F36" t="s">
        <v>79</v>
      </c>
      <c r="G36">
        <v>1933</v>
      </c>
      <c r="H36">
        <v>58687.199999999997</v>
      </c>
      <c r="I36">
        <v>16296984</v>
      </c>
      <c r="J36" s="22" t="str">
        <f>IF(OR(I36&gt;'Missing Values &amp; Outliers'!$K$8,I36&lt;'Missing Values &amp; Outliers'!$K$9),"O","NA")</f>
        <v>O</v>
      </c>
      <c r="K36">
        <v>1120895</v>
      </c>
      <c r="L36" t="str">
        <f>IF(OR(K36&gt;'Missing Values &amp; Outliers'!$K$15,K36&lt;'Missing Values &amp; Outliers'!$K$16),"O","NA")</f>
        <v>NA</v>
      </c>
      <c r="M36">
        <v>104681231</v>
      </c>
      <c r="N36" s="17" t="s">
        <v>155</v>
      </c>
    </row>
    <row r="37" spans="1:14" x14ac:dyDescent="0.3">
      <c r="A37" t="s">
        <v>39</v>
      </c>
      <c r="B37" t="s">
        <v>19</v>
      </c>
      <c r="C37" s="1">
        <v>45395</v>
      </c>
      <c r="D37" t="s">
        <v>47</v>
      </c>
      <c r="E37" t="s">
        <v>48</v>
      </c>
      <c r="F37" t="s">
        <v>80</v>
      </c>
      <c r="G37" s="4">
        <f>'Missing Values &amp; Outliers'!$E$5</f>
        <v>2910.2168421052634</v>
      </c>
      <c r="H37">
        <v>7559.5</v>
      </c>
      <c r="I37">
        <v>1913135</v>
      </c>
      <c r="J37" t="str">
        <f>IF(OR(I37&gt;'Missing Values &amp; Outliers'!$K$8,I37&lt;'Missing Values &amp; Outliers'!$K$9),"O","NA")</f>
        <v>NA</v>
      </c>
      <c r="K37">
        <v>4680189</v>
      </c>
      <c r="L37" t="str">
        <f>IF(OR(K37&gt;'Missing Values &amp; Outliers'!$K$15,K37&lt;'Missing Values &amp; Outliers'!$K$16),"O","NA")</f>
        <v>NA</v>
      </c>
      <c r="M37">
        <v>21654174</v>
      </c>
      <c r="N37" s="17" t="s">
        <v>155</v>
      </c>
    </row>
    <row r="38" spans="1:14" x14ac:dyDescent="0.3">
      <c r="A38" t="s">
        <v>23</v>
      </c>
      <c r="B38" t="s">
        <v>19</v>
      </c>
      <c r="C38" s="1">
        <v>45509</v>
      </c>
      <c r="E38" t="s">
        <v>52</v>
      </c>
      <c r="F38" t="s">
        <v>81</v>
      </c>
      <c r="G38">
        <v>4452</v>
      </c>
      <c r="H38">
        <v>31745</v>
      </c>
      <c r="I38">
        <v>4412555</v>
      </c>
      <c r="J38" t="str">
        <f>IF(OR(I38&gt;'Missing Values &amp; Outliers'!$K$8,I38&lt;'Missing Values &amp; Outliers'!$K$9),"O","NA")</f>
        <v>NA</v>
      </c>
      <c r="K38">
        <v>4091720</v>
      </c>
      <c r="L38" t="str">
        <f>IF(OR(K38&gt;'Missing Values &amp; Outliers'!$K$15,K38&lt;'Missing Values &amp; Outliers'!$K$16),"O","NA")</f>
        <v>NA</v>
      </c>
      <c r="M38">
        <v>149833015</v>
      </c>
      <c r="N38" s="17" t="s">
        <v>155</v>
      </c>
    </row>
    <row r="39" spans="1:14" x14ac:dyDescent="0.3">
      <c r="A39" t="s">
        <v>36</v>
      </c>
      <c r="B39" t="s">
        <v>51</v>
      </c>
      <c r="C39" s="1">
        <v>45555</v>
      </c>
      <c r="E39" t="s">
        <v>32</v>
      </c>
      <c r="F39" t="s">
        <v>82</v>
      </c>
      <c r="G39">
        <v>2716</v>
      </c>
      <c r="H39">
        <v>12688</v>
      </c>
      <c r="I39">
        <v>2486848</v>
      </c>
      <c r="J39" t="str">
        <f>IF(OR(I39&gt;'Missing Values &amp; Outliers'!$K$8,I39&lt;'Missing Values &amp; Outliers'!$K$9),"O","NA")</f>
        <v>NA</v>
      </c>
      <c r="K39">
        <v>1413822</v>
      </c>
      <c r="L39" t="str">
        <f>IF(OR(K39&gt;'Missing Values &amp; Outliers'!$K$15,K39&lt;'Missing Values &amp; Outliers'!$K$16),"O","NA")</f>
        <v>NA</v>
      </c>
      <c r="M39">
        <v>38361278</v>
      </c>
      <c r="N39" s="17" t="s">
        <v>155</v>
      </c>
    </row>
    <row r="40" spans="1:14" x14ac:dyDescent="0.3">
      <c r="A40" t="s">
        <v>43</v>
      </c>
      <c r="B40" t="s">
        <v>65</v>
      </c>
      <c r="C40" s="1">
        <v>45507</v>
      </c>
      <c r="E40" t="s">
        <v>32</v>
      </c>
      <c r="F40" t="s">
        <v>83</v>
      </c>
      <c r="G40">
        <v>2237</v>
      </c>
      <c r="H40">
        <v>20276</v>
      </c>
      <c r="I40">
        <v>9671652</v>
      </c>
      <c r="J40" t="str">
        <f>IF(OR(I40&gt;'Missing Values &amp; Outliers'!$K$8,I40&lt;'Missing Values &amp; Outliers'!$K$9),"O","NA")</f>
        <v>NA</v>
      </c>
      <c r="K40">
        <v>4912334</v>
      </c>
      <c r="L40" t="str">
        <f>IF(OR(K40&gt;'Missing Values &amp; Outliers'!$K$15,K40&lt;'Missing Values &amp; Outliers'!$K$16),"O","NA")</f>
        <v>NA</v>
      </c>
      <c r="M40">
        <v>59941398</v>
      </c>
      <c r="N40" s="17" t="s">
        <v>155</v>
      </c>
    </row>
    <row r="41" spans="1:14" x14ac:dyDescent="0.3">
      <c r="A41" t="s">
        <v>36</v>
      </c>
      <c r="B41" t="s">
        <v>27</v>
      </c>
      <c r="C41" s="1">
        <v>45468</v>
      </c>
      <c r="E41" t="s">
        <v>13</v>
      </c>
      <c r="F41" t="s">
        <v>81</v>
      </c>
      <c r="G41">
        <v>1412</v>
      </c>
      <c r="H41" s="6">
        <f>'Missing Values &amp; Outliers'!$E$13</f>
        <v>20798.88</v>
      </c>
      <c r="I41">
        <v>12753000</v>
      </c>
      <c r="J41" t="str">
        <f>IF(OR(I41&gt;'Missing Values &amp; Outliers'!$K$8,I41&lt;'Missing Values &amp; Outliers'!$K$9),"O","NA")</f>
        <v>NA</v>
      </c>
      <c r="K41">
        <v>663225</v>
      </c>
      <c r="L41" t="str">
        <f>IF(OR(K41&gt;'Missing Values &amp; Outliers'!$K$15,K41&lt;'Missing Values &amp; Outliers'!$K$16),"O","NA")</f>
        <v>NA</v>
      </c>
      <c r="M41">
        <v>61435521</v>
      </c>
      <c r="N41" s="17" t="s">
        <v>155</v>
      </c>
    </row>
    <row r="42" spans="1:14" x14ac:dyDescent="0.3">
      <c r="A42" t="s">
        <v>36</v>
      </c>
      <c r="B42" t="s">
        <v>24</v>
      </c>
      <c r="C42" s="1">
        <v>45654</v>
      </c>
      <c r="D42" t="s">
        <v>47</v>
      </c>
      <c r="E42" t="s">
        <v>48</v>
      </c>
      <c r="F42" t="s">
        <v>84</v>
      </c>
      <c r="G42">
        <v>836</v>
      </c>
      <c r="H42">
        <v>56160</v>
      </c>
      <c r="I42">
        <v>14904000</v>
      </c>
      <c r="J42" t="str">
        <f>IF(OR(I42&gt;'Missing Values &amp; Outliers'!$K$8,I42&lt;'Missing Values &amp; Outliers'!$K$9),"O","NA")</f>
        <v>NA</v>
      </c>
      <c r="K42">
        <v>4753926</v>
      </c>
      <c r="L42" t="str">
        <f>IF(OR(K42&gt;'Missing Values &amp; Outliers'!$K$15,K42&lt;'Missing Values &amp; Outliers'!$K$16),"O","NA")</f>
        <v>NA</v>
      </c>
      <c r="M42">
        <v>55773126</v>
      </c>
      <c r="N42" s="17" t="s">
        <v>155</v>
      </c>
    </row>
    <row r="43" spans="1:14" x14ac:dyDescent="0.3">
      <c r="A43" t="s">
        <v>36</v>
      </c>
      <c r="B43" t="s">
        <v>65</v>
      </c>
      <c r="C43" s="1">
        <v>45527</v>
      </c>
      <c r="D43" t="s">
        <v>47</v>
      </c>
      <c r="E43" t="s">
        <v>48</v>
      </c>
      <c r="F43" t="s">
        <v>85</v>
      </c>
      <c r="G43">
        <v>625</v>
      </c>
      <c r="H43">
        <v>34043.1</v>
      </c>
      <c r="I43">
        <v>11705589</v>
      </c>
      <c r="J43" t="str">
        <f>IF(OR(I43&gt;'Missing Values &amp; Outliers'!$K$8,I43&lt;'Missing Values &amp; Outliers'!$K$9),"O","NA")</f>
        <v>NA</v>
      </c>
      <c r="K43">
        <v>2483828</v>
      </c>
      <c r="L43" t="str">
        <f>IF(OR(K43&gt;'Missing Values &amp; Outliers'!$K$15,K43&lt;'Missing Values &amp; Outliers'!$K$16),"O","NA")</f>
        <v>NA</v>
      </c>
      <c r="M43">
        <v>30556292</v>
      </c>
      <c r="N43" s="17" t="s">
        <v>155</v>
      </c>
    </row>
    <row r="44" spans="1:14" x14ac:dyDescent="0.3">
      <c r="A44" t="s">
        <v>39</v>
      </c>
      <c r="B44" t="s">
        <v>12</v>
      </c>
      <c r="C44" s="1">
        <v>45555</v>
      </c>
      <c r="E44" t="s">
        <v>13</v>
      </c>
      <c r="F44" t="s">
        <v>86</v>
      </c>
      <c r="G44">
        <v>4629</v>
      </c>
      <c r="H44">
        <v>34318</v>
      </c>
      <c r="I44">
        <v>5113382</v>
      </c>
      <c r="J44" t="str">
        <f>IF(OR(I44&gt;'Missing Values &amp; Outliers'!$K$8,I44&lt;'Missing Values &amp; Outliers'!$K$9),"O","NA")</f>
        <v>NA</v>
      </c>
      <c r="K44">
        <v>3030898</v>
      </c>
      <c r="L44" t="str">
        <f>IF(OR(K44&gt;'Missing Values &amp; Outliers'!$K$15,K44&lt;'Missing Values &amp; Outliers'!$K$16),"O","NA")</f>
        <v>NA</v>
      </c>
      <c r="M44">
        <v>167002302</v>
      </c>
      <c r="N44" s="17" t="s">
        <v>155</v>
      </c>
    </row>
    <row r="45" spans="1:14" x14ac:dyDescent="0.3">
      <c r="A45" t="s">
        <v>39</v>
      </c>
      <c r="B45" t="s">
        <v>65</v>
      </c>
      <c r="C45" s="1">
        <v>45524</v>
      </c>
      <c r="E45" t="s">
        <v>32</v>
      </c>
      <c r="F45" t="s">
        <v>87</v>
      </c>
      <c r="G45">
        <v>3412</v>
      </c>
      <c r="H45">
        <v>22029</v>
      </c>
      <c r="I45">
        <v>7401744</v>
      </c>
      <c r="J45" t="str">
        <f>IF(OR(I45&gt;'Missing Values &amp; Outliers'!$K$8,I45&lt;'Missing Values &amp; Outliers'!$K$9),"O","NA")</f>
        <v>NA</v>
      </c>
      <c r="K45">
        <v>4420985</v>
      </c>
      <c r="L45" t="str">
        <f>IF(OR(K45&gt;'Missing Values &amp; Outliers'!$K$15,K45&lt;'Missing Values &amp; Outliers'!$K$16),"O","NA")</f>
        <v>NA</v>
      </c>
      <c r="M45">
        <v>86985677</v>
      </c>
      <c r="N45" s="17" t="s">
        <v>155</v>
      </c>
    </row>
    <row r="46" spans="1:14" x14ac:dyDescent="0.3">
      <c r="A46" t="s">
        <v>26</v>
      </c>
      <c r="B46" t="s">
        <v>31</v>
      </c>
      <c r="C46" s="1">
        <v>45606</v>
      </c>
      <c r="D46" t="s">
        <v>47</v>
      </c>
      <c r="E46" t="s">
        <v>48</v>
      </c>
      <c r="F46" t="s">
        <v>88</v>
      </c>
      <c r="G46">
        <v>2105</v>
      </c>
      <c r="H46">
        <v>52642.2</v>
      </c>
      <c r="I46">
        <v>15468708</v>
      </c>
      <c r="J46" s="22" t="str">
        <f>IF(OR(I46&gt;'Missing Values &amp; Outliers'!$K$8,I46&lt;'Missing Values &amp; Outliers'!$K$9),"O","NA")</f>
        <v>O</v>
      </c>
      <c r="K46">
        <v>4334451</v>
      </c>
      <c r="L46" t="str">
        <f>IF(OR(K46&gt;'Missing Values &amp; Outliers'!$K$15,K46&lt;'Missing Values &amp; Outliers'!$K$16),"O","NA")</f>
        <v>NA</v>
      </c>
      <c r="M46">
        <v>105043029</v>
      </c>
      <c r="N46" s="17" t="s">
        <v>155</v>
      </c>
    </row>
    <row r="47" spans="1:14" x14ac:dyDescent="0.3">
      <c r="A47" t="s">
        <v>15</v>
      </c>
      <c r="B47" t="s">
        <v>51</v>
      </c>
      <c r="C47" s="1">
        <v>45512</v>
      </c>
      <c r="D47" t="s">
        <v>47</v>
      </c>
      <c r="E47" t="s">
        <v>48</v>
      </c>
      <c r="F47" t="s">
        <v>89</v>
      </c>
      <c r="G47">
        <v>737</v>
      </c>
      <c r="H47">
        <v>28345.200000000001</v>
      </c>
      <c r="I47">
        <v>3292404</v>
      </c>
      <c r="J47" t="str">
        <f>IF(OR(I47&gt;'Missing Values &amp; Outliers'!$K$8,I47&lt;'Missing Values &amp; Outliers'!$K$9),"O","NA")</f>
        <v>NA</v>
      </c>
      <c r="K47">
        <v>4566892</v>
      </c>
      <c r="L47" t="str">
        <f>IF(OR(K47&gt;'Missing Values &amp; Outliers'!$K$15,K47&lt;'Missing Values &amp; Outliers'!$K$16),"O","NA")</f>
        <v>NA</v>
      </c>
      <c r="M47">
        <v>23928844</v>
      </c>
      <c r="N47" s="17" t="s">
        <v>155</v>
      </c>
    </row>
    <row r="48" spans="1:14" x14ac:dyDescent="0.3">
      <c r="A48" t="s">
        <v>43</v>
      </c>
      <c r="B48" t="s">
        <v>24</v>
      </c>
      <c r="C48" s="1">
        <v>45654</v>
      </c>
      <c r="E48" t="s">
        <v>32</v>
      </c>
      <c r="F48" t="s">
        <v>90</v>
      </c>
      <c r="G48">
        <v>933</v>
      </c>
      <c r="H48">
        <v>31752</v>
      </c>
      <c r="I48">
        <v>5366088</v>
      </c>
      <c r="J48" t="str">
        <f>IF(OR(I48&gt;'Missing Values &amp; Outliers'!$K$8,I48&lt;'Missing Values &amp; Outliers'!$K$9),"O","NA")</f>
        <v>NA</v>
      </c>
      <c r="K48">
        <v>1334941</v>
      </c>
      <c r="L48" t="str">
        <f>IF(OR(K48&gt;'Missing Values &amp; Outliers'!$K$15,K48&lt;'Missing Values &amp; Outliers'!$K$16),"O","NA")</f>
        <v>NA</v>
      </c>
      <c r="M48">
        <v>36325645</v>
      </c>
      <c r="N48" s="17" t="s">
        <v>155</v>
      </c>
    </row>
    <row r="49" spans="1:14" x14ac:dyDescent="0.3">
      <c r="A49" t="s">
        <v>15</v>
      </c>
      <c r="B49" t="s">
        <v>19</v>
      </c>
      <c r="C49" s="1">
        <v>45467</v>
      </c>
      <c r="D49" t="s">
        <v>28</v>
      </c>
      <c r="E49" t="s">
        <v>29</v>
      </c>
      <c r="F49" t="s">
        <v>91</v>
      </c>
      <c r="G49">
        <v>4503</v>
      </c>
      <c r="H49">
        <v>7651</v>
      </c>
      <c r="I49">
        <v>1361878</v>
      </c>
      <c r="J49" t="str">
        <f>IF(OR(I49&gt;'Missing Values &amp; Outliers'!$K$8,I49&lt;'Missing Values &amp; Outliers'!$K$9),"O","NA")</f>
        <v>NA</v>
      </c>
      <c r="K49">
        <v>2805968</v>
      </c>
      <c r="L49" t="str">
        <f>IF(OR(K49&gt;'Missing Values &amp; Outliers'!$K$15,K49&lt;'Missing Values &amp; Outliers'!$K$16),"O","NA")</f>
        <v>NA</v>
      </c>
      <c r="M49">
        <v>38620299</v>
      </c>
      <c r="N49" s="17" t="s">
        <v>155</v>
      </c>
    </row>
    <row r="50" spans="1:14" x14ac:dyDescent="0.3">
      <c r="A50" t="s">
        <v>45</v>
      </c>
      <c r="B50" t="s">
        <v>65</v>
      </c>
      <c r="C50" s="1">
        <v>45423</v>
      </c>
      <c r="D50" t="s">
        <v>58</v>
      </c>
      <c r="E50" t="s">
        <v>59</v>
      </c>
      <c r="F50" t="s">
        <v>92</v>
      </c>
      <c r="G50">
        <v>2615.1999999999998</v>
      </c>
      <c r="H50">
        <v>6000</v>
      </c>
      <c r="I50">
        <v>2094000</v>
      </c>
      <c r="J50" t="str">
        <f>IF(OR(I50&gt;'Missing Values &amp; Outliers'!$K$8,I50&lt;'Missing Values &amp; Outliers'!$K$9),"O","NA")</f>
        <v>NA</v>
      </c>
      <c r="K50">
        <v>3409793</v>
      </c>
      <c r="L50" t="str">
        <f>IF(OR(K50&gt;'Missing Values &amp; Outliers'!$K$15,K50&lt;'Missing Values &amp; Outliers'!$K$16),"O","NA")</f>
        <v>NA</v>
      </c>
      <c r="M50">
        <v>16711793</v>
      </c>
      <c r="N50" s="17" t="s">
        <v>155</v>
      </c>
    </row>
    <row r="51" spans="1:14" x14ac:dyDescent="0.3">
      <c r="A51" t="s">
        <v>45</v>
      </c>
      <c r="B51" t="s">
        <v>31</v>
      </c>
      <c r="C51" s="1">
        <v>45386</v>
      </c>
      <c r="D51" t="s">
        <v>47</v>
      </c>
      <c r="E51" t="s">
        <v>48</v>
      </c>
      <c r="F51" t="s">
        <v>93</v>
      </c>
      <c r="G51">
        <v>4046</v>
      </c>
      <c r="H51">
        <v>32925.1</v>
      </c>
      <c r="I51">
        <v>4356244</v>
      </c>
      <c r="J51" t="str">
        <f>IF(OR(I51&gt;'Missing Values &amp; Outliers'!$K$8,I51&lt;'Missing Values &amp; Outliers'!$K$9),"O","NA")</f>
        <v>NA</v>
      </c>
      <c r="K51">
        <v>1785594</v>
      </c>
      <c r="L51" t="str">
        <f>IF(OR(K51&gt;'Missing Values &amp; Outliers'!$K$15,K51&lt;'Missing Values &amp; Outliers'!$K$16),"O","NA")</f>
        <v>NA</v>
      </c>
      <c r="M51">
        <v>108614880</v>
      </c>
      <c r="N51" s="17" t="s">
        <v>155</v>
      </c>
    </row>
    <row r="52" spans="1:14" x14ac:dyDescent="0.3">
      <c r="A52" t="s">
        <v>23</v>
      </c>
      <c r="B52" t="s">
        <v>27</v>
      </c>
      <c r="C52" s="1">
        <v>45318</v>
      </c>
      <c r="D52" t="s">
        <v>20</v>
      </c>
      <c r="E52" t="s">
        <v>21</v>
      </c>
      <c r="F52" t="s">
        <v>94</v>
      </c>
      <c r="G52">
        <v>4613</v>
      </c>
      <c r="H52">
        <v>9412.2000000000007</v>
      </c>
      <c r="I52">
        <v>5580090</v>
      </c>
      <c r="J52" t="str">
        <f>IF(OR(I52&gt;'Missing Values &amp; Outliers'!$K$8,I52&lt;'Missing Values &amp; Outliers'!$K$9),"O","NA")</f>
        <v>NA</v>
      </c>
      <c r="K52">
        <v>4314798</v>
      </c>
      <c r="L52" t="str">
        <f>IF(OR(K52&gt;'Missing Values &amp; Outliers'!$K$15,K52&lt;'Missing Values &amp; Outliers'!$K$16),"O","NA")</f>
        <v>NA</v>
      </c>
      <c r="M52">
        <v>54199458</v>
      </c>
      <c r="N52" s="17" t="s">
        <v>155</v>
      </c>
    </row>
    <row r="53" spans="1:14" x14ac:dyDescent="0.3">
      <c r="A53" t="s">
        <v>23</v>
      </c>
      <c r="B53" t="s">
        <v>24</v>
      </c>
      <c r="C53" s="1">
        <v>45499</v>
      </c>
      <c r="D53" t="s">
        <v>28</v>
      </c>
      <c r="E53" t="s">
        <v>29</v>
      </c>
      <c r="F53" t="s">
        <v>95</v>
      </c>
      <c r="G53">
        <v>3437</v>
      </c>
      <c r="H53">
        <v>17457</v>
      </c>
      <c r="I53">
        <v>4800675</v>
      </c>
      <c r="J53" t="str">
        <f>IF(OR(I53&gt;'Missing Values &amp; Outliers'!$K$8,I53&lt;'Missing Values &amp; Outliers'!$K$9),"O","NA")</f>
        <v>NA</v>
      </c>
      <c r="K53">
        <v>3816903</v>
      </c>
      <c r="L53" t="str">
        <f>IF(OR(K53&gt;'Missing Values &amp; Outliers'!$K$15,K53&lt;'Missing Values &amp; Outliers'!$K$16),"O","NA")</f>
        <v>NA</v>
      </c>
      <c r="M53">
        <v>68617287</v>
      </c>
      <c r="N53" s="17" t="s">
        <v>155</v>
      </c>
    </row>
    <row r="54" spans="1:14" x14ac:dyDescent="0.3">
      <c r="A54" t="s">
        <v>45</v>
      </c>
      <c r="B54" t="s">
        <v>31</v>
      </c>
      <c r="C54" s="1">
        <v>45543</v>
      </c>
      <c r="E54" t="s">
        <v>52</v>
      </c>
      <c r="F54" t="s">
        <v>30</v>
      </c>
      <c r="G54">
        <v>2167</v>
      </c>
      <c r="H54">
        <v>23456</v>
      </c>
      <c r="I54">
        <v>8068864</v>
      </c>
      <c r="J54" t="str">
        <f>IF(OR(I54&gt;'Missing Values &amp; Outliers'!$K$8,I54&lt;'Missing Values &amp; Outliers'!$K$9),"O","NA")</f>
        <v>NA</v>
      </c>
      <c r="K54">
        <v>4892379</v>
      </c>
      <c r="L54" t="str">
        <f>IF(OR(K54&gt;'Missing Values &amp; Outliers'!$K$15,K54&lt;'Missing Values &amp; Outliers'!$K$16),"O","NA")</f>
        <v>NA</v>
      </c>
      <c r="M54">
        <v>63790395</v>
      </c>
      <c r="N54" s="17" t="s">
        <v>155</v>
      </c>
    </row>
    <row r="55" spans="1:14" x14ac:dyDescent="0.3">
      <c r="A55" t="s">
        <v>23</v>
      </c>
      <c r="B55" t="s">
        <v>24</v>
      </c>
      <c r="C55" s="1">
        <v>45607</v>
      </c>
      <c r="D55" t="s">
        <v>20</v>
      </c>
      <c r="E55" t="s">
        <v>21</v>
      </c>
      <c r="F55" t="s">
        <v>96</v>
      </c>
      <c r="G55">
        <v>2289</v>
      </c>
      <c r="H55">
        <v>12636.4</v>
      </c>
      <c r="I55">
        <v>5054560</v>
      </c>
      <c r="J55" t="str">
        <f>IF(OR(I55&gt;'Missing Values &amp; Outliers'!$K$8,I55&lt;'Missing Values &amp; Outliers'!$K$9),"O","NA")</f>
        <v>NA</v>
      </c>
      <c r="K55">
        <v>11048770</v>
      </c>
      <c r="L55" s="22" t="str">
        <f>IF(OR(K55&gt;'Missing Values &amp; Outliers'!$K$15,K55&lt;'Missing Values &amp; Outliers'!$K$16),"O","NA")</f>
        <v>O</v>
      </c>
      <c r="M55">
        <v>36779334</v>
      </c>
      <c r="N55" s="17" t="s">
        <v>155</v>
      </c>
    </row>
    <row r="56" spans="1:14" x14ac:dyDescent="0.3">
      <c r="A56" t="s">
        <v>15</v>
      </c>
      <c r="B56" t="s">
        <v>27</v>
      </c>
      <c r="C56" s="1">
        <v>45635</v>
      </c>
      <c r="E56" t="s">
        <v>17</v>
      </c>
      <c r="F56" t="s">
        <v>97</v>
      </c>
      <c r="G56">
        <v>2495</v>
      </c>
      <c r="H56">
        <v>26922</v>
      </c>
      <c r="I56">
        <v>12868716</v>
      </c>
      <c r="J56" t="str">
        <f>IF(OR(I56&gt;'Missing Values &amp; Outliers'!$K$8,I56&lt;'Missing Values &amp; Outliers'!$K$9),"O","NA")</f>
        <v>NA</v>
      </c>
      <c r="K56">
        <v>4865146</v>
      </c>
      <c r="L56" t="str">
        <f>IF(OR(K56&gt;'Missing Values &amp; Outliers'!$K$15,K56&lt;'Missing Values &amp; Outliers'!$K$16),"O","NA")</f>
        <v>NA</v>
      </c>
      <c r="M56">
        <v>339617008</v>
      </c>
      <c r="N56" s="17" t="s">
        <v>155</v>
      </c>
    </row>
    <row r="57" spans="1:14" x14ac:dyDescent="0.3">
      <c r="A57" t="s">
        <v>50</v>
      </c>
      <c r="B57" t="s">
        <v>27</v>
      </c>
      <c r="C57" s="1">
        <v>45304</v>
      </c>
      <c r="D57" t="s">
        <v>20</v>
      </c>
      <c r="E57" t="s">
        <v>21</v>
      </c>
      <c r="F57" t="s">
        <v>72</v>
      </c>
      <c r="G57">
        <v>1244.5999999999999</v>
      </c>
      <c r="H57">
        <v>23400.3</v>
      </c>
      <c r="I57">
        <v>10463277</v>
      </c>
      <c r="J57" t="str">
        <f>IF(OR(I57&gt;'Missing Values &amp; Outliers'!$K$8,I57&lt;'Missing Values &amp; Outliers'!$K$9),"O","NA")</f>
        <v>NA</v>
      </c>
      <c r="K57">
        <v>1325646</v>
      </c>
      <c r="L57" t="str">
        <f>IF(OR(K57&gt;'Missing Values &amp; Outliers'!$K$15,K57&lt;'Missing Values &amp; Outliers'!$K$16),"O","NA")</f>
        <v>NA</v>
      </c>
      <c r="M57">
        <v>41507304</v>
      </c>
      <c r="N57" s="17" t="s">
        <v>155</v>
      </c>
    </row>
    <row r="58" spans="1:14" x14ac:dyDescent="0.3">
      <c r="A58" t="s">
        <v>43</v>
      </c>
      <c r="B58" t="s">
        <v>46</v>
      </c>
      <c r="C58" s="1">
        <v>45509</v>
      </c>
      <c r="E58" t="s">
        <v>37</v>
      </c>
      <c r="F58" t="s">
        <v>98</v>
      </c>
      <c r="G58">
        <v>4120</v>
      </c>
      <c r="H58" s="6">
        <f>'Missing Values &amp; Outliers'!$E$13</f>
        <v>20798.88</v>
      </c>
      <c r="I58">
        <v>4873518</v>
      </c>
      <c r="J58" t="str">
        <f>IF(OR(I58&gt;'Missing Values &amp; Outliers'!$K$8,I58&lt;'Missing Values &amp; Outliers'!$K$9),"O","NA")</f>
        <v>NA</v>
      </c>
      <c r="K58">
        <v>2422363</v>
      </c>
      <c r="L58" t="str">
        <f>IF(OR(K58&gt;'Missing Values &amp; Outliers'!$K$15,K58&lt;'Missing Values &amp; Outliers'!$K$16),"O","NA")</f>
        <v>NA</v>
      </c>
      <c r="M58">
        <v>93103121</v>
      </c>
      <c r="N58" s="17" t="s">
        <v>155</v>
      </c>
    </row>
    <row r="59" spans="1:14" x14ac:dyDescent="0.3">
      <c r="A59" t="s">
        <v>50</v>
      </c>
      <c r="B59" t="s">
        <v>24</v>
      </c>
      <c r="C59" s="1">
        <v>45448</v>
      </c>
      <c r="E59" t="s">
        <v>37</v>
      </c>
      <c r="F59" t="s">
        <v>99</v>
      </c>
      <c r="G59" s="4">
        <f>'Missing Values &amp; Outliers'!$E$5</f>
        <v>2910.2168421052634</v>
      </c>
      <c r="H59" s="6">
        <f>'Missing Values &amp; Outliers'!$E$13</f>
        <v>20798.88</v>
      </c>
      <c r="I59">
        <v>4728492</v>
      </c>
      <c r="J59" t="str">
        <f>IF(OR(I59&gt;'Missing Values &amp; Outliers'!$K$8,I59&lt;'Missing Values &amp; Outliers'!$K$9),"O","NA")</f>
        <v>NA</v>
      </c>
      <c r="K59">
        <v>3476973</v>
      </c>
      <c r="L59" t="str">
        <f>IF(OR(K59&gt;'Missing Values &amp; Outliers'!$K$15,K59&lt;'Missing Values &amp; Outliers'!$K$16),"O","NA")</f>
        <v>NA</v>
      </c>
      <c r="M59">
        <v>15717666</v>
      </c>
      <c r="N59" s="17" t="s">
        <v>155</v>
      </c>
    </row>
    <row r="60" spans="1:14" x14ac:dyDescent="0.3">
      <c r="A60" t="s">
        <v>67</v>
      </c>
      <c r="B60" t="s">
        <v>54</v>
      </c>
      <c r="C60" s="1">
        <v>45326</v>
      </c>
      <c r="D60" t="s">
        <v>20</v>
      </c>
      <c r="E60" t="s">
        <v>21</v>
      </c>
      <c r="F60" t="s">
        <v>100</v>
      </c>
      <c r="G60">
        <v>4459</v>
      </c>
      <c r="H60">
        <v>19021.099999999999</v>
      </c>
      <c r="I60">
        <v>9592069</v>
      </c>
      <c r="J60" t="str">
        <f>IF(OR(I60&gt;'Missing Values &amp; Outliers'!$K$8,I60&lt;'Missing Values &amp; Outliers'!$K$9),"O","NA")</f>
        <v>NA</v>
      </c>
      <c r="K60">
        <v>3713395</v>
      </c>
      <c r="L60" t="str">
        <f>IF(OR(K60&gt;'Missing Values &amp; Outliers'!$K$15,K60&lt;'Missing Values &amp; Outliers'!$K$16),"O","NA")</f>
        <v>NA</v>
      </c>
      <c r="M60">
        <v>99851469</v>
      </c>
      <c r="N60" s="17" t="s">
        <v>155</v>
      </c>
    </row>
    <row r="61" spans="1:14" x14ac:dyDescent="0.3">
      <c r="A61" t="s">
        <v>15</v>
      </c>
      <c r="B61" t="s">
        <v>31</v>
      </c>
      <c r="C61" s="1">
        <v>45431</v>
      </c>
      <c r="E61" t="s">
        <v>37</v>
      </c>
      <c r="F61" t="s">
        <v>60</v>
      </c>
      <c r="G61" s="4">
        <f>'Missing Values &amp; Outliers'!$E$5</f>
        <v>2910.2168421052634</v>
      </c>
      <c r="H61">
        <v>31020</v>
      </c>
      <c r="I61">
        <v>10701900</v>
      </c>
      <c r="J61" t="str">
        <f>IF(OR(I61&gt;'Missing Values &amp; Outliers'!$K$8,I61&lt;'Missing Values &amp; Outliers'!$K$9),"O","NA")</f>
        <v>NA</v>
      </c>
      <c r="K61">
        <v>854727</v>
      </c>
      <c r="L61" t="str">
        <f>IF(OR(K61&gt;'Missing Values &amp; Outliers'!$K$15,K61&lt;'Missing Values &amp; Outliers'!$K$16),"O","NA")</f>
        <v>NA</v>
      </c>
      <c r="M61">
        <v>122856387</v>
      </c>
      <c r="N61" s="17" t="s">
        <v>155</v>
      </c>
    </row>
    <row r="62" spans="1:14" x14ac:dyDescent="0.3">
      <c r="A62" t="s">
        <v>36</v>
      </c>
      <c r="B62" t="s">
        <v>31</v>
      </c>
      <c r="C62" s="1">
        <v>45583</v>
      </c>
      <c r="E62" t="s">
        <v>32</v>
      </c>
      <c r="F62" t="s">
        <v>101</v>
      </c>
      <c r="G62" s="4">
        <f>'Missing Values &amp; Outliers'!$E$5</f>
        <v>2910.2168421052634</v>
      </c>
      <c r="H62">
        <v>5456</v>
      </c>
      <c r="I62">
        <v>1085744</v>
      </c>
      <c r="J62" t="str">
        <f>IF(OR(I62&gt;'Missing Values &amp; Outliers'!$K$8,I62&lt;'Missing Values &amp; Outliers'!$K$9),"O","NA")</f>
        <v>NA</v>
      </c>
      <c r="K62">
        <v>3936852</v>
      </c>
      <c r="L62" t="str">
        <f>IF(OR(K62&gt;'Missing Values &amp; Outliers'!$K$15,K62&lt;'Missing Values &amp; Outliers'!$K$16),"O","NA")</f>
        <v>NA</v>
      </c>
      <c r="M62">
        <v>19235476</v>
      </c>
      <c r="N62" s="17" t="s">
        <v>155</v>
      </c>
    </row>
    <row r="63" spans="1:14" x14ac:dyDescent="0.3">
      <c r="A63" t="s">
        <v>26</v>
      </c>
      <c r="B63" t="s">
        <v>31</v>
      </c>
      <c r="C63" s="1">
        <v>45484</v>
      </c>
      <c r="D63" t="s">
        <v>28</v>
      </c>
      <c r="E63" t="s">
        <v>29</v>
      </c>
      <c r="F63" t="s">
        <v>102</v>
      </c>
      <c r="G63">
        <v>4134</v>
      </c>
      <c r="H63" s="6">
        <f>'Missing Values &amp; Outliers'!$E$13</f>
        <v>20798.88</v>
      </c>
      <c r="I63">
        <v>15825404</v>
      </c>
      <c r="J63" s="22" t="str">
        <f>IF(OR(I63&gt;'Missing Values &amp; Outliers'!$K$8,I63&lt;'Missing Values &amp; Outliers'!$K$9),"O","NA")</f>
        <v>O</v>
      </c>
      <c r="K63">
        <v>3103482</v>
      </c>
      <c r="L63" t="str">
        <f>IF(OR(K63&gt;'Missing Values &amp; Outliers'!$K$15,K63&lt;'Missing Values &amp; Outliers'!$K$16),"O","NA")</f>
        <v>NA</v>
      </c>
      <c r="M63">
        <v>184975130</v>
      </c>
      <c r="N63" s="17" t="s">
        <v>155</v>
      </c>
    </row>
    <row r="64" spans="1:14" x14ac:dyDescent="0.3">
      <c r="A64" t="s">
        <v>36</v>
      </c>
      <c r="B64" t="s">
        <v>24</v>
      </c>
      <c r="C64" s="1">
        <v>45486</v>
      </c>
      <c r="E64" t="s">
        <v>41</v>
      </c>
      <c r="F64" t="s">
        <v>103</v>
      </c>
      <c r="G64">
        <v>5391.4</v>
      </c>
      <c r="H64">
        <v>11355</v>
      </c>
      <c r="I64">
        <v>2305065</v>
      </c>
      <c r="J64" t="str">
        <f>IF(OR(I64&gt;'Missing Values &amp; Outliers'!$K$8,I64&lt;'Missing Values &amp; Outliers'!$K$9),"O","NA")</f>
        <v>NA</v>
      </c>
      <c r="K64">
        <v>1958821</v>
      </c>
      <c r="L64" t="str">
        <f>IF(OR(K64&gt;'Missing Values &amp; Outliers'!$K$15,K64&lt;'Missing Values &amp; Outliers'!$K$16),"O","NA")</f>
        <v>NA</v>
      </c>
      <c r="M64">
        <v>191967964</v>
      </c>
      <c r="N64" s="17" t="s">
        <v>155</v>
      </c>
    </row>
    <row r="65" spans="1:14" x14ac:dyDescent="0.3">
      <c r="A65" t="s">
        <v>43</v>
      </c>
      <c r="B65" t="s">
        <v>16</v>
      </c>
      <c r="C65" s="1">
        <v>45457</v>
      </c>
      <c r="D65" t="s">
        <v>28</v>
      </c>
      <c r="E65" t="s">
        <v>29</v>
      </c>
      <c r="F65" t="s">
        <v>104</v>
      </c>
      <c r="G65" s="4">
        <f>'Missing Values &amp; Outliers'!$E$5</f>
        <v>2910.2168421052634</v>
      </c>
      <c r="H65" s="6">
        <f>'Missing Values &amp; Outliers'!$E$13</f>
        <v>20798.88</v>
      </c>
      <c r="I65">
        <v>3236079</v>
      </c>
      <c r="J65" t="str">
        <f>IF(OR(I65&gt;'Missing Values &amp; Outliers'!$K$8,I65&lt;'Missing Values &amp; Outliers'!$K$9),"O","NA")</f>
        <v>NA</v>
      </c>
      <c r="K65">
        <v>3039149</v>
      </c>
      <c r="L65" t="str">
        <f>IF(OR(K65&gt;'Missing Values &amp; Outliers'!$K$15,K65&lt;'Missing Values &amp; Outliers'!$K$16),"O","NA")</f>
        <v>NA</v>
      </c>
      <c r="M65">
        <v>24290802</v>
      </c>
      <c r="N65" s="17" t="s">
        <v>155</v>
      </c>
    </row>
    <row r="66" spans="1:14" x14ac:dyDescent="0.3">
      <c r="A66" t="s">
        <v>67</v>
      </c>
      <c r="B66" t="s">
        <v>27</v>
      </c>
      <c r="C66" s="1">
        <v>45292</v>
      </c>
      <c r="E66" t="s">
        <v>17</v>
      </c>
      <c r="F66" t="s">
        <v>105</v>
      </c>
      <c r="G66">
        <v>3769</v>
      </c>
      <c r="H66">
        <v>35877</v>
      </c>
      <c r="I66">
        <v>5489181</v>
      </c>
      <c r="J66" t="str">
        <f>IF(OR(I66&gt;'Missing Values &amp; Outliers'!$K$8,I66&lt;'Missing Values &amp; Outliers'!$K$9),"O","NA")</f>
        <v>NA</v>
      </c>
      <c r="K66">
        <v>8648395</v>
      </c>
      <c r="L66" s="22" t="str">
        <f>IF(OR(K66&gt;'Missing Values &amp; Outliers'!$K$15,K66&lt;'Missing Values &amp; Outliers'!$K$16),"O","NA")</f>
        <v>O</v>
      </c>
      <c r="M66">
        <v>142439273</v>
      </c>
      <c r="N66" s="17" t="s">
        <v>155</v>
      </c>
    </row>
    <row r="67" spans="1:14" x14ac:dyDescent="0.3">
      <c r="A67" t="s">
        <v>50</v>
      </c>
      <c r="B67" t="s">
        <v>12</v>
      </c>
      <c r="C67" s="1">
        <v>45370</v>
      </c>
      <c r="E67" t="s">
        <v>13</v>
      </c>
      <c r="F67" t="s">
        <v>106</v>
      </c>
      <c r="G67">
        <v>2589</v>
      </c>
      <c r="H67">
        <v>8270</v>
      </c>
      <c r="I67">
        <v>1563030</v>
      </c>
      <c r="J67" t="str">
        <f>IF(OR(I67&gt;'Missing Values &amp; Outliers'!$K$8,I67&lt;'Missing Values &amp; Outliers'!$K$9),"O","NA")</f>
        <v>NA</v>
      </c>
      <c r="K67">
        <v>3564057</v>
      </c>
      <c r="L67" t="str">
        <f>IF(OR(K67&gt;'Missing Values &amp; Outliers'!$K$15,K67&lt;'Missing Values &amp; Outliers'!$K$16),"O","NA")</f>
        <v>NA</v>
      </c>
      <c r="M67">
        <v>106152468</v>
      </c>
      <c r="N67" s="17" t="s">
        <v>155</v>
      </c>
    </row>
    <row r="68" spans="1:14" x14ac:dyDescent="0.3">
      <c r="A68" t="s">
        <v>43</v>
      </c>
      <c r="B68" t="s">
        <v>27</v>
      </c>
      <c r="C68" s="1">
        <v>45616</v>
      </c>
      <c r="D68" t="s">
        <v>58</v>
      </c>
      <c r="E68" t="s">
        <v>59</v>
      </c>
      <c r="F68" t="s">
        <v>107</v>
      </c>
      <c r="G68">
        <v>1867.6</v>
      </c>
      <c r="H68">
        <v>46028</v>
      </c>
      <c r="I68">
        <v>20068208</v>
      </c>
      <c r="J68" s="22" t="str">
        <f>IF(OR(I68&gt;'Missing Values &amp; Outliers'!$K$8,I68&lt;'Missing Values &amp; Outliers'!$K$9),"O","NA")</f>
        <v>O</v>
      </c>
      <c r="K68">
        <v>2266980</v>
      </c>
      <c r="L68" t="str">
        <f>IF(OR(K68&gt;'Missing Values &amp; Outliers'!$K$15,K68&lt;'Missing Values &amp; Outliers'!$K$16),"O","NA")</f>
        <v>NA</v>
      </c>
      <c r="M68">
        <v>83736540</v>
      </c>
      <c r="N68" s="17" t="s">
        <v>155</v>
      </c>
    </row>
    <row r="69" spans="1:14" x14ac:dyDescent="0.3">
      <c r="A69" t="s">
        <v>36</v>
      </c>
      <c r="B69" t="s">
        <v>24</v>
      </c>
      <c r="C69" s="1">
        <v>45420</v>
      </c>
      <c r="E69" t="s">
        <v>17</v>
      </c>
      <c r="F69" t="s">
        <v>108</v>
      </c>
      <c r="G69">
        <v>4078</v>
      </c>
      <c r="H69">
        <v>9560</v>
      </c>
      <c r="I69">
        <v>3795320</v>
      </c>
      <c r="J69" t="str">
        <f>IF(OR(I69&gt;'Missing Values &amp; Outliers'!$K$8,I69&lt;'Missing Values &amp; Outliers'!$K$9),"O","NA")</f>
        <v>NA</v>
      </c>
      <c r="K69">
        <v>2303574</v>
      </c>
      <c r="L69" t="str">
        <f>IF(OR(K69&gt;'Missing Values &amp; Outliers'!$K$15,K69&lt;'Missing Values &amp; Outliers'!$K$16),"O","NA")</f>
        <v>NA</v>
      </c>
      <c r="M69">
        <v>45084574</v>
      </c>
      <c r="N69" s="17" t="s">
        <v>155</v>
      </c>
    </row>
    <row r="70" spans="1:14" x14ac:dyDescent="0.3">
      <c r="A70" t="s">
        <v>67</v>
      </c>
      <c r="B70" t="s">
        <v>24</v>
      </c>
      <c r="C70" s="1">
        <v>45368</v>
      </c>
      <c r="D70" t="s">
        <v>28</v>
      </c>
      <c r="E70" t="s">
        <v>29</v>
      </c>
      <c r="F70" t="s">
        <v>109</v>
      </c>
      <c r="G70">
        <v>1381</v>
      </c>
      <c r="H70">
        <v>13578</v>
      </c>
      <c r="I70">
        <v>5336154</v>
      </c>
      <c r="J70" t="str">
        <f>IF(OR(I70&gt;'Missing Values &amp; Outliers'!$K$8,I70&lt;'Missing Values &amp; Outliers'!$K$9),"O","NA")</f>
        <v>NA</v>
      </c>
      <c r="K70">
        <v>1442642</v>
      </c>
      <c r="L70" t="str">
        <f>IF(OR(K70&gt;'Missing Values &amp; Outliers'!$K$15,K70&lt;'Missing Values &amp; Outliers'!$K$16),"O","NA")</f>
        <v>NA</v>
      </c>
      <c r="M70">
        <v>25530014</v>
      </c>
      <c r="N70" s="17" t="s">
        <v>155</v>
      </c>
    </row>
    <row r="71" spans="1:14" x14ac:dyDescent="0.3">
      <c r="A71" t="s">
        <v>11</v>
      </c>
      <c r="B71" t="s">
        <v>46</v>
      </c>
      <c r="C71" s="1">
        <v>45525</v>
      </c>
      <c r="E71" t="s">
        <v>41</v>
      </c>
      <c r="F71" t="s">
        <v>110</v>
      </c>
      <c r="G71">
        <v>6914.6</v>
      </c>
      <c r="H71">
        <v>40916</v>
      </c>
      <c r="I71">
        <v>19926092</v>
      </c>
      <c r="J71" s="22" t="str">
        <f>IF(OR(I71&gt;'Missing Values &amp; Outliers'!$K$8,I71&lt;'Missing Values &amp; Outliers'!$K$9),"O","NA")</f>
        <v>O</v>
      </c>
      <c r="K71">
        <v>3643451</v>
      </c>
      <c r="L71" t="str">
        <f>IF(OR(K71&gt;'Missing Values &amp; Outliers'!$K$15,K71&lt;'Missing Values &amp; Outliers'!$K$16),"O","NA")</f>
        <v>NA</v>
      </c>
      <c r="M71">
        <v>225653667</v>
      </c>
      <c r="N71" s="17" t="s">
        <v>155</v>
      </c>
    </row>
    <row r="72" spans="1:14" x14ac:dyDescent="0.3">
      <c r="A72" t="s">
        <v>23</v>
      </c>
      <c r="B72" t="s">
        <v>65</v>
      </c>
      <c r="C72" s="1">
        <v>45506</v>
      </c>
      <c r="E72" t="s">
        <v>17</v>
      </c>
      <c r="F72" t="s">
        <v>111</v>
      </c>
      <c r="G72">
        <v>2817</v>
      </c>
      <c r="H72">
        <v>13994</v>
      </c>
      <c r="I72">
        <v>6689132</v>
      </c>
      <c r="J72" t="str">
        <f>IF(OR(I72&gt;'Missing Values &amp; Outliers'!$K$8,I72&lt;'Missing Values &amp; Outliers'!$K$9),"O","NA")</f>
        <v>NA</v>
      </c>
      <c r="K72">
        <v>3519113</v>
      </c>
      <c r="L72" t="str">
        <f>IF(OR(K72&gt;'Missing Values &amp; Outliers'!$K$15,K72&lt;'Missing Values &amp; Outliers'!$K$16),"O","NA")</f>
        <v>NA</v>
      </c>
      <c r="M72">
        <v>49629343</v>
      </c>
      <c r="N72" s="17" t="s">
        <v>155</v>
      </c>
    </row>
    <row r="73" spans="1:14" x14ac:dyDescent="0.3">
      <c r="A73" t="s">
        <v>67</v>
      </c>
      <c r="B73" t="s">
        <v>19</v>
      </c>
      <c r="C73" s="1">
        <v>45317</v>
      </c>
      <c r="E73" t="s">
        <v>13</v>
      </c>
      <c r="F73" t="s">
        <v>112</v>
      </c>
      <c r="G73">
        <v>2937</v>
      </c>
      <c r="H73">
        <v>14499</v>
      </c>
      <c r="I73">
        <v>7177005</v>
      </c>
      <c r="J73" t="str">
        <f>IF(OR(I73&gt;'Missing Values &amp; Outliers'!$K$8,I73&lt;'Missing Values &amp; Outliers'!$K$9),"O","NA")</f>
        <v>NA</v>
      </c>
      <c r="K73">
        <v>1341541</v>
      </c>
      <c r="L73" t="str">
        <f>IF(OR(K73&gt;'Missing Values &amp; Outliers'!$K$15,K73&lt;'Missing Values &amp; Outliers'!$K$16),"O","NA")</f>
        <v>NA</v>
      </c>
      <c r="M73">
        <v>51102109</v>
      </c>
      <c r="N73" s="17" t="s">
        <v>155</v>
      </c>
    </row>
    <row r="74" spans="1:14" x14ac:dyDescent="0.3">
      <c r="A74" t="s">
        <v>43</v>
      </c>
      <c r="B74" t="s">
        <v>27</v>
      </c>
      <c r="C74" s="1">
        <v>45568</v>
      </c>
      <c r="E74" t="s">
        <v>41</v>
      </c>
      <c r="F74" t="s">
        <v>113</v>
      </c>
      <c r="G74">
        <v>3235.4</v>
      </c>
      <c r="H74">
        <v>15002</v>
      </c>
      <c r="I74">
        <v>3975530</v>
      </c>
      <c r="J74" t="str">
        <f>IF(OR(I74&gt;'Missing Values &amp; Outliers'!$K$8,I74&lt;'Missing Values &amp; Outliers'!$K$9),"O","NA")</f>
        <v>NA</v>
      </c>
      <c r="K74">
        <v>4947667</v>
      </c>
      <c r="L74" t="str">
        <f>IF(OR(K74&gt;'Missing Values &amp; Outliers'!$K$15,K74&lt;'Missing Values &amp; Outliers'!$K$16),"O","NA")</f>
        <v>NA</v>
      </c>
      <c r="M74">
        <v>43592819</v>
      </c>
      <c r="N74" s="17" t="s">
        <v>155</v>
      </c>
    </row>
    <row r="75" spans="1:14" x14ac:dyDescent="0.3">
      <c r="A75" t="s">
        <v>11</v>
      </c>
      <c r="B75" t="s">
        <v>24</v>
      </c>
      <c r="C75" s="1">
        <v>45339</v>
      </c>
      <c r="E75" t="s">
        <v>41</v>
      </c>
      <c r="F75" t="s">
        <v>114</v>
      </c>
      <c r="G75">
        <v>2224.6</v>
      </c>
      <c r="H75">
        <v>23169</v>
      </c>
      <c r="I75">
        <v>5630067</v>
      </c>
      <c r="J75" t="str">
        <f>IF(OR(I75&gt;'Missing Values &amp; Outliers'!$K$8,I75&lt;'Missing Values &amp; Outliers'!$K$9),"O","NA")</f>
        <v>NA</v>
      </c>
      <c r="K75">
        <v>4471729</v>
      </c>
      <c r="L75" t="str">
        <f>IF(OR(K75&gt;'Missing Values &amp; Outliers'!$K$15,K75&lt;'Missing Values &amp; Outliers'!$K$16),"O","NA")</f>
        <v>NA</v>
      </c>
      <c r="M75">
        <v>46917337</v>
      </c>
      <c r="N75" s="17" t="s">
        <v>155</v>
      </c>
    </row>
    <row r="76" spans="1:14" x14ac:dyDescent="0.3">
      <c r="A76" t="s">
        <v>45</v>
      </c>
      <c r="B76" t="s">
        <v>27</v>
      </c>
      <c r="C76" s="1">
        <v>45616</v>
      </c>
      <c r="E76" t="s">
        <v>41</v>
      </c>
      <c r="F76" t="s">
        <v>115</v>
      </c>
      <c r="G76">
        <v>2679.6</v>
      </c>
      <c r="H76" s="6">
        <f>'Missing Values &amp; Outliers'!$E$13</f>
        <v>20798.88</v>
      </c>
      <c r="I76">
        <v>1370391</v>
      </c>
      <c r="J76" t="str">
        <f>IF(OR(I76&gt;'Missing Values &amp; Outliers'!$K$8,I76&lt;'Missing Values &amp; Outliers'!$K$9),"O","NA")</f>
        <v>NA</v>
      </c>
      <c r="K76">
        <v>1953924</v>
      </c>
      <c r="L76" t="str">
        <f>IF(OR(K76&gt;'Missing Values &amp; Outliers'!$K$15,K76&lt;'Missing Values &amp; Outliers'!$K$16),"O","NA")</f>
        <v>NA</v>
      </c>
      <c r="M76">
        <v>23346669</v>
      </c>
      <c r="N76" s="17" t="s">
        <v>155</v>
      </c>
    </row>
    <row r="77" spans="1:14" x14ac:dyDescent="0.3">
      <c r="A77" t="s">
        <v>50</v>
      </c>
      <c r="B77" t="s">
        <v>46</v>
      </c>
      <c r="C77" s="1">
        <v>45345</v>
      </c>
      <c r="E77" t="s">
        <v>32</v>
      </c>
      <c r="F77" t="s">
        <v>116</v>
      </c>
      <c r="G77">
        <v>2567</v>
      </c>
      <c r="H77">
        <v>4240</v>
      </c>
      <c r="I77">
        <v>1861360</v>
      </c>
      <c r="J77" t="str">
        <f>IF(OR(I77&gt;'Missing Values &amp; Outliers'!$K$8,I77&lt;'Missing Values &amp; Outliers'!$K$9),"O","NA")</f>
        <v>NA</v>
      </c>
      <c r="K77">
        <v>1698282</v>
      </c>
      <c r="L77" t="str">
        <f>IF(OR(K77&gt;'Missing Values &amp; Outliers'!$K$15,K77&lt;'Missing Values &amp; Outliers'!$K$16),"O","NA")</f>
        <v>NA</v>
      </c>
      <c r="M77">
        <v>14443722</v>
      </c>
      <c r="N77" s="17" t="s">
        <v>155</v>
      </c>
    </row>
    <row r="78" spans="1:14" x14ac:dyDescent="0.3">
      <c r="A78" t="s">
        <v>26</v>
      </c>
      <c r="B78" t="s">
        <v>16</v>
      </c>
      <c r="C78" s="1">
        <v>45543</v>
      </c>
      <c r="D78" t="s">
        <v>20</v>
      </c>
      <c r="E78" t="s">
        <v>21</v>
      </c>
      <c r="F78" t="s">
        <v>90</v>
      </c>
      <c r="G78">
        <v>6972</v>
      </c>
      <c r="H78">
        <v>21681.1</v>
      </c>
      <c r="I78">
        <v>13875904</v>
      </c>
      <c r="J78" t="str">
        <f>IF(OR(I78&gt;'Missing Values &amp; Outliers'!$K$8,I78&lt;'Missing Values &amp; Outliers'!$K$9),"O","NA")</f>
        <v>NA</v>
      </c>
      <c r="K78">
        <v>2510128</v>
      </c>
      <c r="L78" t="str">
        <f>IF(OR(K78&gt;'Missing Values &amp; Outliers'!$K$15,K78&lt;'Missing Values &amp; Outliers'!$K$16),"O","NA")</f>
        <v>NA</v>
      </c>
      <c r="M78">
        <v>170631572</v>
      </c>
      <c r="N78" s="17" t="s">
        <v>155</v>
      </c>
    </row>
    <row r="79" spans="1:14" x14ac:dyDescent="0.3">
      <c r="A79" t="s">
        <v>26</v>
      </c>
      <c r="B79" t="s">
        <v>46</v>
      </c>
      <c r="C79" s="1">
        <v>45510</v>
      </c>
      <c r="E79" t="s">
        <v>17</v>
      </c>
      <c r="F79" t="s">
        <v>117</v>
      </c>
      <c r="G79" s="4">
        <f>'Missing Values &amp; Outliers'!$E$5</f>
        <v>2910.2168421052634</v>
      </c>
      <c r="H79">
        <v>32900</v>
      </c>
      <c r="I79">
        <v>6777400</v>
      </c>
      <c r="J79" t="str">
        <f>IF(OR(I79&gt;'Missing Values &amp; Outliers'!$K$8,I79&lt;'Missing Values &amp; Outliers'!$K$9),"O","NA")</f>
        <v>NA</v>
      </c>
      <c r="K79">
        <v>3584230</v>
      </c>
      <c r="L79" t="str">
        <f>IF(OR(K79&gt;'Missing Values &amp; Outliers'!$K$15,K79&lt;'Missing Values &amp; Outliers'!$K$16),"O","NA")</f>
        <v>NA</v>
      </c>
      <c r="M79">
        <v>126301230</v>
      </c>
      <c r="N79" s="17" t="s">
        <v>155</v>
      </c>
    </row>
    <row r="80" spans="1:14" x14ac:dyDescent="0.3">
      <c r="A80" t="s">
        <v>43</v>
      </c>
      <c r="B80" t="s">
        <v>46</v>
      </c>
      <c r="C80" s="1">
        <v>45609</v>
      </c>
      <c r="D80" t="s">
        <v>20</v>
      </c>
      <c r="E80" t="s">
        <v>21</v>
      </c>
      <c r="F80" t="s">
        <v>118</v>
      </c>
      <c r="G80">
        <v>4765.6000000000004</v>
      </c>
      <c r="H80">
        <v>11366.6</v>
      </c>
      <c r="I80">
        <v>6933626</v>
      </c>
      <c r="J80" t="str">
        <f>IF(OR(I80&gt;'Missing Values &amp; Outliers'!$K$8,I80&lt;'Missing Values &amp; Outliers'!$K$9),"O","NA")</f>
        <v>NA</v>
      </c>
      <c r="K80">
        <v>2380633</v>
      </c>
      <c r="L80" t="str">
        <f>IF(OR(K80&gt;'Missing Values &amp; Outliers'!$K$15,K80&lt;'Missing Values &amp; Outliers'!$K$16),"O","NA")</f>
        <v>NA</v>
      </c>
      <c r="M80">
        <v>64588411</v>
      </c>
      <c r="N80" s="17" t="s">
        <v>155</v>
      </c>
    </row>
    <row r="81" spans="1:14" x14ac:dyDescent="0.3">
      <c r="A81" t="s">
        <v>45</v>
      </c>
      <c r="B81" t="s">
        <v>16</v>
      </c>
      <c r="C81" s="1">
        <v>45414</v>
      </c>
      <c r="E81" t="s">
        <v>37</v>
      </c>
      <c r="F81" t="s">
        <v>119</v>
      </c>
      <c r="G81">
        <v>3243</v>
      </c>
      <c r="H81">
        <v>5362</v>
      </c>
      <c r="I81">
        <v>739956</v>
      </c>
      <c r="J81" t="str">
        <f>IF(OR(I81&gt;'Missing Values &amp; Outliers'!$K$8,I81&lt;'Missing Values &amp; Outliers'!$K$9),"O","NA")</f>
        <v>NA</v>
      </c>
      <c r="K81">
        <v>4259028</v>
      </c>
      <c r="L81" t="str">
        <f>IF(OR(K81&gt;'Missing Values &amp; Outliers'!$K$15,K81&lt;'Missing Values &amp; Outliers'!$K$16),"O","NA")</f>
        <v>NA</v>
      </c>
      <c r="M81">
        <v>22387950</v>
      </c>
      <c r="N81" s="17" t="s">
        <v>155</v>
      </c>
    </row>
    <row r="82" spans="1:14" x14ac:dyDescent="0.3">
      <c r="A82" t="s">
        <v>45</v>
      </c>
      <c r="B82" t="s">
        <v>65</v>
      </c>
      <c r="C82" s="1">
        <v>45531</v>
      </c>
      <c r="E82" t="s">
        <v>52</v>
      </c>
      <c r="F82" t="s">
        <v>120</v>
      </c>
      <c r="G82">
        <v>1599</v>
      </c>
      <c r="H82">
        <v>6748</v>
      </c>
      <c r="I82">
        <v>1005452</v>
      </c>
      <c r="J82" t="str">
        <f>IF(OR(I82&gt;'Missing Values &amp; Outliers'!$K$8,I82&lt;'Missing Values &amp; Outliers'!$K$9),"O","NA")</f>
        <v>NA</v>
      </c>
      <c r="K82">
        <v>3330904</v>
      </c>
      <c r="L82" t="str">
        <f>IF(OR(K82&gt;'Missing Values &amp; Outliers'!$K$15,K82&lt;'Missing Values &amp; Outliers'!$K$16),"O","NA")</f>
        <v>NA</v>
      </c>
      <c r="M82">
        <v>15126408</v>
      </c>
      <c r="N82" s="17" t="s">
        <v>155</v>
      </c>
    </row>
    <row r="83" spans="1:14" x14ac:dyDescent="0.3">
      <c r="A83" t="s">
        <v>45</v>
      </c>
      <c r="B83" t="s">
        <v>31</v>
      </c>
      <c r="C83" s="1">
        <v>45326</v>
      </c>
      <c r="D83" t="s">
        <v>28</v>
      </c>
      <c r="E83" t="s">
        <v>29</v>
      </c>
      <c r="F83" t="s">
        <v>121</v>
      </c>
      <c r="G83">
        <v>1180</v>
      </c>
      <c r="H83">
        <v>11979</v>
      </c>
      <c r="I83">
        <v>3114540</v>
      </c>
      <c r="J83" t="str">
        <f>IF(OR(I83&gt;'Missing Values &amp; Outliers'!$K$8,I83&lt;'Missing Values &amp; Outliers'!$K$9),"O","NA")</f>
        <v>NA</v>
      </c>
      <c r="K83">
        <v>2375872</v>
      </c>
      <c r="L83" t="str">
        <f>IF(OR(K83&gt;'Missing Values &amp; Outliers'!$K$15,K83&lt;'Missing Values &amp; Outliers'!$K$16),"O","NA")</f>
        <v>NA</v>
      </c>
      <c r="M83">
        <v>19625632</v>
      </c>
      <c r="N83" s="17" t="s">
        <v>155</v>
      </c>
    </row>
    <row r="84" spans="1:14" x14ac:dyDescent="0.3">
      <c r="A84" t="s">
        <v>39</v>
      </c>
      <c r="B84" t="s">
        <v>12</v>
      </c>
      <c r="C84" s="1">
        <v>45601</v>
      </c>
      <c r="D84" t="s">
        <v>47</v>
      </c>
      <c r="E84" t="s">
        <v>48</v>
      </c>
      <c r="F84" t="s">
        <v>122</v>
      </c>
      <c r="G84">
        <v>3928</v>
      </c>
      <c r="H84">
        <v>45372.6</v>
      </c>
      <c r="I84">
        <v>14623938</v>
      </c>
      <c r="J84" t="str">
        <f>IF(OR(I84&gt;'Missing Values &amp; Outliers'!$K$8,I84&lt;'Missing Values &amp; Outliers'!$K$9),"O","NA")</f>
        <v>NA</v>
      </c>
      <c r="K84">
        <v>962979</v>
      </c>
      <c r="L84" t="str">
        <f>IF(OR(K84&gt;'Missing Values &amp; Outliers'!$K$15,K84&lt;'Missing Values &amp; Outliers'!$K$16),"O","NA")</f>
        <v>NA</v>
      </c>
      <c r="M84">
        <v>152681973</v>
      </c>
      <c r="N84" s="17" t="s">
        <v>155</v>
      </c>
    </row>
    <row r="85" spans="1:14" x14ac:dyDescent="0.3">
      <c r="A85" t="s">
        <v>39</v>
      </c>
      <c r="B85" t="s">
        <v>31</v>
      </c>
      <c r="C85" s="1">
        <v>45401</v>
      </c>
      <c r="E85" t="s">
        <v>52</v>
      </c>
      <c r="F85" t="s">
        <v>123</v>
      </c>
      <c r="G85">
        <v>929</v>
      </c>
      <c r="H85">
        <v>17678</v>
      </c>
      <c r="I85">
        <v>4118974</v>
      </c>
      <c r="J85" t="str">
        <f>IF(OR(I85&gt;'Missing Values &amp; Outliers'!$K$8,I85&lt;'Missing Values &amp; Outliers'!$K$9),"O","NA")</f>
        <v>NA</v>
      </c>
      <c r="K85">
        <v>3432767</v>
      </c>
      <c r="L85" t="str">
        <f>IF(OR(K85&gt;'Missing Values &amp; Outliers'!$K$15,K85&lt;'Missing Values &amp; Outliers'!$K$16),"O","NA")</f>
        <v>NA</v>
      </c>
      <c r="M85">
        <v>23974603</v>
      </c>
      <c r="N85" s="17" t="s">
        <v>155</v>
      </c>
    </row>
    <row r="86" spans="1:14" x14ac:dyDescent="0.3">
      <c r="A86" t="s">
        <v>39</v>
      </c>
      <c r="B86" t="s">
        <v>19</v>
      </c>
      <c r="C86" s="1">
        <v>45454</v>
      </c>
      <c r="E86" t="s">
        <v>13</v>
      </c>
      <c r="F86" t="s">
        <v>124</v>
      </c>
      <c r="G86">
        <v>1824</v>
      </c>
      <c r="H86">
        <v>11076</v>
      </c>
      <c r="I86">
        <v>2193048</v>
      </c>
      <c r="J86" t="str">
        <f>IF(OR(I86&gt;'Missing Values &amp; Outliers'!$K$8,I86&lt;'Missing Values &amp; Outliers'!$K$9),"O","NA")</f>
        <v>NA</v>
      </c>
      <c r="K86">
        <v>4584685</v>
      </c>
      <c r="L86" t="str">
        <f>IF(OR(K86&gt;'Missing Values &amp; Outliers'!$K$15,K86&lt;'Missing Values &amp; Outliers'!$K$16),"O","NA")</f>
        <v>NA</v>
      </c>
      <c r="M86">
        <v>26980357</v>
      </c>
      <c r="N86" s="17" t="s">
        <v>155</v>
      </c>
    </row>
    <row r="87" spans="1:14" x14ac:dyDescent="0.3">
      <c r="A87" t="s">
        <v>15</v>
      </c>
      <c r="B87" t="s">
        <v>51</v>
      </c>
      <c r="C87" s="1">
        <v>45385</v>
      </c>
      <c r="D87" t="s">
        <v>28</v>
      </c>
      <c r="E87" t="s">
        <v>29</v>
      </c>
      <c r="F87" t="s">
        <v>125</v>
      </c>
      <c r="G87">
        <v>3034</v>
      </c>
      <c r="H87">
        <v>9525</v>
      </c>
      <c r="I87">
        <v>1266825</v>
      </c>
      <c r="J87" t="str">
        <f>IF(OR(I87&gt;'Missing Values &amp; Outliers'!$K$8,I87&lt;'Missing Values &amp; Outliers'!$K$9),"O","NA")</f>
        <v>NA</v>
      </c>
      <c r="K87">
        <v>659581</v>
      </c>
      <c r="L87" t="str">
        <f>IF(OR(K87&gt;'Missing Values &amp; Outliers'!$K$15,K87&lt;'Missing Values &amp; Outliers'!$K$16),"O","NA")</f>
        <v>NA</v>
      </c>
      <c r="M87">
        <v>30825256</v>
      </c>
      <c r="N87" s="17" t="s">
        <v>155</v>
      </c>
    </row>
    <row r="88" spans="1:14" x14ac:dyDescent="0.3">
      <c r="A88" t="s">
        <v>43</v>
      </c>
      <c r="B88" t="s">
        <v>54</v>
      </c>
      <c r="C88" s="1">
        <v>45611</v>
      </c>
      <c r="D88" t="s">
        <v>58</v>
      </c>
      <c r="E88" t="s">
        <v>59</v>
      </c>
      <c r="F88" t="s">
        <v>66</v>
      </c>
      <c r="G88">
        <v>798</v>
      </c>
      <c r="H88" s="6">
        <f>'Missing Values &amp; Outliers'!$E$13</f>
        <v>20798.88</v>
      </c>
      <c r="I88">
        <v>4874352</v>
      </c>
      <c r="J88" t="str">
        <f>IF(OR(I88&gt;'Missing Values &amp; Outliers'!$K$8,I88&lt;'Missing Values &amp; Outliers'!$K$9),"O","NA")</f>
        <v>NA</v>
      </c>
      <c r="K88">
        <v>1012227</v>
      </c>
      <c r="L88" t="str">
        <f>IF(OR(K88&gt;'Missing Values &amp; Outliers'!$K$15,K88&lt;'Missing Values &amp; Outliers'!$K$16),"O","NA")</f>
        <v>NA</v>
      </c>
      <c r="M88">
        <v>16292499</v>
      </c>
      <c r="N88" s="17" t="s">
        <v>155</v>
      </c>
    </row>
    <row r="89" spans="1:14" x14ac:dyDescent="0.3">
      <c r="A89" t="s">
        <v>23</v>
      </c>
      <c r="B89" t="s">
        <v>27</v>
      </c>
      <c r="C89" s="1">
        <v>45636</v>
      </c>
      <c r="D89" t="s">
        <v>28</v>
      </c>
      <c r="E89" t="s">
        <v>29</v>
      </c>
      <c r="F89" t="s">
        <v>126</v>
      </c>
      <c r="G89">
        <v>2753</v>
      </c>
      <c r="H89">
        <v>7762</v>
      </c>
      <c r="I89">
        <v>2227694</v>
      </c>
      <c r="J89" t="str">
        <f>IF(OR(I89&gt;'Missing Values &amp; Outliers'!$K$8,I89&lt;'Missing Values &amp; Outliers'!$K$9),"O","NA")</f>
        <v>NA</v>
      </c>
      <c r="K89">
        <v>3105094</v>
      </c>
      <c r="L89" t="str">
        <f>IF(OR(K89&gt;'Missing Values &amp; Outliers'!$K$15,K89&lt;'Missing Values &amp; Outliers'!$K$16),"O","NA")</f>
        <v>NA</v>
      </c>
      <c r="M89">
        <v>26701574</v>
      </c>
      <c r="N89" s="17" t="s">
        <v>155</v>
      </c>
    </row>
    <row r="90" spans="1:14" x14ac:dyDescent="0.3">
      <c r="A90" t="s">
        <v>50</v>
      </c>
      <c r="B90" t="s">
        <v>27</v>
      </c>
      <c r="C90" s="1">
        <v>45303</v>
      </c>
      <c r="D90" t="s">
        <v>28</v>
      </c>
      <c r="E90" t="s">
        <v>29</v>
      </c>
      <c r="F90" t="s">
        <v>127</v>
      </c>
      <c r="G90">
        <v>2609</v>
      </c>
      <c r="H90">
        <v>27598</v>
      </c>
      <c r="I90">
        <v>13467824</v>
      </c>
      <c r="J90" t="str">
        <f>IF(OR(I90&gt;'Missing Values &amp; Outliers'!$K$8,I90&lt;'Missing Values &amp; Outliers'!$K$9),"O","NA")</f>
        <v>NA</v>
      </c>
      <c r="K90">
        <v>3310368</v>
      </c>
      <c r="L90" t="str">
        <f>IF(OR(K90&gt;'Missing Values &amp; Outliers'!$K$15,K90&lt;'Missing Values &amp; Outliers'!$K$16),"O","NA")</f>
        <v>NA</v>
      </c>
      <c r="M90">
        <v>88781374</v>
      </c>
      <c r="N90" s="17" t="s">
        <v>155</v>
      </c>
    </row>
    <row r="91" spans="1:14" x14ac:dyDescent="0.3">
      <c r="A91" t="s">
        <v>36</v>
      </c>
      <c r="B91" t="s">
        <v>51</v>
      </c>
      <c r="C91" s="1">
        <v>45324</v>
      </c>
      <c r="D91" t="s">
        <v>28</v>
      </c>
      <c r="E91" t="s">
        <v>29</v>
      </c>
      <c r="F91" t="s">
        <v>128</v>
      </c>
      <c r="G91">
        <v>4418</v>
      </c>
      <c r="H91">
        <v>8702</v>
      </c>
      <c r="I91">
        <v>3280654</v>
      </c>
      <c r="J91" t="str">
        <f>IF(OR(I91&gt;'Missing Values &amp; Outliers'!$K$8,I91&lt;'Missing Values &amp; Outliers'!$K$9),"O","NA")</f>
        <v>NA</v>
      </c>
      <c r="K91">
        <v>615109</v>
      </c>
      <c r="L91" t="str">
        <f>IF(OR(K91&gt;'Missing Values &amp; Outliers'!$K$15,K91&lt;'Missing Values &amp; Outliers'!$K$16),"O","NA")</f>
        <v>NA</v>
      </c>
      <c r="M91">
        <v>42341199</v>
      </c>
      <c r="N91" s="17" t="s">
        <v>155</v>
      </c>
    </row>
    <row r="92" spans="1:14" x14ac:dyDescent="0.3">
      <c r="A92" t="s">
        <v>23</v>
      </c>
      <c r="B92" t="s">
        <v>19</v>
      </c>
      <c r="C92" s="1">
        <v>45328</v>
      </c>
      <c r="E92" t="s">
        <v>37</v>
      </c>
      <c r="F92" t="s">
        <v>129</v>
      </c>
      <c r="G92">
        <v>4849</v>
      </c>
      <c r="H92">
        <v>8214</v>
      </c>
      <c r="I92">
        <v>1667442</v>
      </c>
      <c r="J92" t="str">
        <f>IF(OR(I92&gt;'Missing Values &amp; Outliers'!$K$8,I92&lt;'Missing Values &amp; Outliers'!$K$9),"O","NA")</f>
        <v>NA</v>
      </c>
      <c r="K92">
        <v>4255125</v>
      </c>
      <c r="L92" t="str">
        <f>IF(OR(K92&gt;'Missing Values &amp; Outliers'!$K$15,K92&lt;'Missing Values &amp; Outliers'!$K$16),"O","NA")</f>
        <v>NA</v>
      </c>
      <c r="M92">
        <v>45752253</v>
      </c>
      <c r="N92" s="17" t="s">
        <v>155</v>
      </c>
    </row>
    <row r="93" spans="1:14" x14ac:dyDescent="0.3">
      <c r="A93" t="s">
        <v>45</v>
      </c>
      <c r="B93" t="s">
        <v>54</v>
      </c>
      <c r="C93" s="1">
        <v>45639</v>
      </c>
      <c r="D93" t="s">
        <v>20</v>
      </c>
      <c r="E93" t="s">
        <v>21</v>
      </c>
      <c r="F93" t="s">
        <v>92</v>
      </c>
      <c r="G93">
        <v>1750</v>
      </c>
      <c r="H93" s="6">
        <f>'Missing Values &amp; Outliers'!$E$13</f>
        <v>20798.88</v>
      </c>
      <c r="I93">
        <v>4231825</v>
      </c>
      <c r="J93" t="str">
        <f>IF(OR(I93&gt;'Missing Values &amp; Outliers'!$K$8,I93&lt;'Missing Values &amp; Outliers'!$K$9),"O","NA")</f>
        <v>NA</v>
      </c>
      <c r="K93">
        <v>3268157</v>
      </c>
      <c r="L93" t="str">
        <f>IF(OR(K93&gt;'Missing Values &amp; Outliers'!$K$15,K93&lt;'Missing Values &amp; Outliers'!$K$16),"O","NA")</f>
        <v>NA</v>
      </c>
      <c r="M93">
        <v>21531232</v>
      </c>
      <c r="N93" s="17" t="s">
        <v>155</v>
      </c>
    </row>
    <row r="94" spans="1:14" x14ac:dyDescent="0.3">
      <c r="A94" t="s">
        <v>43</v>
      </c>
      <c r="B94" t="s">
        <v>31</v>
      </c>
      <c r="C94" s="1">
        <v>45425</v>
      </c>
      <c r="E94" t="s">
        <v>41</v>
      </c>
      <c r="F94" t="s">
        <v>130</v>
      </c>
      <c r="G94">
        <v>4279.8</v>
      </c>
      <c r="H94">
        <v>18095</v>
      </c>
      <c r="I94">
        <v>4089470</v>
      </c>
      <c r="J94" t="str">
        <f>IF(OR(I94&gt;'Missing Values &amp; Outliers'!$K$8,I94&lt;'Missing Values &amp; Outliers'!$K$9),"O","NA")</f>
        <v>NA</v>
      </c>
      <c r="K94">
        <v>1719569</v>
      </c>
      <c r="L94" t="str">
        <f>IF(OR(K94&gt;'Missing Values &amp; Outliers'!$K$15,K94&lt;'Missing Values &amp; Outliers'!$K$16),"O","NA")</f>
        <v>NA</v>
      </c>
      <c r="M94">
        <v>61125454</v>
      </c>
      <c r="N94" s="17" t="s">
        <v>155</v>
      </c>
    </row>
    <row r="95" spans="1:14" x14ac:dyDescent="0.3">
      <c r="A95" t="s">
        <v>36</v>
      </c>
      <c r="B95" t="s">
        <v>31</v>
      </c>
      <c r="C95" s="1">
        <v>45481</v>
      </c>
      <c r="E95" t="s">
        <v>32</v>
      </c>
      <c r="F95" t="s">
        <v>131</v>
      </c>
      <c r="G95">
        <v>3586</v>
      </c>
      <c r="H95">
        <v>38295</v>
      </c>
      <c r="I95">
        <v>5476185</v>
      </c>
      <c r="J95" t="str">
        <f>IF(OR(I95&gt;'Missing Values &amp; Outliers'!$K$8,I95&lt;'Missing Values &amp; Outliers'!$K$9),"O","NA")</f>
        <v>NA</v>
      </c>
      <c r="K95">
        <v>887815</v>
      </c>
      <c r="L95" t="str">
        <f>IF(OR(K95&gt;'Missing Values &amp; Outliers'!$K$15,K95&lt;'Missing Values &amp; Outliers'!$K$16),"O","NA")</f>
        <v>NA</v>
      </c>
      <c r="M95">
        <v>143689870</v>
      </c>
      <c r="N95" s="17" t="s">
        <v>155</v>
      </c>
    </row>
    <row r="96" spans="1:14" x14ac:dyDescent="0.3">
      <c r="A96" t="s">
        <v>45</v>
      </c>
      <c r="B96" t="s">
        <v>24</v>
      </c>
      <c r="C96" s="1">
        <v>45632</v>
      </c>
      <c r="E96" t="s">
        <v>32</v>
      </c>
      <c r="F96" t="s">
        <v>132</v>
      </c>
      <c r="G96">
        <v>3782</v>
      </c>
      <c r="H96">
        <v>39893</v>
      </c>
      <c r="I96">
        <v>6263201</v>
      </c>
      <c r="J96" t="str">
        <f>IF(OR(I96&gt;'Missing Values &amp; Outliers'!$K$8,I96&lt;'Missing Values &amp; Outliers'!$K$9),"O","NA")</f>
        <v>NA</v>
      </c>
      <c r="K96">
        <v>6333350</v>
      </c>
      <c r="L96" t="str">
        <f>IF(OR(K96&gt;'Missing Values &amp; Outliers'!$K$15,K96&lt;'Missing Values &amp; Outliers'!$K$16),"O","NA")</f>
        <v>NA</v>
      </c>
      <c r="M96">
        <v>158405197</v>
      </c>
      <c r="N96" s="17" t="s">
        <v>155</v>
      </c>
    </row>
    <row r="97" spans="1:14" x14ac:dyDescent="0.3">
      <c r="A97" t="s">
        <v>36</v>
      </c>
      <c r="B97" t="s">
        <v>19</v>
      </c>
      <c r="C97" s="1">
        <v>45507</v>
      </c>
      <c r="D97" t="s">
        <v>58</v>
      </c>
      <c r="E97" t="s">
        <v>59</v>
      </c>
      <c r="F97" t="s">
        <v>133</v>
      </c>
      <c r="G97">
        <v>4834.2</v>
      </c>
      <c r="H97">
        <v>14283</v>
      </c>
      <c r="I97">
        <v>5356125</v>
      </c>
      <c r="J97" t="str">
        <f>IF(OR(I97&gt;'Missing Values &amp; Outliers'!$K$8,I97&lt;'Missing Values &amp; Outliers'!$K$9),"O","NA")</f>
        <v>NA</v>
      </c>
      <c r="K97">
        <v>1549672</v>
      </c>
      <c r="L97" t="str">
        <f>IF(OR(K97&gt;'Missing Values &amp; Outliers'!$K$15,K97&lt;'Missing Values &amp; Outliers'!$K$16),"O","NA")</f>
        <v>NA</v>
      </c>
      <c r="M97">
        <v>56224996</v>
      </c>
      <c r="N97" s="17" t="s">
        <v>155</v>
      </c>
    </row>
    <row r="98" spans="1:14" x14ac:dyDescent="0.3">
      <c r="A98" t="s">
        <v>36</v>
      </c>
      <c r="B98" t="s">
        <v>12</v>
      </c>
      <c r="C98" s="1">
        <v>45353</v>
      </c>
      <c r="E98" t="s">
        <v>13</v>
      </c>
      <c r="F98" t="s">
        <v>134</v>
      </c>
      <c r="G98">
        <v>4286</v>
      </c>
      <c r="H98">
        <v>8925</v>
      </c>
      <c r="I98">
        <v>2722125</v>
      </c>
      <c r="J98" t="str">
        <f>IF(OR(I98&gt;'Missing Values &amp; Outliers'!$K$8,I98&lt;'Missing Values &amp; Outliers'!$K$9),"O","NA")</f>
        <v>NA</v>
      </c>
      <c r="K98">
        <v>896661</v>
      </c>
      <c r="L98" t="str">
        <f>IF(OR(K98&gt;'Missing Values &amp; Outliers'!$K$15,K98&lt;'Missing Values &amp; Outliers'!$K$16),"O","NA")</f>
        <v>NA</v>
      </c>
      <c r="M98">
        <v>41871336</v>
      </c>
      <c r="N98" s="17" t="s">
        <v>155</v>
      </c>
    </row>
    <row r="99" spans="1:14" x14ac:dyDescent="0.3">
      <c r="A99" t="s">
        <v>26</v>
      </c>
      <c r="B99" t="s">
        <v>16</v>
      </c>
      <c r="C99" s="1">
        <v>45427</v>
      </c>
      <c r="D99" t="s">
        <v>28</v>
      </c>
      <c r="E99" t="s">
        <v>29</v>
      </c>
      <c r="F99" t="s">
        <v>135</v>
      </c>
      <c r="G99" s="4">
        <f>'Missing Values &amp; Outliers'!$E$5</f>
        <v>2910.2168421052634</v>
      </c>
      <c r="H99">
        <v>4885</v>
      </c>
      <c r="I99">
        <v>1734175</v>
      </c>
      <c r="J99" t="str">
        <f>IF(OR(I99&gt;'Missing Values &amp; Outliers'!$K$8,I99&lt;'Missing Values &amp; Outliers'!$K$9),"O","NA")</f>
        <v>NA</v>
      </c>
      <c r="K99">
        <v>4292613</v>
      </c>
      <c r="L99" t="str">
        <f>IF(OR(K99&gt;'Missing Values &amp; Outliers'!$K$15,K99&lt;'Missing Values &amp; Outliers'!$K$16),"O","NA")</f>
        <v>NA</v>
      </c>
      <c r="M99">
        <v>23891233</v>
      </c>
      <c r="N99" s="17" t="s">
        <v>155</v>
      </c>
    </row>
    <row r="100" spans="1:14" x14ac:dyDescent="0.3">
      <c r="A100" t="s">
        <v>26</v>
      </c>
      <c r="B100" t="s">
        <v>27</v>
      </c>
      <c r="C100" s="1">
        <v>45647</v>
      </c>
      <c r="E100" t="s">
        <v>17</v>
      </c>
      <c r="F100" t="s">
        <v>93</v>
      </c>
      <c r="G100">
        <v>4529</v>
      </c>
      <c r="H100">
        <v>4425</v>
      </c>
      <c r="I100">
        <v>584100</v>
      </c>
      <c r="J100" t="str">
        <f>IF(OR(I100&gt;'Missing Values &amp; Outliers'!$K$8,I100&lt;'Missing Values &amp; Outliers'!$K$9),"O","NA")</f>
        <v>NA</v>
      </c>
      <c r="K100">
        <v>2385440</v>
      </c>
      <c r="L100" t="str">
        <f>IF(OR(K100&gt;'Missing Values &amp; Outliers'!$K$15,K100&lt;'Missing Values &amp; Outliers'!$K$16),"O","NA")</f>
        <v>NA</v>
      </c>
      <c r="M100">
        <v>23010365</v>
      </c>
      <c r="N100" s="17" t="s">
        <v>155</v>
      </c>
    </row>
    <row r="101" spans="1:14" x14ac:dyDescent="0.3">
      <c r="A101" t="s">
        <v>15</v>
      </c>
      <c r="B101" t="s">
        <v>24</v>
      </c>
      <c r="C101" s="1">
        <v>45499</v>
      </c>
      <c r="E101" t="s">
        <v>32</v>
      </c>
      <c r="F101" t="s">
        <v>136</v>
      </c>
      <c r="G101">
        <v>726</v>
      </c>
      <c r="H101">
        <v>37105</v>
      </c>
      <c r="I101">
        <v>14545160</v>
      </c>
      <c r="J101" t="str">
        <f>IF(OR(I101&gt;'Missing Values &amp; Outliers'!$K$8,I101&lt;'Missing Values &amp; Outliers'!$K$9),"O","NA")</f>
        <v>NA</v>
      </c>
      <c r="K101">
        <v>835232</v>
      </c>
      <c r="L101" t="str">
        <f>IF(OR(K101&gt;'Missing Values &amp; Outliers'!$K$15,K101&lt;'Missing Values &amp; Outliers'!$K$16),"O","NA")</f>
        <v>NA</v>
      </c>
      <c r="M101">
        <v>42318622</v>
      </c>
      <c r="N101" s="17" t="s">
        <v>155</v>
      </c>
    </row>
    <row r="102" spans="1:14" x14ac:dyDescent="0.3">
      <c r="A102" s="20" t="s">
        <v>67</v>
      </c>
      <c r="B102" s="20" t="s">
        <v>24</v>
      </c>
      <c r="C102" s="21">
        <v>45368</v>
      </c>
      <c r="D102" s="20" t="s">
        <v>28</v>
      </c>
      <c r="E102" s="20" t="s">
        <v>29</v>
      </c>
      <c r="F102" s="20" t="s">
        <v>109</v>
      </c>
      <c r="G102" s="20">
        <v>1381</v>
      </c>
      <c r="H102" s="20">
        <v>13578</v>
      </c>
      <c r="I102" s="20">
        <v>5336154</v>
      </c>
      <c r="J102" s="20" t="str">
        <f>IF(OR(I102&gt;'Missing Values &amp; Outliers'!$K$8,I102&lt;'Missing Values &amp; Outliers'!$K$9),"O","NA")</f>
        <v>NA</v>
      </c>
      <c r="K102" s="20">
        <v>1442642</v>
      </c>
      <c r="L102" s="20" t="str">
        <f>IF(OR(K102&gt;'Missing Values &amp; Outliers'!$K$15,K102&lt;'Missing Values &amp; Outliers'!$K$16),"O","NA")</f>
        <v>NA</v>
      </c>
      <c r="M102" s="20">
        <v>25530014</v>
      </c>
      <c r="N102" s="18" t="s">
        <v>156</v>
      </c>
    </row>
    <row r="103" spans="1:14" x14ac:dyDescent="0.3">
      <c r="A103" s="20" t="s">
        <v>43</v>
      </c>
      <c r="B103" s="20" t="s">
        <v>31</v>
      </c>
      <c r="C103" s="21">
        <v>45425</v>
      </c>
      <c r="D103" s="20"/>
      <c r="E103" s="20" t="s">
        <v>41</v>
      </c>
      <c r="F103" s="20" t="s">
        <v>130</v>
      </c>
      <c r="G103" s="20">
        <v>4279.8</v>
      </c>
      <c r="H103" s="20">
        <v>18095</v>
      </c>
      <c r="I103" s="20">
        <v>4089470</v>
      </c>
      <c r="J103" s="20" t="str">
        <f>IF(OR(I103&gt;'Missing Values &amp; Outliers'!$K$8,I103&lt;'Missing Values &amp; Outliers'!$K$9),"O","NA")</f>
        <v>NA</v>
      </c>
      <c r="K103" s="20">
        <v>1719569</v>
      </c>
      <c r="L103" s="20" t="str">
        <f>IF(OR(K103&gt;'Missing Values &amp; Outliers'!$K$15,K103&lt;'Missing Values &amp; Outliers'!$K$16),"O","NA")</f>
        <v>NA</v>
      </c>
      <c r="M103" s="20">
        <v>61125454</v>
      </c>
      <c r="N103" s="18" t="s">
        <v>156</v>
      </c>
    </row>
    <row r="104" spans="1:14" x14ac:dyDescent="0.3">
      <c r="A104" s="20" t="s">
        <v>11</v>
      </c>
      <c r="B104" s="20" t="s">
        <v>65</v>
      </c>
      <c r="C104" s="21">
        <v>45474</v>
      </c>
      <c r="D104" s="20"/>
      <c r="E104" s="20" t="s">
        <v>52</v>
      </c>
      <c r="F104" s="20" t="s">
        <v>66</v>
      </c>
      <c r="G104" s="20">
        <v>2334</v>
      </c>
      <c r="H104" s="20">
        <v>16842</v>
      </c>
      <c r="I104" s="20">
        <v>6905220</v>
      </c>
      <c r="J104" s="20" t="str">
        <f>IF(OR(I104&gt;'Missing Values &amp; Outliers'!$K$8,I104&lt;'Missing Values &amp; Outliers'!$K$9),"O","NA")</f>
        <v>NA</v>
      </c>
      <c r="K104" s="20">
        <v>1067015</v>
      </c>
      <c r="L104" s="20" t="str">
        <f>IF(OR(K104&gt;'Missing Values &amp; Outliers'!$K$15,K104&lt;'Missing Values &amp; Outliers'!$K$16),"O","NA")</f>
        <v>NA</v>
      </c>
      <c r="M104" s="20">
        <v>47281463</v>
      </c>
      <c r="N104" s="18" t="s">
        <v>156</v>
      </c>
    </row>
    <row r="105" spans="1:14" x14ac:dyDescent="0.3">
      <c r="A105" s="20" t="s">
        <v>39</v>
      </c>
      <c r="B105" s="20" t="s">
        <v>12</v>
      </c>
      <c r="C105" s="21">
        <v>45319</v>
      </c>
      <c r="D105" s="20"/>
      <c r="E105" s="20" t="s">
        <v>17</v>
      </c>
      <c r="F105" s="20" t="s">
        <v>40</v>
      </c>
      <c r="G105" s="20">
        <v>1823</v>
      </c>
      <c r="H105" s="20">
        <v>15513</v>
      </c>
      <c r="I105" s="20">
        <v>7539318</v>
      </c>
      <c r="J105" s="20" t="str">
        <f>IF(OR(I105&gt;'Missing Values &amp; Outliers'!$K$8,I105&lt;'Missing Values &amp; Outliers'!$K$9),"O","NA")</f>
        <v>NA</v>
      </c>
      <c r="K105" s="20">
        <v>3948781</v>
      </c>
      <c r="L105" s="20" t="str">
        <f>IF(OR(K105&gt;'Missing Values &amp; Outliers'!$K$15,K105&lt;'Missing Values &amp; Outliers'!$K$16),"O","NA")</f>
        <v>NA</v>
      </c>
      <c r="M105" s="20">
        <v>39768298</v>
      </c>
      <c r="N105" s="18" t="s">
        <v>156</v>
      </c>
    </row>
    <row r="106" spans="1:14" x14ac:dyDescent="0.3">
      <c r="A106" s="20" t="s">
        <v>11</v>
      </c>
      <c r="B106" s="20" t="s">
        <v>54</v>
      </c>
      <c r="C106" s="21">
        <v>45639</v>
      </c>
      <c r="D106" s="20"/>
      <c r="E106" s="20" t="s">
        <v>17</v>
      </c>
      <c r="F106" s="20" t="s">
        <v>73</v>
      </c>
      <c r="G106" s="20">
        <v>2948</v>
      </c>
      <c r="H106" s="20">
        <v>9316</v>
      </c>
      <c r="I106" s="20">
        <v>1266976</v>
      </c>
      <c r="J106" s="20" t="str">
        <f>IF(OR(I106&gt;'Missing Values &amp; Outliers'!$K$8,I106&lt;'Missing Values &amp; Outliers'!$K$9),"O","NA")</f>
        <v>NA</v>
      </c>
      <c r="K106" s="20">
        <v>2704822</v>
      </c>
      <c r="L106" s="20" t="str">
        <f>IF(OR(K106&gt;'Missing Values &amp; Outliers'!$K$15,K106&lt;'Missing Values &amp; Outliers'!$K$16),"O","NA")</f>
        <v>NA</v>
      </c>
      <c r="M106" s="20">
        <v>31435366</v>
      </c>
      <c r="N106" s="18" t="s">
        <v>156</v>
      </c>
    </row>
  </sheetData>
  <autoFilter ref="A1:N106" xr:uid="{89A62FDF-9BE7-4442-9225-E976E48CF4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BA12-8773-4356-80C0-C50C9A8980FE}">
  <sheetPr codeName="Sheet2"/>
  <dimension ref="A1:I15"/>
  <sheetViews>
    <sheetView workbookViewId="0"/>
  </sheetViews>
  <sheetFormatPr defaultRowHeight="14.4" x14ac:dyDescent="0.3"/>
  <cols>
    <col min="1" max="1" width="13.5546875" bestFit="1" customWidth="1"/>
    <col min="2" max="2" width="17.33203125" bestFit="1" customWidth="1"/>
    <col min="3" max="3" width="18.21875" bestFit="1" customWidth="1"/>
    <col min="4" max="4" width="25.109375" bestFit="1" customWidth="1"/>
    <col min="5" max="5" width="28.21875" bestFit="1" customWidth="1"/>
    <col min="6" max="6" width="22.109375" bestFit="1" customWidth="1"/>
    <col min="7" max="7" width="34" bestFit="1" customWidth="1"/>
    <col min="8" max="8" width="10.88671875" bestFit="1" customWidth="1"/>
    <col min="9" max="9" width="44.88671875" bestFit="1" customWidth="1"/>
  </cols>
  <sheetData>
    <row r="1" spans="1:9" x14ac:dyDescent="0.3">
      <c r="A1" s="2" t="s">
        <v>265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  <c r="I1" s="2" t="s">
        <v>273</v>
      </c>
    </row>
    <row r="2" spans="1:9" x14ac:dyDescent="0.3">
      <c r="A2" t="s">
        <v>48</v>
      </c>
      <c r="B2" t="s">
        <v>290</v>
      </c>
      <c r="C2">
        <v>2027</v>
      </c>
      <c r="D2">
        <v>33738</v>
      </c>
      <c r="E2">
        <v>46</v>
      </c>
      <c r="F2">
        <v>116</v>
      </c>
      <c r="G2">
        <v>22334556</v>
      </c>
      <c r="H2" t="s">
        <v>291</v>
      </c>
      <c r="I2" t="s">
        <v>292</v>
      </c>
    </row>
    <row r="3" spans="1:9" x14ac:dyDescent="0.3">
      <c r="A3" t="s">
        <v>17</v>
      </c>
      <c r="B3" t="s">
        <v>297</v>
      </c>
      <c r="C3">
        <v>1573</v>
      </c>
      <c r="D3">
        <v>35223</v>
      </c>
      <c r="E3">
        <v>34</v>
      </c>
      <c r="F3">
        <v>430</v>
      </c>
      <c r="G3">
        <v>25360560</v>
      </c>
      <c r="H3" t="s">
        <v>300</v>
      </c>
      <c r="I3" t="s">
        <v>301</v>
      </c>
    </row>
    <row r="4" spans="1:9" x14ac:dyDescent="0.3">
      <c r="A4" t="s">
        <v>32</v>
      </c>
      <c r="B4" t="s">
        <v>294</v>
      </c>
      <c r="C4">
        <v>1025</v>
      </c>
      <c r="D4">
        <v>11057</v>
      </c>
      <c r="E4">
        <v>12</v>
      </c>
      <c r="F4">
        <v>371</v>
      </c>
      <c r="G4">
        <v>7983154</v>
      </c>
      <c r="H4" t="s">
        <v>300</v>
      </c>
      <c r="I4" t="s">
        <v>302</v>
      </c>
    </row>
    <row r="5" spans="1:9" x14ac:dyDescent="0.3">
      <c r="A5" t="s">
        <v>29</v>
      </c>
      <c r="B5" t="s">
        <v>294</v>
      </c>
      <c r="C5">
        <v>2437</v>
      </c>
      <c r="D5">
        <v>25729</v>
      </c>
      <c r="E5">
        <v>30</v>
      </c>
      <c r="F5">
        <v>584</v>
      </c>
      <c r="G5">
        <v>18730712</v>
      </c>
      <c r="H5" t="s">
        <v>291</v>
      </c>
      <c r="I5" t="s">
        <v>303</v>
      </c>
    </row>
    <row r="6" spans="1:9" x14ac:dyDescent="0.3">
      <c r="A6" t="s">
        <v>59</v>
      </c>
      <c r="B6" t="s">
        <v>298</v>
      </c>
      <c r="C6">
        <v>3436</v>
      </c>
      <c r="D6">
        <v>18609</v>
      </c>
      <c r="E6">
        <v>55</v>
      </c>
      <c r="F6">
        <v>736</v>
      </c>
      <c r="G6">
        <v>4856949</v>
      </c>
      <c r="H6" t="s">
        <v>291</v>
      </c>
      <c r="I6" t="s">
        <v>304</v>
      </c>
    </row>
    <row r="7" spans="1:9" x14ac:dyDescent="0.3">
      <c r="A7" t="s">
        <v>21</v>
      </c>
      <c r="B7" t="s">
        <v>299</v>
      </c>
      <c r="C7">
        <v>992</v>
      </c>
      <c r="D7" s="26">
        <v>21632.555555555555</v>
      </c>
      <c r="E7">
        <v>30</v>
      </c>
      <c r="F7">
        <v>81</v>
      </c>
      <c r="G7">
        <v>8678356</v>
      </c>
      <c r="H7" t="s">
        <v>291</v>
      </c>
      <c r="I7" t="s">
        <v>305</v>
      </c>
    </row>
    <row r="8" spans="1:9" x14ac:dyDescent="0.3">
      <c r="A8" t="s">
        <v>41</v>
      </c>
      <c r="B8" t="s">
        <v>296</v>
      </c>
      <c r="C8">
        <v>1431</v>
      </c>
      <c r="D8">
        <v>19089</v>
      </c>
      <c r="E8">
        <v>32</v>
      </c>
      <c r="F8">
        <v>429</v>
      </c>
      <c r="G8">
        <v>10193526</v>
      </c>
      <c r="H8" t="s">
        <v>300</v>
      </c>
      <c r="I8" t="s">
        <v>306</v>
      </c>
    </row>
    <row r="9" spans="1:9" x14ac:dyDescent="0.3">
      <c r="A9" t="s">
        <v>52</v>
      </c>
      <c r="B9" t="s">
        <v>296</v>
      </c>
      <c r="C9">
        <v>2499</v>
      </c>
      <c r="D9">
        <v>11603</v>
      </c>
      <c r="E9">
        <v>43</v>
      </c>
      <c r="F9">
        <v>298</v>
      </c>
      <c r="G9">
        <v>6462871</v>
      </c>
      <c r="H9" t="s">
        <v>300</v>
      </c>
      <c r="I9" t="s">
        <v>307</v>
      </c>
    </row>
    <row r="10" spans="1:9" x14ac:dyDescent="0.3">
      <c r="A10" t="s">
        <v>13</v>
      </c>
      <c r="B10" t="s">
        <v>294</v>
      </c>
      <c r="C10">
        <v>3351</v>
      </c>
      <c r="D10">
        <v>36448</v>
      </c>
      <c r="E10">
        <v>33</v>
      </c>
      <c r="F10">
        <v>483</v>
      </c>
      <c r="G10">
        <v>20228640</v>
      </c>
      <c r="H10" t="s">
        <v>300</v>
      </c>
      <c r="I10" t="s">
        <v>308</v>
      </c>
    </row>
    <row r="11" spans="1:9" x14ac:dyDescent="0.3">
      <c r="A11" t="s">
        <v>37</v>
      </c>
      <c r="B11" t="s">
        <v>295</v>
      </c>
      <c r="C11">
        <v>3326</v>
      </c>
      <c r="D11">
        <v>3197</v>
      </c>
      <c r="E11">
        <v>23</v>
      </c>
      <c r="F11">
        <v>271</v>
      </c>
      <c r="G11">
        <v>792856</v>
      </c>
      <c r="H11" t="s">
        <v>300</v>
      </c>
      <c r="I11" t="s">
        <v>309</v>
      </c>
    </row>
    <row r="15" spans="1:9" x14ac:dyDescent="0.3">
      <c r="B15" s="26"/>
    </row>
  </sheetData>
  <autoFilter ref="A1:I1" xr:uid="{604E5614-95B9-48D9-BDAB-22B70E2912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5BC0-D654-46C6-9866-90FB72579017}">
  <sheetPr codeName="Sheet3"/>
  <dimension ref="A1:Z107"/>
  <sheetViews>
    <sheetView topLeftCell="G1" zoomScale="80" zoomScaleNormal="80" workbookViewId="0">
      <selection activeCell="O10" sqref="O10:O19"/>
    </sheetView>
  </sheetViews>
  <sheetFormatPr defaultRowHeight="14.4" x14ac:dyDescent="0.3"/>
  <cols>
    <col min="1" max="1" width="14" bestFit="1" customWidth="1"/>
    <col min="2" max="2" width="15" bestFit="1" customWidth="1"/>
    <col min="5" max="5" width="13.5546875" customWidth="1"/>
    <col min="7" max="7" width="19.5546875" customWidth="1"/>
    <col min="8" max="8" width="21.6640625" customWidth="1"/>
    <col min="11" max="11" width="13.88671875" customWidth="1"/>
    <col min="15" max="15" width="13.5546875" bestFit="1" customWidth="1"/>
    <col min="16" max="16" width="25.109375" customWidth="1"/>
  </cols>
  <sheetData>
    <row r="1" spans="1:26" ht="15" thickBot="1" x14ac:dyDescent="0.35">
      <c r="A1" s="141" t="s">
        <v>146</v>
      </c>
      <c r="B1" s="142"/>
      <c r="C1" s="142"/>
      <c r="D1" s="142"/>
      <c r="E1" s="143"/>
      <c r="G1" s="141" t="s">
        <v>147</v>
      </c>
      <c r="H1" s="142"/>
      <c r="I1" s="142"/>
      <c r="J1" s="142"/>
      <c r="K1" s="143"/>
    </row>
    <row r="2" spans="1:26" x14ac:dyDescent="0.3">
      <c r="A2" s="7" t="s">
        <v>6</v>
      </c>
      <c r="B2" s="2" t="s">
        <v>7</v>
      </c>
      <c r="E2" s="8"/>
      <c r="G2" s="7" t="s">
        <v>8</v>
      </c>
      <c r="H2" s="2" t="s">
        <v>9</v>
      </c>
      <c r="K2" s="8"/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</row>
    <row r="3" spans="1:26" x14ac:dyDescent="0.3">
      <c r="A3" s="9">
        <v>1253</v>
      </c>
      <c r="B3">
        <v>6166</v>
      </c>
      <c r="E3" s="8"/>
      <c r="G3" s="9">
        <v>1942290</v>
      </c>
      <c r="H3">
        <v>3680408</v>
      </c>
      <c r="K3" s="8"/>
      <c r="O3" t="s">
        <v>137</v>
      </c>
      <c r="P3">
        <f>COUNTBLANK(Music_Festival_Data!A2:A106)</f>
        <v>0</v>
      </c>
      <c r="Q3">
        <f>COUNTBLANK(Music_Festival_Data!B2:B106)</f>
        <v>0</v>
      </c>
      <c r="R3">
        <f>COUNTBLANK(Music_Festival_Data!C2:C106)</f>
        <v>0</v>
      </c>
      <c r="S3">
        <f>COUNTBLANK(Music_Festival_Data!D2:D106)</f>
        <v>63</v>
      </c>
      <c r="T3">
        <f>COUNTBLANK(Music_Festival_Data!E2:E106)</f>
        <v>0</v>
      </c>
      <c r="U3">
        <f>COUNTBLANK(Music_Festival_Data!F2:F106)</f>
        <v>0</v>
      </c>
      <c r="V3">
        <f>COUNTBLANK(Music_Festival_Data!G2:G106)</f>
        <v>0</v>
      </c>
      <c r="W3">
        <f>COUNTBLANK(Music_Festival_Data!H2:H106)</f>
        <v>0</v>
      </c>
      <c r="X3">
        <f>COUNTBLANK(Music_Festival_Data!I2:I106)</f>
        <v>0</v>
      </c>
      <c r="Y3">
        <f>COUNTBLANK(Music_Festival_Data!K2:K106)</f>
        <v>0</v>
      </c>
      <c r="Z3">
        <f>COUNTBLANK(Music_Festival_Data!M2:M106)</f>
        <v>0</v>
      </c>
    </row>
    <row r="4" spans="1:26" x14ac:dyDescent="0.3">
      <c r="A4" s="9">
        <v>1689</v>
      </c>
      <c r="B4">
        <v>40643</v>
      </c>
      <c r="D4" s="139" t="s">
        <v>139</v>
      </c>
      <c r="E4" s="140"/>
      <c r="G4" s="9">
        <v>16622987</v>
      </c>
      <c r="H4">
        <v>2589481</v>
      </c>
      <c r="J4" s="144" t="s">
        <v>8</v>
      </c>
      <c r="K4" s="145"/>
      <c r="O4" t="s">
        <v>153</v>
      </c>
      <c r="X4">
        <f>COUNTIF(Music_Festival_Data!J2:J106,"O")</f>
        <v>6</v>
      </c>
      <c r="Y4">
        <f>COUNTIF(Music_Festival_Data!L2:L106,"O")</f>
        <v>2</v>
      </c>
    </row>
    <row r="5" spans="1:26" x14ac:dyDescent="0.3">
      <c r="A5" s="9">
        <v>6813.8</v>
      </c>
      <c r="B5">
        <v>17889.900000000001</v>
      </c>
      <c r="D5" s="5" t="s">
        <v>138</v>
      </c>
      <c r="E5" s="37">
        <f>AVERAGE($A$3:$A$107)</f>
        <v>2910.2168421052634</v>
      </c>
      <c r="G5" s="9">
        <v>7667100</v>
      </c>
      <c r="H5">
        <v>640053</v>
      </c>
      <c r="J5" t="s">
        <v>148</v>
      </c>
      <c r="K5" s="8">
        <f>QUARTILE($G$3:$G$107,1)</f>
        <v>2722125</v>
      </c>
      <c r="O5" s="19" t="s">
        <v>207</v>
      </c>
    </row>
    <row r="6" spans="1:26" x14ac:dyDescent="0.3">
      <c r="A6" s="9">
        <v>2144</v>
      </c>
      <c r="B6">
        <v>14688</v>
      </c>
      <c r="D6" s="5" t="s">
        <v>140</v>
      </c>
      <c r="E6" s="10">
        <f>STDEV(A3:A107)</f>
        <v>1468.7672517159833</v>
      </c>
      <c r="G6" s="9">
        <v>2350080</v>
      </c>
      <c r="H6">
        <v>2712686</v>
      </c>
      <c r="J6" t="s">
        <v>149</v>
      </c>
      <c r="K6" s="8">
        <f>QUARTILE($G$3:$G$107,3)</f>
        <v>7713178</v>
      </c>
    </row>
    <row r="7" spans="1:26" ht="15" thickBot="1" x14ac:dyDescent="0.35">
      <c r="A7" s="9">
        <v>1886</v>
      </c>
      <c r="B7">
        <v>35244</v>
      </c>
      <c r="D7" s="5" t="s">
        <v>141</v>
      </c>
      <c r="E7" s="10">
        <f>E6/E5*100</f>
        <v>50.469340650694292</v>
      </c>
      <c r="G7" s="9">
        <v>6132456</v>
      </c>
      <c r="H7">
        <v>1181193</v>
      </c>
      <c r="J7" t="s">
        <v>150</v>
      </c>
      <c r="K7" s="8">
        <f>K6-K5</f>
        <v>4991053</v>
      </c>
    </row>
    <row r="8" spans="1:26" ht="15" thickBot="1" x14ac:dyDescent="0.35">
      <c r="A8" s="9">
        <v>3984</v>
      </c>
      <c r="E8" s="8"/>
      <c r="G8" s="9">
        <v>2252122</v>
      </c>
      <c r="H8">
        <v>2302603</v>
      </c>
      <c r="J8" t="s">
        <v>151</v>
      </c>
      <c r="K8" s="24">
        <f>K6+(1.5*K7)</f>
        <v>15199757.5</v>
      </c>
      <c r="O8" s="137" t="s">
        <v>328</v>
      </c>
      <c r="P8" s="138"/>
    </row>
    <row r="9" spans="1:26" ht="15" thickBot="1" x14ac:dyDescent="0.35">
      <c r="A9" s="9"/>
      <c r="B9">
        <v>18778.2</v>
      </c>
      <c r="D9" t="s">
        <v>144</v>
      </c>
      <c r="E9" s="8"/>
      <c r="G9" s="9">
        <v>4828680</v>
      </c>
      <c r="H9">
        <v>4948076</v>
      </c>
      <c r="J9" t="s">
        <v>152</v>
      </c>
      <c r="K9" s="8">
        <f>K5-(1.5*K7)</f>
        <v>-4764454.5</v>
      </c>
      <c r="O9" s="12" t="s">
        <v>325</v>
      </c>
      <c r="P9" s="14" t="s">
        <v>326</v>
      </c>
    </row>
    <row r="10" spans="1:26" x14ac:dyDescent="0.3">
      <c r="A10" s="9">
        <v>840</v>
      </c>
      <c r="B10">
        <v>33535</v>
      </c>
      <c r="D10" t="s">
        <v>145</v>
      </c>
      <c r="E10" s="8"/>
      <c r="G10" s="9">
        <v>12206740</v>
      </c>
      <c r="H10">
        <v>1201595</v>
      </c>
      <c r="K10" s="8"/>
      <c r="O10" s="9" t="s">
        <v>13</v>
      </c>
      <c r="P10" s="8" t="s">
        <v>228</v>
      </c>
    </row>
    <row r="11" spans="1:26" x14ac:dyDescent="0.3">
      <c r="A11" s="9">
        <v>4191</v>
      </c>
      <c r="D11" t="s">
        <v>142</v>
      </c>
      <c r="E11" s="8"/>
      <c r="G11" s="9">
        <v>4279770</v>
      </c>
      <c r="H11">
        <v>3427104</v>
      </c>
      <c r="J11" s="144" t="s">
        <v>9</v>
      </c>
      <c r="K11" s="145"/>
      <c r="O11" s="9" t="s">
        <v>21</v>
      </c>
      <c r="P11" s="8" t="s">
        <v>327</v>
      </c>
    </row>
    <row r="12" spans="1:26" x14ac:dyDescent="0.3">
      <c r="A12" s="9">
        <v>1823</v>
      </c>
      <c r="B12">
        <v>15513</v>
      </c>
      <c r="D12" s="139" t="s">
        <v>143</v>
      </c>
      <c r="E12" s="140"/>
      <c r="G12" s="9">
        <v>7539318</v>
      </c>
      <c r="H12">
        <v>3948781</v>
      </c>
      <c r="J12" t="s">
        <v>148</v>
      </c>
      <c r="K12" s="8">
        <f>QUARTILE($H$3:$H$107,1)</f>
        <v>1719569</v>
      </c>
      <c r="O12" s="9" t="s">
        <v>17</v>
      </c>
      <c r="P12" s="8" t="s">
        <v>228</v>
      </c>
    </row>
    <row r="13" spans="1:26" x14ac:dyDescent="0.3">
      <c r="A13" s="9">
        <v>3953.6</v>
      </c>
      <c r="B13">
        <v>21693</v>
      </c>
      <c r="D13" s="5" t="s">
        <v>138</v>
      </c>
      <c r="E13" s="11">
        <f>AVERAGE($B$3:$B$107)</f>
        <v>20798.88</v>
      </c>
      <c r="G13" s="9">
        <v>9306297</v>
      </c>
      <c r="H13">
        <v>4798020</v>
      </c>
      <c r="J13" t="s">
        <v>149</v>
      </c>
      <c r="K13" s="8">
        <f>QUARTILE($H$3:$H$107,3)</f>
        <v>3956927</v>
      </c>
      <c r="O13" s="9" t="s">
        <v>29</v>
      </c>
      <c r="P13" s="8" t="s">
        <v>228</v>
      </c>
    </row>
    <row r="14" spans="1:26" x14ac:dyDescent="0.3">
      <c r="A14" s="9">
        <v>2842</v>
      </c>
      <c r="B14">
        <v>24021</v>
      </c>
      <c r="D14" s="5" t="s">
        <v>140</v>
      </c>
      <c r="E14" s="10">
        <f>STDEV($B$3:$B$107)</f>
        <v>12539.172467440292</v>
      </c>
      <c r="G14" s="9">
        <v>5020389</v>
      </c>
      <c r="H14">
        <v>2851905</v>
      </c>
      <c r="J14" t="s">
        <v>150</v>
      </c>
      <c r="K14" s="8">
        <f>K13-K12</f>
        <v>2237358</v>
      </c>
      <c r="O14" s="9" t="s">
        <v>32</v>
      </c>
      <c r="P14" s="8" t="s">
        <v>228</v>
      </c>
    </row>
    <row r="15" spans="1:26" x14ac:dyDescent="0.3">
      <c r="A15" s="9">
        <v>528</v>
      </c>
      <c r="B15">
        <v>33241</v>
      </c>
      <c r="D15" s="5" t="s">
        <v>141</v>
      </c>
      <c r="E15" s="10">
        <f>E14/E13*100</f>
        <v>60.287729278885649</v>
      </c>
      <c r="G15" s="9">
        <v>2659280</v>
      </c>
      <c r="H15">
        <v>3167786</v>
      </c>
      <c r="J15" t="s">
        <v>151</v>
      </c>
      <c r="K15" s="25">
        <f>K13+(1.5*K14)</f>
        <v>7312964</v>
      </c>
      <c r="O15" s="9" t="s">
        <v>37</v>
      </c>
      <c r="P15" s="8" t="s">
        <v>228</v>
      </c>
    </row>
    <row r="16" spans="1:26" x14ac:dyDescent="0.3">
      <c r="A16" s="9">
        <v>1543</v>
      </c>
      <c r="B16">
        <v>19867</v>
      </c>
      <c r="E16" s="8"/>
      <c r="G16" s="9">
        <v>2821114</v>
      </c>
      <c r="H16">
        <v>2897760</v>
      </c>
      <c r="J16" t="s">
        <v>152</v>
      </c>
      <c r="K16" s="8">
        <f>K12-(1.5*K14)</f>
        <v>-1636468</v>
      </c>
      <c r="O16" s="9" t="s">
        <v>41</v>
      </c>
      <c r="P16" s="8" t="s">
        <v>327</v>
      </c>
    </row>
    <row r="17" spans="1:16" x14ac:dyDescent="0.3">
      <c r="A17" s="9">
        <v>2188</v>
      </c>
      <c r="B17">
        <v>20603</v>
      </c>
      <c r="E17" s="8"/>
      <c r="G17" s="9">
        <v>9559792</v>
      </c>
      <c r="H17">
        <v>4600450</v>
      </c>
      <c r="K17" s="8"/>
      <c r="O17" s="9" t="s">
        <v>48</v>
      </c>
      <c r="P17" s="8" t="s">
        <v>228</v>
      </c>
    </row>
    <row r="18" spans="1:16" x14ac:dyDescent="0.3">
      <c r="A18" s="9">
        <v>2217.6</v>
      </c>
      <c r="B18">
        <v>9504.6</v>
      </c>
      <c r="E18" s="8"/>
      <c r="G18" s="9">
        <v>5892852</v>
      </c>
      <c r="H18">
        <v>795307</v>
      </c>
      <c r="K18" s="8"/>
      <c r="O18" s="9" t="s">
        <v>52</v>
      </c>
      <c r="P18" s="8" t="s">
        <v>327</v>
      </c>
    </row>
    <row r="19" spans="1:16" ht="15" thickBot="1" x14ac:dyDescent="0.35">
      <c r="A19" s="9">
        <v>5397</v>
      </c>
      <c r="B19">
        <v>9158.1</v>
      </c>
      <c r="E19" s="8"/>
      <c r="G19" s="9">
        <v>1687707</v>
      </c>
      <c r="H19">
        <v>2188470</v>
      </c>
      <c r="K19" s="8"/>
      <c r="O19" s="12" t="s">
        <v>59</v>
      </c>
      <c r="P19" s="14" t="s">
        <v>327</v>
      </c>
    </row>
    <row r="20" spans="1:16" x14ac:dyDescent="0.3">
      <c r="A20" s="9">
        <v>1601.6</v>
      </c>
      <c r="B20">
        <v>11790</v>
      </c>
      <c r="E20" s="8"/>
      <c r="G20" s="9">
        <v>3030030</v>
      </c>
      <c r="H20">
        <v>3635278</v>
      </c>
      <c r="K20" s="8"/>
    </row>
    <row r="21" spans="1:16" x14ac:dyDescent="0.3">
      <c r="A21" s="9">
        <v>4564</v>
      </c>
      <c r="B21">
        <v>31755</v>
      </c>
      <c r="E21" s="8"/>
      <c r="G21" s="9">
        <v>6890835</v>
      </c>
      <c r="H21">
        <v>4732974</v>
      </c>
      <c r="K21" s="8"/>
    </row>
    <row r="22" spans="1:16" x14ac:dyDescent="0.3">
      <c r="A22" s="9">
        <v>3350.2</v>
      </c>
      <c r="B22">
        <v>2975.7</v>
      </c>
      <c r="E22" s="8"/>
      <c r="G22" s="9">
        <v>1041495</v>
      </c>
      <c r="H22">
        <v>3001940</v>
      </c>
      <c r="K22" s="8"/>
    </row>
    <row r="23" spans="1:16" x14ac:dyDescent="0.3">
      <c r="A23" s="9">
        <v>4045</v>
      </c>
      <c r="B23">
        <v>27719</v>
      </c>
      <c r="E23" s="8"/>
      <c r="G23" s="9">
        <v>7539568</v>
      </c>
      <c r="H23">
        <v>4670910</v>
      </c>
      <c r="K23" s="8"/>
    </row>
    <row r="24" spans="1:16" x14ac:dyDescent="0.3">
      <c r="A24" s="9">
        <v>1008</v>
      </c>
      <c r="B24">
        <v>21142</v>
      </c>
      <c r="E24" s="8"/>
      <c r="G24" s="9">
        <v>2558182</v>
      </c>
      <c r="H24">
        <v>1632574</v>
      </c>
      <c r="K24" s="8"/>
    </row>
    <row r="25" spans="1:16" x14ac:dyDescent="0.3">
      <c r="A25" s="9">
        <v>2334</v>
      </c>
      <c r="B25">
        <v>16842</v>
      </c>
      <c r="E25" s="8"/>
      <c r="G25" s="9">
        <v>6905220</v>
      </c>
      <c r="H25">
        <v>1067015</v>
      </c>
      <c r="K25" s="8"/>
    </row>
    <row r="26" spans="1:16" x14ac:dyDescent="0.3">
      <c r="A26" s="9"/>
      <c r="B26">
        <v>14456</v>
      </c>
      <c r="E26" s="8"/>
      <c r="G26" s="9">
        <v>4603680</v>
      </c>
      <c r="H26">
        <v>2403962</v>
      </c>
      <c r="K26" s="8"/>
    </row>
    <row r="27" spans="1:16" x14ac:dyDescent="0.3">
      <c r="A27" s="9">
        <v>3977</v>
      </c>
      <c r="B27">
        <v>25243</v>
      </c>
      <c r="E27" s="8"/>
      <c r="G27" s="9">
        <v>9238938</v>
      </c>
      <c r="H27">
        <v>4689343</v>
      </c>
      <c r="K27" s="8"/>
    </row>
    <row r="28" spans="1:16" x14ac:dyDescent="0.3">
      <c r="A28" s="9">
        <v>3449</v>
      </c>
      <c r="B28">
        <v>13539</v>
      </c>
      <c r="E28" s="8"/>
      <c r="G28" s="9">
        <v>5672841</v>
      </c>
      <c r="H28">
        <v>3471436</v>
      </c>
      <c r="K28" s="8"/>
    </row>
    <row r="29" spans="1:16" x14ac:dyDescent="0.3">
      <c r="A29" s="9">
        <v>3668</v>
      </c>
      <c r="B29">
        <v>36462</v>
      </c>
      <c r="E29" s="8"/>
      <c r="G29" s="9">
        <v>5250528</v>
      </c>
      <c r="H29">
        <v>2377592</v>
      </c>
      <c r="K29" s="8"/>
    </row>
    <row r="30" spans="1:16" x14ac:dyDescent="0.3">
      <c r="A30" s="9">
        <v>3279</v>
      </c>
      <c r="B30">
        <v>32540</v>
      </c>
      <c r="E30" s="8"/>
      <c r="G30" s="9">
        <v>13341400</v>
      </c>
      <c r="H30">
        <v>2840750</v>
      </c>
      <c r="K30" s="8"/>
    </row>
    <row r="31" spans="1:16" x14ac:dyDescent="0.3">
      <c r="A31" s="9">
        <v>2948</v>
      </c>
      <c r="B31">
        <v>9316</v>
      </c>
      <c r="E31" s="8"/>
      <c r="G31" s="9">
        <v>1266976</v>
      </c>
      <c r="H31">
        <v>2704822</v>
      </c>
      <c r="K31" s="8"/>
    </row>
    <row r="32" spans="1:16" x14ac:dyDescent="0.3">
      <c r="A32" s="9">
        <v>2749.6</v>
      </c>
      <c r="B32">
        <v>17172</v>
      </c>
      <c r="E32" s="8"/>
      <c r="G32" s="9">
        <v>7830432</v>
      </c>
      <c r="H32">
        <v>3956927</v>
      </c>
      <c r="K32" s="8"/>
    </row>
    <row r="33" spans="1:11" x14ac:dyDescent="0.3">
      <c r="A33" s="9"/>
      <c r="B33">
        <v>16737</v>
      </c>
      <c r="E33" s="8"/>
      <c r="G33" s="9">
        <v>6276375</v>
      </c>
      <c r="H33">
        <v>2726932</v>
      </c>
      <c r="K33" s="8"/>
    </row>
    <row r="34" spans="1:11" x14ac:dyDescent="0.3">
      <c r="A34" s="9">
        <v>632</v>
      </c>
      <c r="B34">
        <v>35304</v>
      </c>
      <c r="E34" s="8"/>
      <c r="G34" s="9">
        <v>10379376</v>
      </c>
      <c r="H34">
        <v>1590737</v>
      </c>
      <c r="K34" s="8"/>
    </row>
    <row r="35" spans="1:11" x14ac:dyDescent="0.3">
      <c r="A35" s="9">
        <v>1932</v>
      </c>
      <c r="B35">
        <v>16841</v>
      </c>
      <c r="E35" s="8"/>
      <c r="G35" s="9">
        <v>7713178</v>
      </c>
      <c r="H35">
        <v>4738764</v>
      </c>
      <c r="K35" s="8"/>
    </row>
    <row r="36" spans="1:11" x14ac:dyDescent="0.3">
      <c r="A36" s="9">
        <v>1598.8</v>
      </c>
      <c r="B36">
        <v>18210.5</v>
      </c>
      <c r="E36" s="8"/>
      <c r="G36" s="9">
        <v>7336230</v>
      </c>
      <c r="H36">
        <v>2229062</v>
      </c>
      <c r="K36" s="8"/>
    </row>
    <row r="37" spans="1:11" x14ac:dyDescent="0.3">
      <c r="A37" s="9">
        <v>1933</v>
      </c>
      <c r="B37">
        <v>58687.199999999997</v>
      </c>
      <c r="E37" s="8"/>
      <c r="G37" s="9">
        <v>16296984</v>
      </c>
      <c r="H37">
        <v>1120895</v>
      </c>
      <c r="K37" s="8"/>
    </row>
    <row r="38" spans="1:11" x14ac:dyDescent="0.3">
      <c r="A38" s="9"/>
      <c r="B38">
        <v>7559.5</v>
      </c>
      <c r="E38" s="8"/>
      <c r="G38" s="9">
        <v>1913135</v>
      </c>
      <c r="H38">
        <v>4680189</v>
      </c>
      <c r="K38" s="8"/>
    </row>
    <row r="39" spans="1:11" x14ac:dyDescent="0.3">
      <c r="A39" s="9">
        <v>4452</v>
      </c>
      <c r="B39">
        <v>31745</v>
      </c>
      <c r="E39" s="8"/>
      <c r="G39" s="9">
        <v>4412555</v>
      </c>
      <c r="H39">
        <v>4091720</v>
      </c>
      <c r="K39" s="8"/>
    </row>
    <row r="40" spans="1:11" x14ac:dyDescent="0.3">
      <c r="A40" s="9">
        <v>2716</v>
      </c>
      <c r="B40">
        <v>12688</v>
      </c>
      <c r="E40" s="8"/>
      <c r="G40" s="9">
        <v>2486848</v>
      </c>
      <c r="H40">
        <v>1413822</v>
      </c>
      <c r="K40" s="8"/>
    </row>
    <row r="41" spans="1:11" x14ac:dyDescent="0.3">
      <c r="A41" s="9">
        <v>2237</v>
      </c>
      <c r="B41">
        <v>20276</v>
      </c>
      <c r="E41" s="8"/>
      <c r="G41" s="9">
        <v>9671652</v>
      </c>
      <c r="H41">
        <v>4912334</v>
      </c>
      <c r="K41" s="8"/>
    </row>
    <row r="42" spans="1:11" x14ac:dyDescent="0.3">
      <c r="A42" s="9">
        <v>1412</v>
      </c>
      <c r="E42" s="8"/>
      <c r="G42" s="9">
        <v>12753000</v>
      </c>
      <c r="H42">
        <v>663225</v>
      </c>
      <c r="K42" s="8"/>
    </row>
    <row r="43" spans="1:11" x14ac:dyDescent="0.3">
      <c r="A43" s="9">
        <v>836</v>
      </c>
      <c r="B43">
        <v>56160</v>
      </c>
      <c r="E43" s="8"/>
      <c r="G43" s="9">
        <v>14904000</v>
      </c>
      <c r="H43">
        <v>4753926</v>
      </c>
      <c r="K43" s="8"/>
    </row>
    <row r="44" spans="1:11" x14ac:dyDescent="0.3">
      <c r="A44" s="9">
        <v>625</v>
      </c>
      <c r="B44">
        <v>34043.1</v>
      </c>
      <c r="E44" s="8"/>
      <c r="G44" s="9">
        <v>11705589</v>
      </c>
      <c r="H44">
        <v>2483828</v>
      </c>
      <c r="K44" s="8"/>
    </row>
    <row r="45" spans="1:11" x14ac:dyDescent="0.3">
      <c r="A45" s="9">
        <v>4629</v>
      </c>
      <c r="B45">
        <v>34318</v>
      </c>
      <c r="E45" s="8"/>
      <c r="G45" s="9">
        <v>5113382</v>
      </c>
      <c r="H45">
        <v>3030898</v>
      </c>
      <c r="K45" s="8"/>
    </row>
    <row r="46" spans="1:11" x14ac:dyDescent="0.3">
      <c r="A46" s="9">
        <v>3412</v>
      </c>
      <c r="B46">
        <v>22029</v>
      </c>
      <c r="E46" s="8"/>
      <c r="G46" s="9">
        <v>7401744</v>
      </c>
      <c r="H46">
        <v>4420985</v>
      </c>
      <c r="K46" s="8"/>
    </row>
    <row r="47" spans="1:11" x14ac:dyDescent="0.3">
      <c r="A47" s="9">
        <v>2105</v>
      </c>
      <c r="B47">
        <v>52642.2</v>
      </c>
      <c r="E47" s="8"/>
      <c r="G47" s="9">
        <v>15468708</v>
      </c>
      <c r="H47">
        <v>4334451</v>
      </c>
      <c r="K47" s="8"/>
    </row>
    <row r="48" spans="1:11" x14ac:dyDescent="0.3">
      <c r="A48" s="9">
        <v>737</v>
      </c>
      <c r="B48">
        <v>28345.200000000001</v>
      </c>
      <c r="E48" s="8"/>
      <c r="G48" s="9">
        <v>3292404</v>
      </c>
      <c r="H48">
        <v>4566892</v>
      </c>
      <c r="K48" s="8"/>
    </row>
    <row r="49" spans="1:11" x14ac:dyDescent="0.3">
      <c r="A49" s="9">
        <v>933</v>
      </c>
      <c r="B49">
        <v>31752</v>
      </c>
      <c r="E49" s="8"/>
      <c r="G49" s="9">
        <v>5366088</v>
      </c>
      <c r="H49">
        <v>1334941</v>
      </c>
      <c r="K49" s="8"/>
    </row>
    <row r="50" spans="1:11" x14ac:dyDescent="0.3">
      <c r="A50" s="9">
        <v>4503</v>
      </c>
      <c r="B50">
        <v>7651</v>
      </c>
      <c r="E50" s="8"/>
      <c r="G50" s="9">
        <v>1361878</v>
      </c>
      <c r="H50">
        <v>2805968</v>
      </c>
      <c r="K50" s="8"/>
    </row>
    <row r="51" spans="1:11" x14ac:dyDescent="0.3">
      <c r="A51" s="9">
        <v>2615.1999999999998</v>
      </c>
      <c r="B51">
        <v>6000</v>
      </c>
      <c r="E51" s="8"/>
      <c r="G51" s="9">
        <v>2094000</v>
      </c>
      <c r="H51">
        <v>3409793</v>
      </c>
      <c r="K51" s="8"/>
    </row>
    <row r="52" spans="1:11" x14ac:dyDescent="0.3">
      <c r="A52" s="9">
        <v>4046</v>
      </c>
      <c r="B52">
        <v>32925.1</v>
      </c>
      <c r="E52" s="8"/>
      <c r="G52" s="9">
        <v>4356244</v>
      </c>
      <c r="H52">
        <v>1785594</v>
      </c>
      <c r="K52" s="8"/>
    </row>
    <row r="53" spans="1:11" x14ac:dyDescent="0.3">
      <c r="A53" s="9">
        <v>4613</v>
      </c>
      <c r="B53">
        <v>9412.2000000000007</v>
      </c>
      <c r="E53" s="8"/>
      <c r="G53" s="9">
        <v>5580090</v>
      </c>
      <c r="H53">
        <v>4314798</v>
      </c>
      <c r="K53" s="8"/>
    </row>
    <row r="54" spans="1:11" x14ac:dyDescent="0.3">
      <c r="A54" s="9">
        <v>3437</v>
      </c>
      <c r="B54">
        <v>17457</v>
      </c>
      <c r="E54" s="8"/>
      <c r="G54" s="9">
        <v>4800675</v>
      </c>
      <c r="H54">
        <v>3816903</v>
      </c>
      <c r="K54" s="8"/>
    </row>
    <row r="55" spans="1:11" x14ac:dyDescent="0.3">
      <c r="A55" s="9">
        <v>2167</v>
      </c>
      <c r="B55">
        <v>23456</v>
      </c>
      <c r="E55" s="8"/>
      <c r="G55" s="9">
        <v>8068864</v>
      </c>
      <c r="H55">
        <v>4892379</v>
      </c>
      <c r="K55" s="8"/>
    </row>
    <row r="56" spans="1:11" x14ac:dyDescent="0.3">
      <c r="A56" s="9">
        <v>2289</v>
      </c>
      <c r="B56">
        <v>12636.4</v>
      </c>
      <c r="E56" s="8"/>
      <c r="G56" s="9">
        <v>5054560</v>
      </c>
      <c r="H56">
        <v>11048770</v>
      </c>
      <c r="K56" s="8"/>
    </row>
    <row r="57" spans="1:11" x14ac:dyDescent="0.3">
      <c r="A57" s="9">
        <v>2495</v>
      </c>
      <c r="B57">
        <v>26922</v>
      </c>
      <c r="E57" s="8"/>
      <c r="G57" s="9">
        <v>12868716</v>
      </c>
      <c r="H57">
        <v>4865146</v>
      </c>
      <c r="K57" s="8"/>
    </row>
    <row r="58" spans="1:11" x14ac:dyDescent="0.3">
      <c r="A58" s="9">
        <v>1244.5999999999999</v>
      </c>
      <c r="B58">
        <v>23400.3</v>
      </c>
      <c r="E58" s="8"/>
      <c r="G58" s="9">
        <v>10463277</v>
      </c>
      <c r="H58">
        <v>1325646</v>
      </c>
      <c r="K58" s="8"/>
    </row>
    <row r="59" spans="1:11" x14ac:dyDescent="0.3">
      <c r="A59" s="9">
        <v>4120</v>
      </c>
      <c r="E59" s="8"/>
      <c r="G59" s="9">
        <v>4873518</v>
      </c>
      <c r="H59">
        <v>2422363</v>
      </c>
      <c r="K59" s="8"/>
    </row>
    <row r="60" spans="1:11" x14ac:dyDescent="0.3">
      <c r="A60" s="9"/>
      <c r="E60" s="8"/>
      <c r="G60" s="9">
        <v>4728492</v>
      </c>
      <c r="H60">
        <v>3476973</v>
      </c>
      <c r="K60" s="8"/>
    </row>
    <row r="61" spans="1:11" x14ac:dyDescent="0.3">
      <c r="A61" s="9">
        <v>4459</v>
      </c>
      <c r="B61">
        <v>19021.099999999999</v>
      </c>
      <c r="E61" s="8"/>
      <c r="G61" s="9">
        <v>9592069</v>
      </c>
      <c r="H61">
        <v>3713395</v>
      </c>
      <c r="K61" s="8"/>
    </row>
    <row r="62" spans="1:11" x14ac:dyDescent="0.3">
      <c r="A62" s="9"/>
      <c r="B62">
        <v>31020</v>
      </c>
      <c r="E62" s="8"/>
      <c r="G62" s="9">
        <v>10701900</v>
      </c>
      <c r="H62">
        <v>854727</v>
      </c>
      <c r="K62" s="8"/>
    </row>
    <row r="63" spans="1:11" x14ac:dyDescent="0.3">
      <c r="A63" s="9"/>
      <c r="B63">
        <v>5456</v>
      </c>
      <c r="E63" s="8"/>
      <c r="G63" s="9">
        <v>1085744</v>
      </c>
      <c r="H63">
        <v>3936852</v>
      </c>
      <c r="K63" s="8"/>
    </row>
    <row r="64" spans="1:11" x14ac:dyDescent="0.3">
      <c r="A64" s="9">
        <v>4134</v>
      </c>
      <c r="E64" s="8"/>
      <c r="G64" s="9">
        <v>15825404</v>
      </c>
      <c r="H64">
        <v>3103482</v>
      </c>
      <c r="K64" s="8"/>
    </row>
    <row r="65" spans="1:11" x14ac:dyDescent="0.3">
      <c r="A65" s="9">
        <v>5391.4</v>
      </c>
      <c r="B65">
        <v>11355</v>
      </c>
      <c r="E65" s="8"/>
      <c r="G65" s="9">
        <v>2305065</v>
      </c>
      <c r="H65">
        <v>1958821</v>
      </c>
      <c r="K65" s="8"/>
    </row>
    <row r="66" spans="1:11" x14ac:dyDescent="0.3">
      <c r="A66" s="9"/>
      <c r="E66" s="8"/>
      <c r="G66" s="9">
        <v>3236079</v>
      </c>
      <c r="H66">
        <v>3039149</v>
      </c>
      <c r="K66" s="8"/>
    </row>
    <row r="67" spans="1:11" x14ac:dyDescent="0.3">
      <c r="A67" s="9">
        <v>3769</v>
      </c>
      <c r="B67">
        <v>35877</v>
      </c>
      <c r="E67" s="8"/>
      <c r="G67" s="9">
        <v>5489181</v>
      </c>
      <c r="H67">
        <v>8648395</v>
      </c>
      <c r="K67" s="8"/>
    </row>
    <row r="68" spans="1:11" x14ac:dyDescent="0.3">
      <c r="A68" s="9">
        <v>2589</v>
      </c>
      <c r="B68">
        <v>8270</v>
      </c>
      <c r="E68" s="8"/>
      <c r="G68" s="9">
        <v>1563030</v>
      </c>
      <c r="H68">
        <v>3564057</v>
      </c>
      <c r="K68" s="8"/>
    </row>
    <row r="69" spans="1:11" x14ac:dyDescent="0.3">
      <c r="A69" s="9">
        <v>1867.6</v>
      </c>
      <c r="B69">
        <v>46028</v>
      </c>
      <c r="E69" s="8"/>
      <c r="G69" s="9">
        <v>20068208</v>
      </c>
      <c r="H69">
        <v>2266980</v>
      </c>
      <c r="K69" s="8"/>
    </row>
    <row r="70" spans="1:11" x14ac:dyDescent="0.3">
      <c r="A70" s="9">
        <v>4078</v>
      </c>
      <c r="B70">
        <v>9560</v>
      </c>
      <c r="E70" s="8"/>
      <c r="G70" s="9">
        <v>3795320</v>
      </c>
      <c r="H70">
        <v>2303574</v>
      </c>
      <c r="K70" s="8"/>
    </row>
    <row r="71" spans="1:11" x14ac:dyDescent="0.3">
      <c r="A71" s="9">
        <v>1381</v>
      </c>
      <c r="B71">
        <v>13578</v>
      </c>
      <c r="E71" s="8"/>
      <c r="G71" s="9">
        <v>5336154</v>
      </c>
      <c r="H71">
        <v>1442642</v>
      </c>
      <c r="K71" s="8"/>
    </row>
    <row r="72" spans="1:11" x14ac:dyDescent="0.3">
      <c r="A72" s="9">
        <v>6914.6</v>
      </c>
      <c r="B72">
        <v>40916</v>
      </c>
      <c r="E72" s="8"/>
      <c r="G72" s="9">
        <v>19926092</v>
      </c>
      <c r="H72">
        <v>3643451</v>
      </c>
      <c r="K72" s="8"/>
    </row>
    <row r="73" spans="1:11" x14ac:dyDescent="0.3">
      <c r="A73" s="9">
        <v>2817</v>
      </c>
      <c r="B73">
        <v>13994</v>
      </c>
      <c r="E73" s="8"/>
      <c r="G73" s="9">
        <v>6689132</v>
      </c>
      <c r="H73">
        <v>3519113</v>
      </c>
      <c r="K73" s="8"/>
    </row>
    <row r="74" spans="1:11" x14ac:dyDescent="0.3">
      <c r="A74" s="9">
        <v>2937</v>
      </c>
      <c r="B74">
        <v>14499</v>
      </c>
      <c r="E74" s="8"/>
      <c r="G74" s="9">
        <v>7177005</v>
      </c>
      <c r="H74">
        <v>1341541</v>
      </c>
      <c r="K74" s="8"/>
    </row>
    <row r="75" spans="1:11" x14ac:dyDescent="0.3">
      <c r="A75" s="9">
        <v>3235.4</v>
      </c>
      <c r="B75">
        <v>15002</v>
      </c>
      <c r="E75" s="8"/>
      <c r="G75" s="9">
        <v>3975530</v>
      </c>
      <c r="H75">
        <v>4947667</v>
      </c>
      <c r="K75" s="8"/>
    </row>
    <row r="76" spans="1:11" x14ac:dyDescent="0.3">
      <c r="A76" s="9">
        <v>2224.6</v>
      </c>
      <c r="B76">
        <v>23169</v>
      </c>
      <c r="E76" s="8"/>
      <c r="G76" s="9">
        <v>5630067</v>
      </c>
      <c r="H76">
        <v>4471729</v>
      </c>
      <c r="K76" s="8"/>
    </row>
    <row r="77" spans="1:11" x14ac:dyDescent="0.3">
      <c r="A77" s="9">
        <v>2679.6</v>
      </c>
      <c r="E77" s="8"/>
      <c r="G77" s="9">
        <v>1370391</v>
      </c>
      <c r="H77">
        <v>1953924</v>
      </c>
      <c r="K77" s="8"/>
    </row>
    <row r="78" spans="1:11" x14ac:dyDescent="0.3">
      <c r="A78" s="9">
        <v>2567</v>
      </c>
      <c r="B78">
        <v>4240</v>
      </c>
      <c r="E78" s="8"/>
      <c r="G78" s="9">
        <v>1861360</v>
      </c>
      <c r="H78">
        <v>1698282</v>
      </c>
      <c r="K78" s="8"/>
    </row>
    <row r="79" spans="1:11" x14ac:dyDescent="0.3">
      <c r="A79" s="9">
        <v>6972</v>
      </c>
      <c r="B79">
        <v>21681.1</v>
      </c>
      <c r="E79" s="8"/>
      <c r="G79" s="9">
        <v>13875904</v>
      </c>
      <c r="H79">
        <v>2510128</v>
      </c>
      <c r="K79" s="8"/>
    </row>
    <row r="80" spans="1:11" x14ac:dyDescent="0.3">
      <c r="A80" s="9"/>
      <c r="B80">
        <v>32900</v>
      </c>
      <c r="E80" s="8"/>
      <c r="G80" s="9">
        <v>6777400</v>
      </c>
      <c r="H80">
        <v>3584230</v>
      </c>
      <c r="K80" s="8"/>
    </row>
    <row r="81" spans="1:11" x14ac:dyDescent="0.3">
      <c r="A81" s="9">
        <v>4765.6000000000004</v>
      </c>
      <c r="B81">
        <v>11366.6</v>
      </c>
      <c r="E81" s="8"/>
      <c r="G81" s="9">
        <v>6933626</v>
      </c>
      <c r="H81">
        <v>2380633</v>
      </c>
      <c r="K81" s="8"/>
    </row>
    <row r="82" spans="1:11" x14ac:dyDescent="0.3">
      <c r="A82" s="9">
        <v>3243</v>
      </c>
      <c r="B82">
        <v>5362</v>
      </c>
      <c r="E82" s="8"/>
      <c r="G82" s="9">
        <v>739956</v>
      </c>
      <c r="H82">
        <v>4259028</v>
      </c>
      <c r="K82" s="8"/>
    </row>
    <row r="83" spans="1:11" x14ac:dyDescent="0.3">
      <c r="A83" s="9">
        <v>1599</v>
      </c>
      <c r="B83">
        <v>6748</v>
      </c>
      <c r="E83" s="8"/>
      <c r="G83" s="9">
        <v>1005452</v>
      </c>
      <c r="H83">
        <v>3330904</v>
      </c>
      <c r="K83" s="8"/>
    </row>
    <row r="84" spans="1:11" x14ac:dyDescent="0.3">
      <c r="A84" s="9">
        <v>1180</v>
      </c>
      <c r="B84">
        <v>11979</v>
      </c>
      <c r="E84" s="8"/>
      <c r="G84" s="9">
        <v>3114540</v>
      </c>
      <c r="H84">
        <v>2375872</v>
      </c>
      <c r="K84" s="8"/>
    </row>
    <row r="85" spans="1:11" x14ac:dyDescent="0.3">
      <c r="A85" s="9">
        <v>3928</v>
      </c>
      <c r="B85">
        <v>45372.6</v>
      </c>
      <c r="E85" s="8"/>
      <c r="G85" s="9">
        <v>14623938</v>
      </c>
      <c r="H85">
        <v>962979</v>
      </c>
      <c r="K85" s="8"/>
    </row>
    <row r="86" spans="1:11" x14ac:dyDescent="0.3">
      <c r="A86" s="9">
        <v>929</v>
      </c>
      <c r="B86">
        <v>17678</v>
      </c>
      <c r="E86" s="8"/>
      <c r="G86" s="9">
        <v>4118974</v>
      </c>
      <c r="H86">
        <v>3432767</v>
      </c>
      <c r="K86" s="8"/>
    </row>
    <row r="87" spans="1:11" x14ac:dyDescent="0.3">
      <c r="A87" s="9">
        <v>1824</v>
      </c>
      <c r="B87">
        <v>11076</v>
      </c>
      <c r="E87" s="8"/>
      <c r="G87" s="9">
        <v>2193048</v>
      </c>
      <c r="H87">
        <v>4584685</v>
      </c>
      <c r="K87" s="8"/>
    </row>
    <row r="88" spans="1:11" x14ac:dyDescent="0.3">
      <c r="A88" s="9">
        <v>3034</v>
      </c>
      <c r="B88">
        <v>9525</v>
      </c>
      <c r="E88" s="8"/>
      <c r="G88" s="9">
        <v>1266825</v>
      </c>
      <c r="H88">
        <v>659581</v>
      </c>
      <c r="K88" s="8"/>
    </row>
    <row r="89" spans="1:11" x14ac:dyDescent="0.3">
      <c r="A89" s="9">
        <v>798</v>
      </c>
      <c r="E89" s="8"/>
      <c r="G89" s="9">
        <v>4874352</v>
      </c>
      <c r="H89">
        <v>1012227</v>
      </c>
      <c r="K89" s="8"/>
    </row>
    <row r="90" spans="1:11" x14ac:dyDescent="0.3">
      <c r="A90" s="9">
        <v>2753</v>
      </c>
      <c r="B90">
        <v>7762</v>
      </c>
      <c r="E90" s="8"/>
      <c r="G90" s="9">
        <v>2227694</v>
      </c>
      <c r="H90">
        <v>3105094</v>
      </c>
      <c r="K90" s="8"/>
    </row>
    <row r="91" spans="1:11" x14ac:dyDescent="0.3">
      <c r="A91" s="9">
        <v>2609</v>
      </c>
      <c r="B91">
        <v>27598</v>
      </c>
      <c r="E91" s="8"/>
      <c r="G91" s="9">
        <v>13467824</v>
      </c>
      <c r="H91">
        <v>3310368</v>
      </c>
      <c r="K91" s="8"/>
    </row>
    <row r="92" spans="1:11" x14ac:dyDescent="0.3">
      <c r="A92" s="9">
        <v>4418</v>
      </c>
      <c r="B92">
        <v>8702</v>
      </c>
      <c r="E92" s="8"/>
      <c r="G92" s="9">
        <v>3280654</v>
      </c>
      <c r="H92">
        <v>615109</v>
      </c>
      <c r="K92" s="8"/>
    </row>
    <row r="93" spans="1:11" x14ac:dyDescent="0.3">
      <c r="A93" s="9">
        <v>4849</v>
      </c>
      <c r="B93">
        <v>8214</v>
      </c>
      <c r="E93" s="8"/>
      <c r="G93" s="9">
        <v>1667442</v>
      </c>
      <c r="H93">
        <v>4255125</v>
      </c>
      <c r="K93" s="8"/>
    </row>
    <row r="94" spans="1:11" x14ac:dyDescent="0.3">
      <c r="A94" s="9">
        <v>1750</v>
      </c>
      <c r="E94" s="8"/>
      <c r="G94" s="9">
        <v>4231825</v>
      </c>
      <c r="H94">
        <v>3268157</v>
      </c>
      <c r="K94" s="8"/>
    </row>
    <row r="95" spans="1:11" x14ac:dyDescent="0.3">
      <c r="A95" s="9">
        <v>4279.8</v>
      </c>
      <c r="B95">
        <v>18095</v>
      </c>
      <c r="E95" s="8"/>
      <c r="G95" s="9">
        <v>4089470</v>
      </c>
      <c r="H95">
        <v>1719569</v>
      </c>
      <c r="K95" s="8"/>
    </row>
    <row r="96" spans="1:11" x14ac:dyDescent="0.3">
      <c r="A96" s="9">
        <v>3586</v>
      </c>
      <c r="B96">
        <v>38295</v>
      </c>
      <c r="E96" s="8"/>
      <c r="G96" s="9">
        <v>5476185</v>
      </c>
      <c r="H96">
        <v>887815</v>
      </c>
      <c r="K96" s="8"/>
    </row>
    <row r="97" spans="1:11" x14ac:dyDescent="0.3">
      <c r="A97" s="9">
        <v>3782</v>
      </c>
      <c r="B97">
        <v>39893</v>
      </c>
      <c r="E97" s="8"/>
      <c r="G97" s="9">
        <v>6263201</v>
      </c>
      <c r="H97">
        <v>6333350</v>
      </c>
      <c r="K97" s="8"/>
    </row>
    <row r="98" spans="1:11" x14ac:dyDescent="0.3">
      <c r="A98" s="9">
        <v>4834.2</v>
      </c>
      <c r="B98">
        <v>14283</v>
      </c>
      <c r="E98" s="8"/>
      <c r="G98" s="9">
        <v>5356125</v>
      </c>
      <c r="H98">
        <v>1549672</v>
      </c>
      <c r="K98" s="8"/>
    </row>
    <row r="99" spans="1:11" x14ac:dyDescent="0.3">
      <c r="A99" s="9">
        <v>4286</v>
      </c>
      <c r="B99">
        <v>8925</v>
      </c>
      <c r="E99" s="8"/>
      <c r="G99" s="9">
        <v>2722125</v>
      </c>
      <c r="H99">
        <v>896661</v>
      </c>
      <c r="K99" s="8"/>
    </row>
    <row r="100" spans="1:11" x14ac:dyDescent="0.3">
      <c r="A100" s="9"/>
      <c r="B100">
        <v>4885</v>
      </c>
      <c r="E100" s="8"/>
      <c r="G100" s="9">
        <v>1734175</v>
      </c>
      <c r="H100">
        <v>4292613</v>
      </c>
      <c r="K100" s="8"/>
    </row>
    <row r="101" spans="1:11" x14ac:dyDescent="0.3">
      <c r="A101" s="9">
        <v>4529</v>
      </c>
      <c r="B101">
        <v>4425</v>
      </c>
      <c r="E101" s="8"/>
      <c r="G101" s="9">
        <v>584100</v>
      </c>
      <c r="H101">
        <v>2385440</v>
      </c>
      <c r="K101" s="8"/>
    </row>
    <row r="102" spans="1:11" x14ac:dyDescent="0.3">
      <c r="A102" s="9">
        <v>726</v>
      </c>
      <c r="B102">
        <v>37105</v>
      </c>
      <c r="E102" s="8"/>
      <c r="G102" s="9">
        <v>14545160</v>
      </c>
      <c r="H102">
        <v>835232</v>
      </c>
      <c r="K102" s="8"/>
    </row>
    <row r="103" spans="1:11" x14ac:dyDescent="0.3">
      <c r="A103" s="9">
        <v>1381</v>
      </c>
      <c r="B103">
        <v>13578</v>
      </c>
      <c r="E103" s="8"/>
      <c r="G103" s="9">
        <v>5336154</v>
      </c>
      <c r="H103">
        <v>1442642</v>
      </c>
      <c r="K103" s="8"/>
    </row>
    <row r="104" spans="1:11" x14ac:dyDescent="0.3">
      <c r="A104" s="9">
        <v>4279.8</v>
      </c>
      <c r="B104">
        <v>18095</v>
      </c>
      <c r="E104" s="8"/>
      <c r="G104" s="9">
        <v>4089470</v>
      </c>
      <c r="H104">
        <v>1719569</v>
      </c>
      <c r="K104" s="8"/>
    </row>
    <row r="105" spans="1:11" x14ac:dyDescent="0.3">
      <c r="A105" s="9">
        <v>2334</v>
      </c>
      <c r="B105">
        <v>16842</v>
      </c>
      <c r="E105" s="8"/>
      <c r="G105" s="9">
        <v>6905220</v>
      </c>
      <c r="H105">
        <v>1067015</v>
      </c>
      <c r="K105" s="8"/>
    </row>
    <row r="106" spans="1:11" x14ac:dyDescent="0.3">
      <c r="A106" s="9">
        <v>1823</v>
      </c>
      <c r="B106">
        <v>15513</v>
      </c>
      <c r="E106" s="8"/>
      <c r="G106" s="9">
        <v>7539318</v>
      </c>
      <c r="H106">
        <v>3948781</v>
      </c>
      <c r="K106" s="8"/>
    </row>
    <row r="107" spans="1:11" ht="15" thickBot="1" x14ac:dyDescent="0.35">
      <c r="A107" s="12">
        <v>2948</v>
      </c>
      <c r="B107" s="13">
        <v>9316</v>
      </c>
      <c r="C107" s="13"/>
      <c r="D107" s="13"/>
      <c r="E107" s="14"/>
      <c r="G107" s="12">
        <v>1266976</v>
      </c>
      <c r="H107" s="13">
        <v>2704822</v>
      </c>
      <c r="I107" s="13"/>
      <c r="J107" s="13"/>
      <c r="K107" s="14"/>
    </row>
  </sheetData>
  <mergeCells count="7">
    <mergeCell ref="O8:P8"/>
    <mergeCell ref="D4:E4"/>
    <mergeCell ref="D12:E12"/>
    <mergeCell ref="A1:E1"/>
    <mergeCell ref="J4:K4"/>
    <mergeCell ref="J11:K11"/>
    <mergeCell ref="G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117-B572-47F6-AD7D-554FCD17C582}">
  <sheetPr codeName="Sheet4">
    <pageSetUpPr fitToPage="1"/>
  </sheetPr>
  <dimension ref="A1:F56"/>
  <sheetViews>
    <sheetView topLeftCell="A11" zoomScale="47" zoomScaleNormal="47" workbookViewId="0">
      <selection activeCell="A56" sqref="A56:XFD56"/>
    </sheetView>
  </sheetViews>
  <sheetFormatPr defaultRowHeight="14.4" x14ac:dyDescent="0.3"/>
  <cols>
    <col min="1" max="1" width="51.88671875" customWidth="1"/>
    <col min="2" max="2" width="22.21875" customWidth="1"/>
    <col min="3" max="3" width="27.77734375" customWidth="1"/>
    <col min="4" max="4" width="37" customWidth="1"/>
    <col min="5" max="6" width="18.5546875" customWidth="1"/>
  </cols>
  <sheetData>
    <row r="1" spans="1:6" ht="21.6" thickBot="1" x14ac:dyDescent="0.45">
      <c r="A1" s="146" t="s">
        <v>157</v>
      </c>
      <c r="B1" s="147"/>
      <c r="C1" s="147"/>
      <c r="D1" s="147"/>
      <c r="E1" s="147"/>
      <c r="F1" s="148"/>
    </row>
    <row r="2" spans="1:6" ht="15" thickBot="1" x14ac:dyDescent="0.35">
      <c r="A2" s="9"/>
      <c r="B2" s="160"/>
      <c r="C2" s="160"/>
      <c r="D2" s="160"/>
      <c r="E2" s="160"/>
      <c r="F2" s="8"/>
    </row>
    <row r="3" spans="1:6" ht="15.6" x14ac:dyDescent="0.3">
      <c r="A3" s="123" t="s">
        <v>158</v>
      </c>
      <c r="B3" s="83"/>
      <c r="C3" s="160"/>
      <c r="D3" s="160"/>
      <c r="E3" s="160"/>
      <c r="F3" s="8"/>
    </row>
    <row r="4" spans="1:6" x14ac:dyDescent="0.3">
      <c r="A4" s="72" t="s">
        <v>159</v>
      </c>
      <c r="B4" s="73" t="s">
        <v>160</v>
      </c>
      <c r="C4" s="160"/>
      <c r="D4" s="160"/>
      <c r="E4" s="160"/>
      <c r="F4" s="8"/>
    </row>
    <row r="5" spans="1:6" x14ac:dyDescent="0.3">
      <c r="A5" s="47" t="s">
        <v>161</v>
      </c>
      <c r="B5" s="10">
        <f>COUNTA(Music_Festival_Data!A2:A106)</f>
        <v>105</v>
      </c>
      <c r="C5" s="160"/>
      <c r="D5" s="160"/>
      <c r="E5" s="160"/>
      <c r="F5" s="8"/>
    </row>
    <row r="6" spans="1:6" x14ac:dyDescent="0.3">
      <c r="A6" s="47" t="s">
        <v>162</v>
      </c>
      <c r="B6" s="10">
        <v>10</v>
      </c>
      <c r="C6" s="160"/>
      <c r="D6" s="160"/>
      <c r="E6" s="160"/>
      <c r="F6" s="8"/>
    </row>
    <row r="7" spans="1:6" x14ac:dyDescent="0.3">
      <c r="A7" s="47" t="s">
        <v>163</v>
      </c>
      <c r="B7" s="10">
        <v>10</v>
      </c>
      <c r="C7" s="160"/>
      <c r="D7" s="160"/>
      <c r="E7" s="160"/>
      <c r="F7" s="8"/>
    </row>
    <row r="8" spans="1:6" x14ac:dyDescent="0.3">
      <c r="A8" s="47" t="s">
        <v>164</v>
      </c>
      <c r="B8" s="10">
        <v>11</v>
      </c>
      <c r="C8" s="160"/>
      <c r="D8" s="160"/>
      <c r="E8" s="160"/>
      <c r="F8" s="8"/>
    </row>
    <row r="9" spans="1:6" ht="15" thickBot="1" x14ac:dyDescent="0.35">
      <c r="A9" s="60" t="s">
        <v>165</v>
      </c>
      <c r="B9" s="62" t="s">
        <v>166</v>
      </c>
      <c r="C9" s="160"/>
      <c r="D9" s="160"/>
      <c r="E9" s="160"/>
      <c r="F9" s="8"/>
    </row>
    <row r="10" spans="1:6" x14ac:dyDescent="0.3">
      <c r="A10" s="9"/>
      <c r="B10" s="160"/>
      <c r="C10" s="160"/>
      <c r="D10" s="160"/>
      <c r="E10" s="160"/>
      <c r="F10" s="8"/>
    </row>
    <row r="11" spans="1:6" ht="15.6" x14ac:dyDescent="0.3">
      <c r="A11" s="71" t="s">
        <v>167</v>
      </c>
      <c r="B11" s="160"/>
      <c r="C11" s="160"/>
      <c r="D11" s="160"/>
      <c r="E11" s="160"/>
      <c r="F11" s="8"/>
    </row>
    <row r="12" spans="1:6" x14ac:dyDescent="0.3">
      <c r="A12" s="9" t="s">
        <v>168</v>
      </c>
      <c r="B12" s="261">
        <f>COUNTIF(Music_Festival_Data!N:N,"DUPLICATE - Remove")</f>
        <v>5</v>
      </c>
      <c r="C12" s="160"/>
      <c r="D12" s="160"/>
      <c r="E12" s="160"/>
      <c r="F12" s="8"/>
    </row>
    <row r="13" spans="1:6" ht="15" thickBot="1" x14ac:dyDescent="0.35">
      <c r="A13" s="9"/>
      <c r="B13" s="160"/>
      <c r="C13" s="160"/>
      <c r="D13" s="160"/>
      <c r="E13" s="160"/>
      <c r="F13" s="8"/>
    </row>
    <row r="14" spans="1:6" x14ac:dyDescent="0.3">
      <c r="A14" s="124" t="s">
        <v>169</v>
      </c>
      <c r="B14" s="125" t="s">
        <v>170</v>
      </c>
      <c r="C14" s="125" t="s">
        <v>1</v>
      </c>
      <c r="D14" s="125" t="s">
        <v>2</v>
      </c>
      <c r="E14" s="125" t="s">
        <v>171</v>
      </c>
      <c r="F14" s="126" t="s">
        <v>172</v>
      </c>
    </row>
    <row r="15" spans="1:6" x14ac:dyDescent="0.3">
      <c r="A15" s="74">
        <v>102</v>
      </c>
      <c r="B15" s="31" t="s">
        <v>67</v>
      </c>
      <c r="C15" s="31" t="s">
        <v>24</v>
      </c>
      <c r="D15" s="31" t="s">
        <v>173</v>
      </c>
      <c r="E15" s="31" t="s">
        <v>29</v>
      </c>
      <c r="F15" s="75">
        <v>70</v>
      </c>
    </row>
    <row r="16" spans="1:6" x14ac:dyDescent="0.3">
      <c r="A16" s="74">
        <v>103</v>
      </c>
      <c r="B16" s="31" t="s">
        <v>43</v>
      </c>
      <c r="C16" s="31" t="s">
        <v>31</v>
      </c>
      <c r="D16" s="31" t="s">
        <v>174</v>
      </c>
      <c r="E16" s="31" t="s">
        <v>41</v>
      </c>
      <c r="F16" s="75">
        <v>94</v>
      </c>
    </row>
    <row r="17" spans="1:6" x14ac:dyDescent="0.3">
      <c r="A17" s="74">
        <v>104</v>
      </c>
      <c r="B17" s="31" t="s">
        <v>11</v>
      </c>
      <c r="C17" s="31" t="s">
        <v>65</v>
      </c>
      <c r="D17" s="32">
        <v>45298</v>
      </c>
      <c r="E17" s="31" t="s">
        <v>52</v>
      </c>
      <c r="F17" s="75">
        <v>24</v>
      </c>
    </row>
    <row r="18" spans="1:6" x14ac:dyDescent="0.3">
      <c r="A18" s="74">
        <v>105</v>
      </c>
      <c r="B18" s="31" t="s">
        <v>39</v>
      </c>
      <c r="C18" s="31" t="s">
        <v>12</v>
      </c>
      <c r="D18" s="31" t="s">
        <v>175</v>
      </c>
      <c r="E18" s="31" t="s">
        <v>17</v>
      </c>
      <c r="F18" s="75">
        <v>11</v>
      </c>
    </row>
    <row r="19" spans="1:6" ht="15" thickBot="1" x14ac:dyDescent="0.35">
      <c r="A19" s="127">
        <v>106</v>
      </c>
      <c r="B19" s="128" t="s">
        <v>11</v>
      </c>
      <c r="C19" s="128" t="s">
        <v>54</v>
      </c>
      <c r="D19" s="128" t="s">
        <v>176</v>
      </c>
      <c r="E19" s="128" t="s">
        <v>17</v>
      </c>
      <c r="F19" s="129">
        <v>30</v>
      </c>
    </row>
    <row r="20" spans="1:6" x14ac:dyDescent="0.3">
      <c r="A20" s="9"/>
      <c r="B20" s="160"/>
      <c r="C20" s="160"/>
      <c r="D20" s="160"/>
      <c r="E20" s="160"/>
      <c r="F20" s="8"/>
    </row>
    <row r="21" spans="1:6" ht="16.2" thickBot="1" x14ac:dyDescent="0.35">
      <c r="A21" s="71" t="s">
        <v>177</v>
      </c>
      <c r="B21" s="160"/>
      <c r="C21" s="160"/>
      <c r="D21" s="160"/>
      <c r="E21" s="160"/>
      <c r="F21" s="8"/>
    </row>
    <row r="22" spans="1:6" x14ac:dyDescent="0.3">
      <c r="A22" s="124" t="s">
        <v>178</v>
      </c>
      <c r="B22" s="125" t="s">
        <v>179</v>
      </c>
      <c r="C22" s="125" t="s">
        <v>180</v>
      </c>
      <c r="D22" s="126" t="s">
        <v>181</v>
      </c>
      <c r="E22" s="160"/>
      <c r="F22" s="8"/>
    </row>
    <row r="23" spans="1:6" x14ac:dyDescent="0.3">
      <c r="A23" s="47" t="s">
        <v>3</v>
      </c>
      <c r="B23" s="5">
        <v>63</v>
      </c>
      <c r="C23" s="5" t="s">
        <v>182</v>
      </c>
      <c r="D23" s="10" t="s">
        <v>183</v>
      </c>
      <c r="E23" s="160"/>
      <c r="F23" s="8"/>
    </row>
    <row r="24" spans="1:6" x14ac:dyDescent="0.3">
      <c r="A24" s="47" t="s">
        <v>184</v>
      </c>
      <c r="B24" s="5">
        <v>10</v>
      </c>
      <c r="C24" s="5" t="s">
        <v>185</v>
      </c>
      <c r="D24" s="63">
        <f>'Missing Values &amp; Outliers'!E5</f>
        <v>2910.2168421052634</v>
      </c>
      <c r="E24" s="160"/>
      <c r="F24" s="8"/>
    </row>
    <row r="25" spans="1:6" ht="15" thickBot="1" x14ac:dyDescent="0.35">
      <c r="A25" s="60" t="s">
        <v>7</v>
      </c>
      <c r="B25" s="61">
        <v>10</v>
      </c>
      <c r="C25" s="61" t="s">
        <v>185</v>
      </c>
      <c r="D25" s="62">
        <f>'Missing Values &amp; Outliers'!E13</f>
        <v>20798.88</v>
      </c>
      <c r="E25" s="160"/>
      <c r="F25" s="8"/>
    </row>
    <row r="26" spans="1:6" x14ac:dyDescent="0.3">
      <c r="A26" s="9"/>
      <c r="B26" s="160"/>
      <c r="C26" s="160"/>
      <c r="D26" s="160"/>
      <c r="E26" s="160"/>
      <c r="F26" s="8"/>
    </row>
    <row r="27" spans="1:6" x14ac:dyDescent="0.3">
      <c r="A27" s="76"/>
      <c r="B27" s="160"/>
      <c r="C27" s="160"/>
      <c r="D27" s="160"/>
      <c r="E27" s="160"/>
      <c r="F27" s="8"/>
    </row>
    <row r="28" spans="1:6" x14ac:dyDescent="0.3">
      <c r="A28" s="9"/>
      <c r="B28" s="160"/>
      <c r="C28" s="160"/>
      <c r="D28" s="160"/>
      <c r="E28" s="160"/>
      <c r="F28" s="8"/>
    </row>
    <row r="29" spans="1:6" ht="15.6" x14ac:dyDescent="0.3">
      <c r="A29" s="262" t="s">
        <v>186</v>
      </c>
      <c r="B29" s="5"/>
      <c r="C29" s="160"/>
      <c r="D29" s="160"/>
      <c r="E29" s="160"/>
      <c r="F29" s="8"/>
    </row>
    <row r="30" spans="1:6" x14ac:dyDescent="0.3">
      <c r="A30" s="47" t="s">
        <v>187</v>
      </c>
      <c r="B30" s="260">
        <v>8</v>
      </c>
      <c r="C30" s="160"/>
      <c r="D30" s="160"/>
      <c r="E30" s="160"/>
      <c r="F30" s="8"/>
    </row>
    <row r="31" spans="1:6" x14ac:dyDescent="0.3">
      <c r="A31" s="47"/>
      <c r="B31" s="5"/>
      <c r="C31" s="160"/>
      <c r="D31" s="160"/>
      <c r="E31" s="160"/>
      <c r="F31" s="8"/>
    </row>
    <row r="32" spans="1:6" x14ac:dyDescent="0.3">
      <c r="A32" s="47" t="s">
        <v>239</v>
      </c>
      <c r="B32" s="5"/>
      <c r="C32" s="160"/>
      <c r="D32" s="160"/>
      <c r="E32" s="160"/>
      <c r="F32" s="8"/>
    </row>
    <row r="33" spans="1:6" x14ac:dyDescent="0.3">
      <c r="A33" s="47" t="s">
        <v>188</v>
      </c>
      <c r="B33" s="36">
        <f>'Missing Values &amp; Outliers'!K8</f>
        <v>15199757.5</v>
      </c>
      <c r="C33" s="160"/>
      <c r="D33" s="160"/>
      <c r="E33" s="160"/>
      <c r="F33" s="8"/>
    </row>
    <row r="34" spans="1:6" x14ac:dyDescent="0.3">
      <c r="A34" s="47" t="s">
        <v>189</v>
      </c>
      <c r="B34" s="36">
        <f>'Missing Values &amp; Outliers'!K15</f>
        <v>7312964</v>
      </c>
      <c r="C34" s="160"/>
      <c r="D34" s="160"/>
      <c r="E34" s="160"/>
      <c r="F34" s="8"/>
    </row>
    <row r="35" spans="1:6" x14ac:dyDescent="0.3">
      <c r="A35" s="9"/>
      <c r="B35" s="160"/>
      <c r="C35" s="160"/>
      <c r="D35" s="160"/>
      <c r="E35" s="160"/>
      <c r="F35" s="8"/>
    </row>
    <row r="36" spans="1:6" x14ac:dyDescent="0.3">
      <c r="A36" s="9"/>
      <c r="B36" s="160"/>
      <c r="C36" s="160"/>
      <c r="D36" s="160"/>
      <c r="E36" s="160"/>
      <c r="F36" s="8"/>
    </row>
    <row r="37" spans="1:6" ht="16.2" thickBot="1" x14ac:dyDescent="0.35">
      <c r="A37" s="71" t="s">
        <v>235</v>
      </c>
      <c r="B37" s="160"/>
      <c r="C37" s="160"/>
      <c r="D37" s="160"/>
      <c r="E37" s="160"/>
      <c r="F37" s="8"/>
    </row>
    <row r="38" spans="1:6" x14ac:dyDescent="0.3">
      <c r="A38" s="130" t="s">
        <v>190</v>
      </c>
      <c r="B38" s="131" t="s">
        <v>191</v>
      </c>
      <c r="C38" s="131" t="s">
        <v>192</v>
      </c>
      <c r="D38" s="132" t="s">
        <v>193</v>
      </c>
      <c r="E38" s="160"/>
      <c r="F38" s="8"/>
    </row>
    <row r="39" spans="1:6" x14ac:dyDescent="0.3">
      <c r="A39" s="47" t="s">
        <v>194</v>
      </c>
      <c r="B39" s="5">
        <v>5</v>
      </c>
      <c r="C39" s="34" t="s">
        <v>233</v>
      </c>
      <c r="D39" s="10" t="s">
        <v>195</v>
      </c>
      <c r="E39" s="160"/>
      <c r="F39" s="8"/>
    </row>
    <row r="40" spans="1:6" x14ac:dyDescent="0.3">
      <c r="A40" s="47" t="s">
        <v>196</v>
      </c>
      <c r="B40" s="5">
        <v>10</v>
      </c>
      <c r="C40" s="35" t="s">
        <v>197</v>
      </c>
      <c r="D40" s="10" t="s">
        <v>198</v>
      </c>
      <c r="E40" s="160"/>
      <c r="F40" s="8"/>
    </row>
    <row r="41" spans="1:6" x14ac:dyDescent="0.3">
      <c r="A41" s="47" t="s">
        <v>199</v>
      </c>
      <c r="B41" s="5">
        <v>10</v>
      </c>
      <c r="C41" s="35" t="s">
        <v>197</v>
      </c>
      <c r="D41" s="10" t="s">
        <v>200</v>
      </c>
      <c r="E41" s="160"/>
      <c r="F41" s="8"/>
    </row>
    <row r="42" spans="1:6" ht="15" thickBot="1" x14ac:dyDescent="0.35">
      <c r="A42" s="60" t="s">
        <v>201</v>
      </c>
      <c r="B42" s="61">
        <v>8</v>
      </c>
      <c r="C42" s="133" t="s">
        <v>233</v>
      </c>
      <c r="D42" s="62" t="s">
        <v>240</v>
      </c>
      <c r="E42" s="160"/>
      <c r="F42" s="8"/>
    </row>
    <row r="43" spans="1:6" x14ac:dyDescent="0.3">
      <c r="A43" s="9"/>
      <c r="B43" s="160"/>
      <c r="C43" s="160"/>
      <c r="D43" s="160"/>
      <c r="E43" s="160"/>
      <c r="F43" s="8"/>
    </row>
    <row r="44" spans="1:6" x14ac:dyDescent="0.3">
      <c r="A44" s="9"/>
      <c r="B44" s="160"/>
      <c r="C44" s="160"/>
      <c r="D44" s="160"/>
      <c r="E44" s="160"/>
      <c r="F44" s="8"/>
    </row>
    <row r="45" spans="1:6" ht="16.2" thickBot="1" x14ac:dyDescent="0.35">
      <c r="A45" s="71" t="s">
        <v>236</v>
      </c>
      <c r="B45" s="160"/>
      <c r="C45" s="160"/>
      <c r="D45" s="160"/>
      <c r="E45" s="160"/>
      <c r="F45" s="8"/>
    </row>
    <row r="46" spans="1:6" x14ac:dyDescent="0.3">
      <c r="A46" s="124" t="s">
        <v>159</v>
      </c>
      <c r="B46" s="126" t="s">
        <v>160</v>
      </c>
      <c r="C46" s="160"/>
      <c r="D46" s="160"/>
      <c r="E46" s="160"/>
      <c r="F46" s="8"/>
    </row>
    <row r="47" spans="1:6" x14ac:dyDescent="0.3">
      <c r="A47" s="47" t="s">
        <v>234</v>
      </c>
      <c r="B47" s="10">
        <v>93</v>
      </c>
      <c r="C47" s="160"/>
      <c r="D47" s="160"/>
      <c r="E47" s="160"/>
      <c r="F47" s="8"/>
    </row>
    <row r="48" spans="1:6" x14ac:dyDescent="0.3">
      <c r="A48" s="47" t="s">
        <v>202</v>
      </c>
      <c r="B48" s="69">
        <f>SUM('Cleaned Data'!M2:M93)</f>
        <v>5964562939</v>
      </c>
      <c r="C48" s="160"/>
      <c r="D48" s="160"/>
      <c r="E48" s="160"/>
      <c r="F48" s="8"/>
    </row>
    <row r="49" spans="1:6" x14ac:dyDescent="0.3">
      <c r="A49" s="47" t="s">
        <v>203</v>
      </c>
      <c r="B49" s="69">
        <f>SUM('Cleaned Data'!I2:I93)</f>
        <v>1802309.7199999995</v>
      </c>
      <c r="C49" s="160"/>
      <c r="D49" s="160"/>
      <c r="E49" s="160"/>
      <c r="F49" s="8"/>
    </row>
    <row r="50" spans="1:6" x14ac:dyDescent="0.3">
      <c r="A50" s="47" t="s">
        <v>204</v>
      </c>
      <c r="B50" s="66">
        <f>AVERAGE('Cleaned Data'!H2:H93)</f>
        <v>2914.1931350114419</v>
      </c>
      <c r="C50" s="160"/>
      <c r="D50" s="160"/>
      <c r="E50" s="160"/>
      <c r="F50" s="8"/>
    </row>
    <row r="51" spans="1:6" x14ac:dyDescent="0.3">
      <c r="A51" s="47" t="s">
        <v>205</v>
      </c>
      <c r="B51" s="134">
        <f>SUM('Cleaned Data'!K2:K93)</f>
        <v>520726263</v>
      </c>
      <c r="C51" s="160"/>
      <c r="D51" s="160"/>
      <c r="E51" s="160"/>
      <c r="F51" s="8"/>
    </row>
    <row r="52" spans="1:6" x14ac:dyDescent="0.3">
      <c r="A52" s="47" t="s">
        <v>206</v>
      </c>
      <c r="B52" s="67">
        <f>SUM('Cleaned Data'!L2:L93)</f>
        <v>268574250</v>
      </c>
      <c r="C52" s="160"/>
      <c r="D52" s="160"/>
      <c r="E52" s="160"/>
      <c r="F52" s="8"/>
    </row>
    <row r="53" spans="1:6" x14ac:dyDescent="0.3">
      <c r="A53" s="47" t="s">
        <v>323</v>
      </c>
      <c r="B53" s="10">
        <f>GETPIVOTDATA("International &amp; Local Artists",Stage4!$A$54,"International &amp; Local Artists","International  ")</f>
        <v>29</v>
      </c>
      <c r="C53" s="160"/>
      <c r="D53" s="160"/>
      <c r="E53" s="160"/>
      <c r="F53" s="8"/>
    </row>
    <row r="54" spans="1:6" ht="15" thickBot="1" x14ac:dyDescent="0.35">
      <c r="A54" s="60" t="s">
        <v>324</v>
      </c>
      <c r="B54" s="62">
        <f>GETPIVOTDATA("International &amp; Local Artists",Stage4!$A$54,"International &amp; Local Artists","Local Artist")</f>
        <v>63</v>
      </c>
      <c r="C54" s="160"/>
      <c r="D54" s="160"/>
      <c r="E54" s="160"/>
      <c r="F54" s="8"/>
    </row>
    <row r="55" spans="1:6" x14ac:dyDescent="0.3">
      <c r="A55" s="9"/>
      <c r="B55" s="160"/>
      <c r="C55" s="160"/>
      <c r="D55" s="160"/>
      <c r="E55" s="160"/>
      <c r="F55" s="8"/>
    </row>
    <row r="56" spans="1:6" ht="15" thickBot="1" x14ac:dyDescent="0.35">
      <c r="A56" s="12"/>
      <c r="B56" s="13"/>
      <c r="C56" s="13"/>
      <c r="D56" s="13"/>
      <c r="E56" s="13"/>
      <c r="F56" s="14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scale="5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91FC-E113-4C25-8766-9F35BEB63260}">
  <sheetPr codeName="Sheet5"/>
  <dimension ref="A1:V93"/>
  <sheetViews>
    <sheetView workbookViewId="0">
      <pane ySplit="1" topLeftCell="A68" activePane="bottomLeft" state="frozen"/>
      <selection activeCell="E1" sqref="E1"/>
      <selection pane="bottomLeft" activeCell="H14" sqref="H14"/>
    </sheetView>
  </sheetViews>
  <sheetFormatPr defaultRowHeight="14.4" x14ac:dyDescent="0.3"/>
  <cols>
    <col min="1" max="1" width="22.109375" bestFit="1" customWidth="1"/>
    <col min="2" max="2" width="10.21875" bestFit="1" customWidth="1"/>
    <col min="3" max="3" width="10.33203125" bestFit="1" customWidth="1"/>
    <col min="4" max="4" width="15.88671875" bestFit="1" customWidth="1"/>
    <col min="5" max="5" width="16.88671875" bestFit="1" customWidth="1"/>
    <col min="7" max="7" width="44.88671875" bestFit="1" customWidth="1"/>
    <col min="8" max="8" width="16.21875" bestFit="1" customWidth="1"/>
    <col min="9" max="9" width="17.21875" bestFit="1" customWidth="1"/>
    <col min="10" max="10" width="17.21875" customWidth="1"/>
    <col min="11" max="11" width="22.44140625" bestFit="1" customWidth="1"/>
    <col min="12" max="12" width="24.5546875" bestFit="1" customWidth="1"/>
    <col min="13" max="13" width="18.33203125" bestFit="1" customWidth="1"/>
    <col min="14" max="14" width="13.5546875" bestFit="1" customWidth="1"/>
    <col min="15" max="15" width="17.33203125" bestFit="1" customWidth="1"/>
    <col min="16" max="16" width="18.21875" bestFit="1" customWidth="1"/>
    <col min="17" max="17" width="25.109375" bestFit="1" customWidth="1"/>
    <col min="18" max="18" width="28.21875" bestFit="1" customWidth="1"/>
    <col min="19" max="19" width="22.109375" bestFit="1" customWidth="1"/>
    <col min="20" max="20" width="34" bestFit="1" customWidth="1"/>
    <col min="21" max="21" width="10.88671875" bestFit="1" customWidth="1"/>
    <col min="22" max="22" width="44.88671875" bestFit="1" customWidth="1"/>
  </cols>
  <sheetData>
    <row r="1" spans="1:2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326</v>
      </c>
      <c r="G1" s="15" t="s">
        <v>5</v>
      </c>
      <c r="H1" s="15" t="s">
        <v>6</v>
      </c>
      <c r="I1" s="15" t="s">
        <v>7</v>
      </c>
      <c r="J1" s="15" t="s">
        <v>340</v>
      </c>
      <c r="K1" s="15" t="s">
        <v>8</v>
      </c>
      <c r="L1" s="15" t="s">
        <v>9</v>
      </c>
      <c r="M1" s="15" t="s">
        <v>10</v>
      </c>
      <c r="N1" s="27" t="s">
        <v>265</v>
      </c>
      <c r="O1" s="27" t="s">
        <v>266</v>
      </c>
      <c r="P1" s="27" t="s">
        <v>267</v>
      </c>
      <c r="Q1" s="27" t="s">
        <v>268</v>
      </c>
      <c r="R1" s="27" t="s">
        <v>269</v>
      </c>
      <c r="S1" s="27" t="s">
        <v>270</v>
      </c>
      <c r="T1" s="27" t="s">
        <v>271</v>
      </c>
      <c r="U1" s="27" t="s">
        <v>272</v>
      </c>
      <c r="V1" s="27" t="s">
        <v>273</v>
      </c>
    </row>
    <row r="2" spans="1:22" x14ac:dyDescent="0.3">
      <c r="A2" t="s">
        <v>11</v>
      </c>
      <c r="B2" t="s">
        <v>12</v>
      </c>
      <c r="C2" s="1">
        <v>45303</v>
      </c>
      <c r="E2" t="s">
        <v>13</v>
      </c>
      <c r="F2" t="str">
        <f>VLOOKUP(E2,'Missing Values &amp; Outliers'!$O$10:$P$19,2,0)</f>
        <v>Local Artist</v>
      </c>
      <c r="G2" t="s">
        <v>14</v>
      </c>
      <c r="H2">
        <v>1253</v>
      </c>
      <c r="I2">
        <v>6166</v>
      </c>
      <c r="J2" s="26">
        <f>I2*H2</f>
        <v>7725998</v>
      </c>
      <c r="K2">
        <v>1942290</v>
      </c>
      <c r="L2">
        <v>3680408</v>
      </c>
      <c r="M2">
        <v>13348696</v>
      </c>
      <c r="N2" t="str" cm="1">
        <f t="array" ref="N2:V2">VLOOKUP(E2,[1]Artist_Popularity_Data!$A$2:$I$11,{1,2,3,4,5,6,7,8,9},0)</f>
        <v>Badshah</v>
      </c>
      <c r="O2" t="str">
        <v>Bollywood</v>
      </c>
      <c r="P2">
        <v>3351</v>
      </c>
      <c r="Q2">
        <v>36448</v>
      </c>
      <c r="R2">
        <v>33</v>
      </c>
      <c r="S2">
        <v>483</v>
      </c>
      <c r="T2">
        <v>20228640</v>
      </c>
      <c r="U2" t="str">
        <v>No</v>
      </c>
      <c r="V2" t="str">
        <v>Nagpur, Goa, Amritsar, Chandigarh, Mumbai</v>
      </c>
    </row>
    <row r="3" spans="1:22" x14ac:dyDescent="0.3">
      <c r="A3" t="s">
        <v>11</v>
      </c>
      <c r="B3" t="s">
        <v>19</v>
      </c>
      <c r="C3" s="1">
        <v>45553</v>
      </c>
      <c r="D3" t="s">
        <v>20</v>
      </c>
      <c r="E3" t="s">
        <v>21</v>
      </c>
      <c r="F3" t="str">
        <f>VLOOKUP(E3,'Missing Values &amp; Outliers'!$O$10:$P$19,2,0)</f>
        <v xml:space="preserve">International  </v>
      </c>
      <c r="G3" t="s">
        <v>22</v>
      </c>
      <c r="H3">
        <v>6813.8</v>
      </c>
      <c r="I3">
        <v>17889.900000000001</v>
      </c>
      <c r="J3" s="26">
        <f t="shared" ref="J3:J66" si="0">I3*H3</f>
        <v>121898200.62000002</v>
      </c>
      <c r="K3">
        <v>7667100</v>
      </c>
      <c r="L3">
        <v>640053</v>
      </c>
      <c r="M3">
        <v>132693072</v>
      </c>
      <c r="N3" t="str" cm="1">
        <f t="array" ref="N3:V3">VLOOKUP(E3,[1]Artist_Popularity_Data!$A$2:$I$11,{1,2,3,4,5,6,7,8,9},0)</f>
        <v>Bryan Adams</v>
      </c>
      <c r="O3" t="str">
        <v>Rock</v>
      </c>
      <c r="P3">
        <v>992</v>
      </c>
      <c r="Q3">
        <v>21632.555555555555</v>
      </c>
      <c r="R3">
        <v>30</v>
      </c>
      <c r="S3">
        <v>81</v>
      </c>
      <c r="T3">
        <v>8678356</v>
      </c>
      <c r="U3" t="str">
        <v>Yes</v>
      </c>
      <c r="V3" t="str">
        <v>Delhi, Jaipur, Bengaluru, Mumbai</v>
      </c>
    </row>
    <row r="4" spans="1:22" x14ac:dyDescent="0.3">
      <c r="A4" t="s">
        <v>23</v>
      </c>
      <c r="B4" t="s">
        <v>24</v>
      </c>
      <c r="C4" s="1">
        <v>45353</v>
      </c>
      <c r="E4" t="s">
        <v>17</v>
      </c>
      <c r="F4" t="str">
        <f>VLOOKUP(E4,'Missing Values &amp; Outliers'!$O$10:$P$19,2,0)</f>
        <v>Local Artist</v>
      </c>
      <c r="G4" t="s">
        <v>25</v>
      </c>
      <c r="H4">
        <v>2144</v>
      </c>
      <c r="I4">
        <v>14688</v>
      </c>
      <c r="J4" s="26">
        <f t="shared" si="0"/>
        <v>31491072</v>
      </c>
      <c r="K4">
        <v>2350080</v>
      </c>
      <c r="L4">
        <v>2712686</v>
      </c>
      <c r="M4">
        <v>36553838</v>
      </c>
      <c r="N4" t="str" cm="1">
        <f t="array" ref="N4:V4">VLOOKUP(E4,[1]Artist_Popularity_Data!$A$2:$I$11,{1,2,3,4,5,6,7,8,9},0)</f>
        <v>Honey Singh</v>
      </c>
      <c r="O4" t="str">
        <v>Hip-Hop</v>
      </c>
      <c r="P4">
        <v>1573</v>
      </c>
      <c r="Q4">
        <v>35223</v>
      </c>
      <c r="R4">
        <v>34</v>
      </c>
      <c r="S4">
        <v>430</v>
      </c>
      <c r="T4">
        <v>25360560</v>
      </c>
      <c r="U4" t="str">
        <v>No</v>
      </c>
      <c r="V4" t="str">
        <v>Pune, Amritsar, Bengaluru</v>
      </c>
    </row>
    <row r="5" spans="1:22" x14ac:dyDescent="0.3">
      <c r="A5" t="s">
        <v>26</v>
      </c>
      <c r="B5" t="s">
        <v>27</v>
      </c>
      <c r="C5" s="1">
        <v>45454</v>
      </c>
      <c r="D5" t="s">
        <v>28</v>
      </c>
      <c r="E5" t="s">
        <v>29</v>
      </c>
      <c r="F5" t="str">
        <f>VLOOKUP(E5,'Missing Values &amp; Outliers'!$O$10:$P$19,2,0)</f>
        <v>Local Artist</v>
      </c>
      <c r="G5" t="s">
        <v>30</v>
      </c>
      <c r="H5">
        <v>1886</v>
      </c>
      <c r="I5">
        <v>35244</v>
      </c>
      <c r="J5" s="26">
        <f t="shared" si="0"/>
        <v>66470184</v>
      </c>
      <c r="K5">
        <v>6132456</v>
      </c>
      <c r="L5">
        <v>1181193</v>
      </c>
      <c r="M5">
        <v>73783833</v>
      </c>
      <c r="N5" t="str" cm="1">
        <f t="array" ref="N5:V5">VLOOKUP(E5,[1]Artist_Popularity_Data!$A$2:$I$11,{1,2,3,4,5,6,7,8,9},0)</f>
        <v>Arijit Singh</v>
      </c>
      <c r="O5" t="str">
        <v>Bollywood</v>
      </c>
      <c r="P5">
        <v>2437</v>
      </c>
      <c r="Q5">
        <v>25729</v>
      </c>
      <c r="R5">
        <v>30</v>
      </c>
      <c r="S5">
        <v>584</v>
      </c>
      <c r="T5">
        <v>18730712</v>
      </c>
      <c r="U5" t="str">
        <v>Yes</v>
      </c>
      <c r="V5" t="str">
        <v>Nagpur, Jaipur, Chandigarh</v>
      </c>
    </row>
    <row r="6" spans="1:22" x14ac:dyDescent="0.3">
      <c r="A6" t="s">
        <v>15</v>
      </c>
      <c r="B6" t="s">
        <v>31</v>
      </c>
      <c r="C6" s="1">
        <v>45437</v>
      </c>
      <c r="E6" t="s">
        <v>32</v>
      </c>
      <c r="F6" t="str">
        <f>VLOOKUP(E6,'Missing Values &amp; Outliers'!$O$10:$P$19,2,0)</f>
        <v>Local Artist</v>
      </c>
      <c r="G6" t="s">
        <v>33</v>
      </c>
      <c r="H6">
        <v>3984</v>
      </c>
      <c r="I6">
        <v>20798.88</v>
      </c>
      <c r="J6" s="26">
        <f t="shared" si="0"/>
        <v>82862737.920000002</v>
      </c>
      <c r="K6">
        <v>2252122</v>
      </c>
      <c r="L6">
        <v>2302603</v>
      </c>
      <c r="M6">
        <v>58605653</v>
      </c>
      <c r="N6" t="str" cm="1">
        <f t="array" ref="N6:V6">VLOOKUP(E6,[1]Artist_Popularity_Data!$A$2:$I$11,{1,2,3,4,5,6,7,8,9},0)</f>
        <v>Mika Singh</v>
      </c>
      <c r="O6" t="str">
        <v>Bollywood</v>
      </c>
      <c r="P6">
        <v>1025</v>
      </c>
      <c r="Q6">
        <v>11057</v>
      </c>
      <c r="R6">
        <v>12</v>
      </c>
      <c r="S6">
        <v>371</v>
      </c>
      <c r="T6">
        <v>7983154</v>
      </c>
      <c r="U6" t="str">
        <v>No</v>
      </c>
      <c r="V6" t="str">
        <v>Delhi, Amritsar, Bengaluru, Mumbai</v>
      </c>
    </row>
    <row r="7" spans="1:22" x14ac:dyDescent="0.3">
      <c r="A7" t="s">
        <v>15</v>
      </c>
      <c r="B7" t="s">
        <v>24</v>
      </c>
      <c r="C7" s="1">
        <v>45371</v>
      </c>
      <c r="D7" t="s">
        <v>20</v>
      </c>
      <c r="E7" t="s">
        <v>21</v>
      </c>
      <c r="F7" t="str">
        <f>VLOOKUP(E7,'Missing Values &amp; Outliers'!$O$10:$P$19,2,0)</f>
        <v xml:space="preserve">International  </v>
      </c>
      <c r="G7" t="s">
        <v>34</v>
      </c>
      <c r="H7" s="3">
        <v>2910.2168421052634</v>
      </c>
      <c r="I7">
        <v>18778.2</v>
      </c>
      <c r="J7" s="26">
        <f t="shared" si="0"/>
        <v>54648633.904421061</v>
      </c>
      <c r="K7">
        <v>4828680</v>
      </c>
      <c r="L7">
        <v>4948076</v>
      </c>
      <c r="M7">
        <v>111635078</v>
      </c>
      <c r="N7" t="str" cm="1">
        <f t="array" ref="N7:V7">VLOOKUP(E7,[1]Artist_Popularity_Data!$A$2:$I$11,{1,2,3,4,5,6,7,8,9},0)</f>
        <v>Bryan Adams</v>
      </c>
      <c r="O7" t="str">
        <v>Rock</v>
      </c>
      <c r="P7">
        <v>992</v>
      </c>
      <c r="Q7">
        <v>21632.555555555555</v>
      </c>
      <c r="R7">
        <v>30</v>
      </c>
      <c r="S7">
        <v>81</v>
      </c>
      <c r="T7">
        <v>8678356</v>
      </c>
      <c r="U7" t="str">
        <v>Yes</v>
      </c>
      <c r="V7" t="str">
        <v>Delhi, Jaipur, Bengaluru, Mumbai</v>
      </c>
    </row>
    <row r="8" spans="1:22" x14ac:dyDescent="0.3">
      <c r="A8" t="s">
        <v>11</v>
      </c>
      <c r="B8" t="s">
        <v>27</v>
      </c>
      <c r="C8" s="1">
        <v>45462</v>
      </c>
      <c r="E8" t="s">
        <v>13</v>
      </c>
      <c r="F8" t="str">
        <f>VLOOKUP(E8,'Missing Values &amp; Outliers'!$O$10:$P$19,2,0)</f>
        <v>Local Artist</v>
      </c>
      <c r="G8" t="s">
        <v>35</v>
      </c>
      <c r="H8">
        <v>840</v>
      </c>
      <c r="I8">
        <v>33535</v>
      </c>
      <c r="J8" s="26">
        <f t="shared" si="0"/>
        <v>28169400</v>
      </c>
      <c r="K8">
        <v>12206740</v>
      </c>
      <c r="L8">
        <v>1201595</v>
      </c>
      <c r="M8">
        <v>41577735</v>
      </c>
      <c r="N8" t="str" cm="1">
        <f t="array" ref="N8:V8">VLOOKUP(E8,[1]Artist_Popularity_Data!$A$2:$I$11,{1,2,3,4,5,6,7,8,9},0)</f>
        <v>Badshah</v>
      </c>
      <c r="O8" t="str">
        <v>Bollywood</v>
      </c>
      <c r="P8">
        <v>3351</v>
      </c>
      <c r="Q8">
        <v>36448</v>
      </c>
      <c r="R8">
        <v>33</v>
      </c>
      <c r="S8">
        <v>483</v>
      </c>
      <c r="T8">
        <v>20228640</v>
      </c>
      <c r="U8" t="str">
        <v>No</v>
      </c>
      <c r="V8" t="str">
        <v>Nagpur, Goa, Amritsar, Chandigarh, Mumbai</v>
      </c>
    </row>
    <row r="9" spans="1:22" x14ac:dyDescent="0.3">
      <c r="A9" t="s">
        <v>36</v>
      </c>
      <c r="B9" t="s">
        <v>16</v>
      </c>
      <c r="C9" s="1">
        <v>45440</v>
      </c>
      <c r="E9" t="s">
        <v>37</v>
      </c>
      <c r="F9" t="str">
        <f>VLOOKUP(E9,'Missing Values &amp; Outliers'!$O$10:$P$19,2,0)</f>
        <v>Local Artist</v>
      </c>
      <c r="G9" t="s">
        <v>38</v>
      </c>
      <c r="H9">
        <v>4191</v>
      </c>
      <c r="I9">
        <v>20798.88</v>
      </c>
      <c r="J9" s="26">
        <f t="shared" si="0"/>
        <v>87168106.079999998</v>
      </c>
      <c r="K9">
        <v>4279770</v>
      </c>
      <c r="L9">
        <v>3427104</v>
      </c>
      <c r="M9">
        <v>81824709</v>
      </c>
      <c r="N9" t="str" cm="1">
        <f t="array" ref="N9:V9">VLOOKUP(E9,[1]Artist_Popularity_Data!$A$2:$I$11,{1,2,3,4,5,6,7,8,9},0)</f>
        <v>Shreya Ghoshal</v>
      </c>
      <c r="O9" t="str">
        <v>Classical/Bollywood</v>
      </c>
      <c r="P9">
        <v>3326</v>
      </c>
      <c r="Q9">
        <v>3197</v>
      </c>
      <c r="R9">
        <v>23</v>
      </c>
      <c r="S9">
        <v>271</v>
      </c>
      <c r="T9">
        <v>792856</v>
      </c>
      <c r="U9" t="str">
        <v>No</v>
      </c>
      <c r="V9" t="str">
        <v>Pune, Mumbai, Delhi, Bengaluru, Amritsar</v>
      </c>
    </row>
    <row r="10" spans="1:22" x14ac:dyDescent="0.3">
      <c r="A10" t="s">
        <v>39</v>
      </c>
      <c r="B10" t="s">
        <v>12</v>
      </c>
      <c r="C10" s="1">
        <v>45319</v>
      </c>
      <c r="E10" t="s">
        <v>17</v>
      </c>
      <c r="F10" t="str">
        <f>VLOOKUP(E10,'Missing Values &amp; Outliers'!$O$10:$P$19,2,0)</f>
        <v>Local Artist</v>
      </c>
      <c r="G10" t="s">
        <v>40</v>
      </c>
      <c r="H10">
        <v>1823</v>
      </c>
      <c r="I10">
        <v>15513</v>
      </c>
      <c r="J10" s="26">
        <f t="shared" si="0"/>
        <v>28280199</v>
      </c>
      <c r="K10">
        <v>7539318</v>
      </c>
      <c r="L10">
        <v>3948781</v>
      </c>
      <c r="M10">
        <v>39768298</v>
      </c>
      <c r="N10" t="str" cm="1">
        <f t="array" ref="N10:V10">VLOOKUP(E10,[1]Artist_Popularity_Data!$A$2:$I$11,{1,2,3,4,5,6,7,8,9},0)</f>
        <v>Honey Singh</v>
      </c>
      <c r="O10" t="str">
        <v>Hip-Hop</v>
      </c>
      <c r="P10">
        <v>1573</v>
      </c>
      <c r="Q10">
        <v>35223</v>
      </c>
      <c r="R10">
        <v>34</v>
      </c>
      <c r="S10">
        <v>430</v>
      </c>
      <c r="T10">
        <v>25360560</v>
      </c>
      <c r="U10" t="str">
        <v>No</v>
      </c>
      <c r="V10" t="str">
        <v>Pune, Amritsar, Bengaluru</v>
      </c>
    </row>
    <row r="11" spans="1:22" x14ac:dyDescent="0.3">
      <c r="A11" t="s">
        <v>26</v>
      </c>
      <c r="B11" t="s">
        <v>31</v>
      </c>
      <c r="C11" s="1">
        <v>45462</v>
      </c>
      <c r="E11" t="s">
        <v>41</v>
      </c>
      <c r="F11" t="str">
        <f>VLOOKUP(E11,'Missing Values &amp; Outliers'!$O$10:$P$19,2,0)</f>
        <v xml:space="preserve">International  </v>
      </c>
      <c r="G11" t="s">
        <v>42</v>
      </c>
      <c r="H11">
        <v>3953.6</v>
      </c>
      <c r="I11">
        <v>21693</v>
      </c>
      <c r="J11" s="26">
        <f t="shared" si="0"/>
        <v>85765444.799999997</v>
      </c>
      <c r="K11">
        <v>9306297</v>
      </c>
      <c r="L11">
        <v>4798020</v>
      </c>
      <c r="M11">
        <v>75365349</v>
      </c>
      <c r="N11" t="str" cm="1">
        <f t="array" ref="N11:V11">VLOOKUP(E11,[1]Artist_Popularity_Data!$A$2:$I$11,{1,2,3,4,5,6,7,8,9},0)</f>
        <v>DJ Snake</v>
      </c>
      <c r="O11" t="str">
        <v>EDM</v>
      </c>
      <c r="P11">
        <v>1431</v>
      </c>
      <c r="Q11">
        <v>19089</v>
      </c>
      <c r="R11">
        <v>32</v>
      </c>
      <c r="S11">
        <v>429</v>
      </c>
      <c r="T11">
        <v>10193526</v>
      </c>
      <c r="U11" t="str">
        <v>No</v>
      </c>
      <c r="V11" t="str">
        <v>Bengaluru, Jaipur, Mumbai, Chandigarh, Kolkata, Delhi</v>
      </c>
    </row>
    <row r="12" spans="1:22" x14ac:dyDescent="0.3">
      <c r="A12" t="s">
        <v>43</v>
      </c>
      <c r="B12" t="s">
        <v>24</v>
      </c>
      <c r="C12" s="1">
        <v>45649</v>
      </c>
      <c r="E12" t="s">
        <v>37</v>
      </c>
      <c r="F12" t="str">
        <f>VLOOKUP(E12,'Missing Values &amp; Outliers'!$O$10:$P$19,2,0)</f>
        <v>Local Artist</v>
      </c>
      <c r="G12" t="s">
        <v>44</v>
      </c>
      <c r="H12">
        <v>2842</v>
      </c>
      <c r="I12">
        <v>24021</v>
      </c>
      <c r="J12" s="26">
        <f t="shared" si="0"/>
        <v>68267682</v>
      </c>
      <c r="K12">
        <v>5020389</v>
      </c>
      <c r="L12">
        <v>2851905</v>
      </c>
      <c r="M12">
        <v>76139976</v>
      </c>
      <c r="N12" t="str" cm="1">
        <f t="array" ref="N12:V12">VLOOKUP(E12,[1]Artist_Popularity_Data!$A$2:$I$11,{1,2,3,4,5,6,7,8,9},0)</f>
        <v>Shreya Ghoshal</v>
      </c>
      <c r="O12" t="str">
        <v>Classical/Bollywood</v>
      </c>
      <c r="P12">
        <v>3326</v>
      </c>
      <c r="Q12">
        <v>3197</v>
      </c>
      <c r="R12">
        <v>23</v>
      </c>
      <c r="S12">
        <v>271</v>
      </c>
      <c r="T12">
        <v>792856</v>
      </c>
      <c r="U12" t="str">
        <v>No</v>
      </c>
      <c r="V12" t="str">
        <v>Pune, Mumbai, Delhi, Bengaluru, Amritsar</v>
      </c>
    </row>
    <row r="13" spans="1:22" x14ac:dyDescent="0.3">
      <c r="A13" t="s">
        <v>45</v>
      </c>
      <c r="B13" t="s">
        <v>46</v>
      </c>
      <c r="C13" s="1">
        <v>45428</v>
      </c>
      <c r="D13" t="s">
        <v>47</v>
      </c>
      <c r="E13" t="s">
        <v>48</v>
      </c>
      <c r="F13" t="str">
        <f>VLOOKUP(E13,'Missing Values &amp; Outliers'!$O$10:$P$19,2,0)</f>
        <v>Local Artist</v>
      </c>
      <c r="G13" t="s">
        <v>49</v>
      </c>
      <c r="H13">
        <v>528</v>
      </c>
      <c r="I13">
        <v>33241</v>
      </c>
      <c r="J13" s="26">
        <f t="shared" si="0"/>
        <v>17551248</v>
      </c>
      <c r="K13">
        <v>2659280</v>
      </c>
      <c r="L13">
        <v>3167786</v>
      </c>
      <c r="M13">
        <v>19328026</v>
      </c>
      <c r="N13" t="str" cm="1">
        <f t="array" ref="N13:V13">VLOOKUP(E13,[1]Artist_Popularity_Data!$A$2:$I$11,{1,2,3,4,5,6,7,8,9},0)</f>
        <v>Diljit Dosanjh</v>
      </c>
      <c r="O13" t="str">
        <v>Punjabi</v>
      </c>
      <c r="P13">
        <v>2027</v>
      </c>
      <c r="Q13">
        <v>33738</v>
      </c>
      <c r="R13">
        <v>46</v>
      </c>
      <c r="S13">
        <v>116</v>
      </c>
      <c r="T13">
        <v>22334556</v>
      </c>
      <c r="U13" t="str">
        <v>Yes</v>
      </c>
      <c r="V13" t="str">
        <v>Amritsar, Kolkata, Delhi, Mumbai, Bengaluru</v>
      </c>
    </row>
    <row r="14" spans="1:22" x14ac:dyDescent="0.3">
      <c r="A14" t="s">
        <v>50</v>
      </c>
      <c r="B14" t="s">
        <v>51</v>
      </c>
      <c r="C14" s="1">
        <v>45644</v>
      </c>
      <c r="E14" t="s">
        <v>52</v>
      </c>
      <c r="F14" t="str">
        <f>VLOOKUP(E14,'Missing Values &amp; Outliers'!$O$10:$P$19,2,0)</f>
        <v xml:space="preserve">International  </v>
      </c>
      <c r="G14" t="s">
        <v>53</v>
      </c>
      <c r="H14">
        <v>1543</v>
      </c>
      <c r="I14">
        <v>19867</v>
      </c>
      <c r="J14" s="26">
        <f t="shared" si="0"/>
        <v>30654781</v>
      </c>
      <c r="K14">
        <v>2821114</v>
      </c>
      <c r="L14">
        <v>2897760</v>
      </c>
      <c r="M14">
        <v>36373655</v>
      </c>
      <c r="N14" t="str" cm="1">
        <f t="array" ref="N14:V14">VLOOKUP(E14,[1]Artist_Popularity_Data!$A$2:$I$11,{1,2,3,4,5,6,7,8,9},0)</f>
        <v>Martin Garrix</v>
      </c>
      <c r="O14" t="str">
        <v>EDM</v>
      </c>
      <c r="P14">
        <v>2499</v>
      </c>
      <c r="Q14">
        <v>11603</v>
      </c>
      <c r="R14">
        <v>43</v>
      </c>
      <c r="S14">
        <v>298</v>
      </c>
      <c r="T14">
        <v>6462871</v>
      </c>
      <c r="U14" t="str">
        <v>No</v>
      </c>
      <c r="V14" t="str">
        <v>Chandigarh, Delhi, Pune, Nagpur, Bengaluru, Kolkata</v>
      </c>
    </row>
    <row r="15" spans="1:22" x14ac:dyDescent="0.3">
      <c r="A15" t="s">
        <v>26</v>
      </c>
      <c r="B15" t="s">
        <v>54</v>
      </c>
      <c r="C15" s="1">
        <v>45344</v>
      </c>
      <c r="E15" t="s">
        <v>37</v>
      </c>
      <c r="F15" t="str">
        <f>VLOOKUP(E15,'Missing Values &amp; Outliers'!$O$10:$P$19,2,0)</f>
        <v>Local Artist</v>
      </c>
      <c r="G15" t="s">
        <v>55</v>
      </c>
      <c r="H15">
        <v>2188</v>
      </c>
      <c r="I15">
        <v>20603</v>
      </c>
      <c r="J15" s="26">
        <f t="shared" si="0"/>
        <v>45079364</v>
      </c>
      <c r="K15">
        <v>9559792</v>
      </c>
      <c r="L15">
        <v>4600450</v>
      </c>
      <c r="M15">
        <v>59239606</v>
      </c>
      <c r="N15" t="str" cm="1">
        <f t="array" ref="N15:V15">VLOOKUP(E15,[1]Artist_Popularity_Data!$A$2:$I$11,{1,2,3,4,5,6,7,8,9},0)</f>
        <v>Shreya Ghoshal</v>
      </c>
      <c r="O15" t="str">
        <v>Classical/Bollywood</v>
      </c>
      <c r="P15">
        <v>3326</v>
      </c>
      <c r="Q15">
        <v>3197</v>
      </c>
      <c r="R15">
        <v>23</v>
      </c>
      <c r="S15">
        <v>271</v>
      </c>
      <c r="T15">
        <v>792856</v>
      </c>
      <c r="U15" t="str">
        <v>No</v>
      </c>
      <c r="V15" t="str">
        <v>Pune, Mumbai, Delhi, Bengaluru, Amritsar</v>
      </c>
    </row>
    <row r="16" spans="1:22" x14ac:dyDescent="0.3">
      <c r="A16" t="s">
        <v>23</v>
      </c>
      <c r="B16" t="s">
        <v>12</v>
      </c>
      <c r="C16" s="1">
        <v>45581</v>
      </c>
      <c r="D16" t="s">
        <v>20</v>
      </c>
      <c r="E16" t="s">
        <v>21</v>
      </c>
      <c r="F16" t="str">
        <f>VLOOKUP(E16,'Missing Values &amp; Outliers'!$O$10:$P$19,2,0)</f>
        <v xml:space="preserve">International  </v>
      </c>
      <c r="G16" t="s">
        <v>56</v>
      </c>
      <c r="H16">
        <v>2217.6</v>
      </c>
      <c r="I16">
        <v>9504.6</v>
      </c>
      <c r="J16" s="26">
        <f t="shared" si="0"/>
        <v>21077400.960000001</v>
      </c>
      <c r="K16">
        <v>5892852</v>
      </c>
      <c r="L16">
        <v>795307</v>
      </c>
      <c r="M16">
        <v>28195711</v>
      </c>
      <c r="N16" t="str" cm="1">
        <f t="array" ref="N16:V16">VLOOKUP(E16,[1]Artist_Popularity_Data!$A$2:$I$11,{1,2,3,4,5,6,7,8,9},0)</f>
        <v>Bryan Adams</v>
      </c>
      <c r="O16" t="str">
        <v>Rock</v>
      </c>
      <c r="P16">
        <v>992</v>
      </c>
      <c r="Q16">
        <v>21632.555555555555</v>
      </c>
      <c r="R16">
        <v>30</v>
      </c>
      <c r="S16">
        <v>81</v>
      </c>
      <c r="T16">
        <v>8678356</v>
      </c>
      <c r="U16" t="str">
        <v>Yes</v>
      </c>
      <c r="V16" t="str">
        <v>Delhi, Jaipur, Bengaluru, Mumbai</v>
      </c>
    </row>
    <row r="17" spans="1:22" x14ac:dyDescent="0.3">
      <c r="A17" t="s">
        <v>39</v>
      </c>
      <c r="B17" t="s">
        <v>16</v>
      </c>
      <c r="C17" s="1">
        <v>45455</v>
      </c>
      <c r="D17" t="s">
        <v>20</v>
      </c>
      <c r="E17" t="s">
        <v>21</v>
      </c>
      <c r="F17" t="str">
        <f>VLOOKUP(E17,'Missing Values &amp; Outliers'!$O$10:$P$19,2,0)</f>
        <v xml:space="preserve">International  </v>
      </c>
      <c r="G17" t="s">
        <v>57</v>
      </c>
      <c r="H17">
        <v>5397</v>
      </c>
      <c r="I17">
        <v>9158.1</v>
      </c>
      <c r="J17" s="26">
        <f t="shared" si="0"/>
        <v>49426265.700000003</v>
      </c>
      <c r="K17">
        <v>1687707</v>
      </c>
      <c r="L17">
        <v>2188470</v>
      </c>
      <c r="M17">
        <v>54311142</v>
      </c>
      <c r="N17" t="str" cm="1">
        <f t="array" ref="N17:V17">VLOOKUP(E17,[1]Artist_Popularity_Data!$A$2:$I$11,{1,2,3,4,5,6,7,8,9},0)</f>
        <v>Bryan Adams</v>
      </c>
      <c r="O17" t="str">
        <v>Rock</v>
      </c>
      <c r="P17">
        <v>992</v>
      </c>
      <c r="Q17">
        <v>21632.555555555555</v>
      </c>
      <c r="R17">
        <v>30</v>
      </c>
      <c r="S17">
        <v>81</v>
      </c>
      <c r="T17">
        <v>8678356</v>
      </c>
      <c r="U17" t="str">
        <v>Yes</v>
      </c>
      <c r="V17" t="str">
        <v>Delhi, Jaipur, Bengaluru, Mumbai</v>
      </c>
    </row>
    <row r="18" spans="1:22" x14ac:dyDescent="0.3">
      <c r="A18" t="s">
        <v>15</v>
      </c>
      <c r="B18" t="s">
        <v>46</v>
      </c>
      <c r="C18" s="1">
        <v>45384</v>
      </c>
      <c r="D18" t="s">
        <v>58</v>
      </c>
      <c r="E18" t="s">
        <v>59</v>
      </c>
      <c r="F18" t="str">
        <f>VLOOKUP(E18,'Missing Values &amp; Outliers'!$O$10:$P$19,2,0)</f>
        <v xml:space="preserve">International  </v>
      </c>
      <c r="G18" t="s">
        <v>60</v>
      </c>
      <c r="H18">
        <v>1601.6</v>
      </c>
      <c r="I18">
        <v>11790</v>
      </c>
      <c r="J18" s="26">
        <f t="shared" si="0"/>
        <v>18882864</v>
      </c>
      <c r="K18">
        <v>3030030</v>
      </c>
      <c r="L18">
        <v>3635278</v>
      </c>
      <c r="M18">
        <v>20153068</v>
      </c>
      <c r="N18" t="str" cm="1">
        <f t="array" ref="N18:V18">VLOOKUP(E18,[1]Artist_Popularity_Data!$A$2:$I$11,{1,2,3,4,5,6,7,8,9},0)</f>
        <v>Ed Sheeran</v>
      </c>
      <c r="O18" t="str">
        <v>International Pop</v>
      </c>
      <c r="P18">
        <v>3436</v>
      </c>
      <c r="Q18">
        <v>18609</v>
      </c>
      <c r="R18">
        <v>55</v>
      </c>
      <c r="S18">
        <v>736</v>
      </c>
      <c r="T18">
        <v>4856949</v>
      </c>
      <c r="U18" t="str">
        <v>Yes</v>
      </c>
      <c r="V18" t="str">
        <v>Pune, Amritsar, Goa, Chandigarh</v>
      </c>
    </row>
    <row r="19" spans="1:22" x14ac:dyDescent="0.3">
      <c r="A19" t="s">
        <v>15</v>
      </c>
      <c r="B19" t="s">
        <v>16</v>
      </c>
      <c r="C19" s="1">
        <v>45531</v>
      </c>
      <c r="E19" t="s">
        <v>37</v>
      </c>
      <c r="F19" t="str">
        <f>VLOOKUP(E19,'Missing Values &amp; Outliers'!$O$10:$P$19,2,0)</f>
        <v>Local Artist</v>
      </c>
      <c r="G19" t="s">
        <v>61</v>
      </c>
      <c r="H19">
        <v>4564</v>
      </c>
      <c r="I19">
        <v>31755</v>
      </c>
      <c r="J19" s="26">
        <f t="shared" si="0"/>
        <v>144929820</v>
      </c>
      <c r="K19">
        <v>6890835</v>
      </c>
      <c r="L19">
        <v>4732974</v>
      </c>
      <c r="M19">
        <v>156553629</v>
      </c>
      <c r="N19" t="str" cm="1">
        <f t="array" ref="N19:V19">VLOOKUP(E19,[1]Artist_Popularity_Data!$A$2:$I$11,{1,2,3,4,5,6,7,8,9},0)</f>
        <v>Shreya Ghoshal</v>
      </c>
      <c r="O19" t="str">
        <v>Classical/Bollywood</v>
      </c>
      <c r="P19">
        <v>3326</v>
      </c>
      <c r="Q19">
        <v>3197</v>
      </c>
      <c r="R19">
        <v>23</v>
      </c>
      <c r="S19">
        <v>271</v>
      </c>
      <c r="T19">
        <v>792856</v>
      </c>
      <c r="U19" t="str">
        <v>No</v>
      </c>
      <c r="V19" t="str">
        <v>Pune, Mumbai, Delhi, Bengaluru, Amritsar</v>
      </c>
    </row>
    <row r="20" spans="1:22" x14ac:dyDescent="0.3">
      <c r="A20" t="s">
        <v>43</v>
      </c>
      <c r="B20" t="s">
        <v>27</v>
      </c>
      <c r="C20" s="1">
        <v>45634</v>
      </c>
      <c r="D20" t="s">
        <v>20</v>
      </c>
      <c r="E20" t="s">
        <v>21</v>
      </c>
      <c r="F20" t="str">
        <f>VLOOKUP(E20,'Missing Values &amp; Outliers'!$O$10:$P$19,2,0)</f>
        <v xml:space="preserve">International  </v>
      </c>
      <c r="G20" t="s">
        <v>62</v>
      </c>
      <c r="H20">
        <v>3350.2</v>
      </c>
      <c r="I20">
        <v>2975.7</v>
      </c>
      <c r="J20" s="26">
        <f t="shared" si="0"/>
        <v>9969190.1399999987</v>
      </c>
      <c r="K20">
        <v>1041495</v>
      </c>
      <c r="L20">
        <v>3001940</v>
      </c>
      <c r="M20">
        <v>14216078</v>
      </c>
      <c r="N20" t="str" cm="1">
        <f t="array" ref="N20:V20">VLOOKUP(E20,[1]Artist_Popularity_Data!$A$2:$I$11,{1,2,3,4,5,6,7,8,9},0)</f>
        <v>Bryan Adams</v>
      </c>
      <c r="O20" t="str">
        <v>Rock</v>
      </c>
      <c r="P20">
        <v>992</v>
      </c>
      <c r="Q20">
        <v>21632.555555555555</v>
      </c>
      <c r="R20">
        <v>30</v>
      </c>
      <c r="S20">
        <v>81</v>
      </c>
      <c r="T20">
        <v>8678356</v>
      </c>
      <c r="U20" t="str">
        <v>Yes</v>
      </c>
      <c r="V20" t="str">
        <v>Delhi, Jaipur, Bengaluru, Mumbai</v>
      </c>
    </row>
    <row r="21" spans="1:22" x14ac:dyDescent="0.3">
      <c r="A21" t="s">
        <v>43</v>
      </c>
      <c r="B21" t="s">
        <v>16</v>
      </c>
      <c r="C21" s="1">
        <v>45460</v>
      </c>
      <c r="E21" t="s">
        <v>13</v>
      </c>
      <c r="F21" t="str">
        <f>VLOOKUP(E21,'Missing Values &amp; Outliers'!$O$10:$P$19,2,0)</f>
        <v>Local Artist</v>
      </c>
      <c r="G21" t="s">
        <v>63</v>
      </c>
      <c r="H21">
        <v>4045</v>
      </c>
      <c r="I21">
        <v>27719</v>
      </c>
      <c r="J21" s="26">
        <f t="shared" si="0"/>
        <v>112123355</v>
      </c>
      <c r="K21">
        <v>7539568</v>
      </c>
      <c r="L21">
        <v>4670910</v>
      </c>
      <c r="M21">
        <v>124333833</v>
      </c>
      <c r="N21" t="str" cm="1">
        <f t="array" ref="N21:V21">VLOOKUP(E21,[1]Artist_Popularity_Data!$A$2:$I$11,{1,2,3,4,5,6,7,8,9},0)</f>
        <v>Badshah</v>
      </c>
      <c r="O21" t="str">
        <v>Bollywood</v>
      </c>
      <c r="P21">
        <v>3351</v>
      </c>
      <c r="Q21">
        <v>36448</v>
      </c>
      <c r="R21">
        <v>33</v>
      </c>
      <c r="S21">
        <v>483</v>
      </c>
      <c r="T21">
        <v>20228640</v>
      </c>
      <c r="U21" t="str">
        <v>No</v>
      </c>
      <c r="V21" t="str">
        <v>Nagpur, Goa, Amritsar, Chandigarh, Mumbai</v>
      </c>
    </row>
    <row r="22" spans="1:22" x14ac:dyDescent="0.3">
      <c r="A22" t="s">
        <v>43</v>
      </c>
      <c r="B22" t="s">
        <v>19</v>
      </c>
      <c r="C22" s="1">
        <v>45425</v>
      </c>
      <c r="D22" t="s">
        <v>28</v>
      </c>
      <c r="E22" t="s">
        <v>29</v>
      </c>
      <c r="F22" t="str">
        <f>VLOOKUP(E22,'Missing Values &amp; Outliers'!$O$10:$P$19,2,0)</f>
        <v>Local Artist</v>
      </c>
      <c r="G22" t="s">
        <v>64</v>
      </c>
      <c r="H22">
        <v>1008</v>
      </c>
      <c r="I22">
        <v>21142</v>
      </c>
      <c r="J22" s="26">
        <f t="shared" si="0"/>
        <v>21311136</v>
      </c>
      <c r="K22">
        <v>2558182</v>
      </c>
      <c r="L22">
        <v>1632574</v>
      </c>
      <c r="M22">
        <v>25501892</v>
      </c>
      <c r="N22" t="str" cm="1">
        <f t="array" ref="N22:V22">VLOOKUP(E22,[1]Artist_Popularity_Data!$A$2:$I$11,{1,2,3,4,5,6,7,8,9},0)</f>
        <v>Arijit Singh</v>
      </c>
      <c r="O22" t="str">
        <v>Bollywood</v>
      </c>
      <c r="P22">
        <v>2437</v>
      </c>
      <c r="Q22">
        <v>25729</v>
      </c>
      <c r="R22">
        <v>30</v>
      </c>
      <c r="S22">
        <v>584</v>
      </c>
      <c r="T22">
        <v>18730712</v>
      </c>
      <c r="U22" t="str">
        <v>Yes</v>
      </c>
      <c r="V22" t="str">
        <v>Nagpur, Jaipur, Chandigarh</v>
      </c>
    </row>
    <row r="23" spans="1:22" x14ac:dyDescent="0.3">
      <c r="A23" t="s">
        <v>11</v>
      </c>
      <c r="B23" t="s">
        <v>65</v>
      </c>
      <c r="C23" s="1">
        <v>45474</v>
      </c>
      <c r="E23" t="s">
        <v>52</v>
      </c>
      <c r="F23" t="str">
        <f>VLOOKUP(E23,'Missing Values &amp; Outliers'!$O$10:$P$19,2,0)</f>
        <v xml:space="preserve">International  </v>
      </c>
      <c r="G23" t="s">
        <v>66</v>
      </c>
      <c r="H23">
        <v>2334</v>
      </c>
      <c r="I23">
        <v>16842</v>
      </c>
      <c r="J23" s="26">
        <f t="shared" si="0"/>
        <v>39309228</v>
      </c>
      <c r="K23">
        <v>6905220</v>
      </c>
      <c r="L23">
        <v>1067015</v>
      </c>
      <c r="M23">
        <v>47281463</v>
      </c>
      <c r="N23" t="str" cm="1">
        <f t="array" ref="N23:V23">VLOOKUP(E23,[1]Artist_Popularity_Data!$A$2:$I$11,{1,2,3,4,5,6,7,8,9},0)</f>
        <v>Martin Garrix</v>
      </c>
      <c r="O23" t="str">
        <v>EDM</v>
      </c>
      <c r="P23">
        <v>2499</v>
      </c>
      <c r="Q23">
        <v>11603</v>
      </c>
      <c r="R23">
        <v>43</v>
      </c>
      <c r="S23">
        <v>298</v>
      </c>
      <c r="T23">
        <v>6462871</v>
      </c>
      <c r="U23" t="str">
        <v>No</v>
      </c>
      <c r="V23" t="str">
        <v>Chandigarh, Delhi, Pune, Nagpur, Bengaluru, Kolkata</v>
      </c>
    </row>
    <row r="24" spans="1:22" x14ac:dyDescent="0.3">
      <c r="A24" t="s">
        <v>67</v>
      </c>
      <c r="B24" t="s">
        <v>16</v>
      </c>
      <c r="C24" s="1">
        <v>45299</v>
      </c>
      <c r="D24" t="s">
        <v>47</v>
      </c>
      <c r="E24" t="s">
        <v>48</v>
      </c>
      <c r="F24" t="str">
        <f>VLOOKUP(E24,'Missing Values &amp; Outliers'!$O$10:$P$19,2,0)</f>
        <v>Local Artist</v>
      </c>
      <c r="G24" t="s">
        <v>68</v>
      </c>
      <c r="H24" s="3">
        <v>2910.2168421052634</v>
      </c>
      <c r="I24">
        <v>14456</v>
      </c>
      <c r="J24" s="26">
        <f t="shared" si="0"/>
        <v>42070094.669473685</v>
      </c>
      <c r="K24">
        <v>4603680</v>
      </c>
      <c r="L24">
        <v>2403962</v>
      </c>
      <c r="M24">
        <v>41090442</v>
      </c>
      <c r="N24" t="str" cm="1">
        <f t="array" ref="N24:V24">VLOOKUP(E24,[1]Artist_Popularity_Data!$A$2:$I$11,{1,2,3,4,5,6,7,8,9},0)</f>
        <v>Diljit Dosanjh</v>
      </c>
      <c r="O24" t="str">
        <v>Punjabi</v>
      </c>
      <c r="P24">
        <v>2027</v>
      </c>
      <c r="Q24">
        <v>33738</v>
      </c>
      <c r="R24">
        <v>46</v>
      </c>
      <c r="S24">
        <v>116</v>
      </c>
      <c r="T24">
        <v>22334556</v>
      </c>
      <c r="U24" t="str">
        <v>Yes</v>
      </c>
      <c r="V24" t="str">
        <v>Amritsar, Kolkata, Delhi, Mumbai, Bengaluru</v>
      </c>
    </row>
    <row r="25" spans="1:22" x14ac:dyDescent="0.3">
      <c r="A25" t="s">
        <v>50</v>
      </c>
      <c r="B25" t="s">
        <v>54</v>
      </c>
      <c r="C25" s="1">
        <v>45416</v>
      </c>
      <c r="E25" t="s">
        <v>13</v>
      </c>
      <c r="F25" t="str">
        <f>VLOOKUP(E25,'Missing Values &amp; Outliers'!$O$10:$P$19,2,0)</f>
        <v>Local Artist</v>
      </c>
      <c r="G25" t="s">
        <v>69</v>
      </c>
      <c r="H25">
        <v>3977</v>
      </c>
      <c r="I25">
        <v>25243</v>
      </c>
      <c r="J25" s="26">
        <f t="shared" si="0"/>
        <v>100391411</v>
      </c>
      <c r="K25">
        <v>9238938</v>
      </c>
      <c r="L25">
        <v>4689343</v>
      </c>
      <c r="M25">
        <v>114319692</v>
      </c>
      <c r="N25" t="str" cm="1">
        <f t="array" ref="N25:V25">VLOOKUP(E25,[1]Artist_Popularity_Data!$A$2:$I$11,{1,2,3,4,5,6,7,8,9},0)</f>
        <v>Badshah</v>
      </c>
      <c r="O25" t="str">
        <v>Bollywood</v>
      </c>
      <c r="P25">
        <v>3351</v>
      </c>
      <c r="Q25">
        <v>36448</v>
      </c>
      <c r="R25">
        <v>33</v>
      </c>
      <c r="S25">
        <v>483</v>
      </c>
      <c r="T25">
        <v>20228640</v>
      </c>
      <c r="U25" t="str">
        <v>No</v>
      </c>
      <c r="V25" t="str">
        <v>Nagpur, Goa, Amritsar, Chandigarh, Mumbai</v>
      </c>
    </row>
    <row r="26" spans="1:22" x14ac:dyDescent="0.3">
      <c r="A26" t="s">
        <v>43</v>
      </c>
      <c r="B26" t="s">
        <v>31</v>
      </c>
      <c r="C26" s="1">
        <v>45407</v>
      </c>
      <c r="E26" t="s">
        <v>17</v>
      </c>
      <c r="F26" t="str">
        <f>VLOOKUP(E26,'Missing Values &amp; Outliers'!$O$10:$P$19,2,0)</f>
        <v>Local Artist</v>
      </c>
      <c r="G26" t="s">
        <v>70</v>
      </c>
      <c r="H26">
        <v>3449</v>
      </c>
      <c r="I26">
        <v>13539</v>
      </c>
      <c r="J26" s="26">
        <f t="shared" si="0"/>
        <v>46696011</v>
      </c>
      <c r="K26">
        <v>5672841</v>
      </c>
      <c r="L26">
        <v>3471436</v>
      </c>
      <c r="M26">
        <v>55840288</v>
      </c>
      <c r="N26" t="str" cm="1">
        <f t="array" ref="N26:V26">VLOOKUP(E26,[1]Artist_Popularity_Data!$A$2:$I$11,{1,2,3,4,5,6,7,8,9},0)</f>
        <v>Honey Singh</v>
      </c>
      <c r="O26" t="str">
        <v>Hip-Hop</v>
      </c>
      <c r="P26">
        <v>1573</v>
      </c>
      <c r="Q26">
        <v>35223</v>
      </c>
      <c r="R26">
        <v>34</v>
      </c>
      <c r="S26">
        <v>430</v>
      </c>
      <c r="T26">
        <v>25360560</v>
      </c>
      <c r="U26" t="str">
        <v>No</v>
      </c>
      <c r="V26" t="str">
        <v>Pune, Amritsar, Bengaluru</v>
      </c>
    </row>
    <row r="27" spans="1:22" x14ac:dyDescent="0.3">
      <c r="A27" t="s">
        <v>26</v>
      </c>
      <c r="B27" t="s">
        <v>46</v>
      </c>
      <c r="C27" s="1">
        <v>45316</v>
      </c>
      <c r="E27" t="s">
        <v>13</v>
      </c>
      <c r="F27" t="str">
        <f>VLOOKUP(E27,'Missing Values &amp; Outliers'!$O$10:$P$19,2,0)</f>
        <v>Local Artist</v>
      </c>
      <c r="G27" t="s">
        <v>71</v>
      </c>
      <c r="H27">
        <v>3668</v>
      </c>
      <c r="I27">
        <v>36462</v>
      </c>
      <c r="J27" s="26">
        <f t="shared" si="0"/>
        <v>133742616</v>
      </c>
      <c r="K27">
        <v>5250528</v>
      </c>
      <c r="L27">
        <v>2377592</v>
      </c>
      <c r="M27">
        <v>141370736</v>
      </c>
      <c r="N27" t="str" cm="1">
        <f t="array" ref="N27:V27">VLOOKUP(E27,[1]Artist_Popularity_Data!$A$2:$I$11,{1,2,3,4,5,6,7,8,9},0)</f>
        <v>Badshah</v>
      </c>
      <c r="O27" t="str">
        <v>Bollywood</v>
      </c>
      <c r="P27">
        <v>3351</v>
      </c>
      <c r="Q27">
        <v>36448</v>
      </c>
      <c r="R27">
        <v>33</v>
      </c>
      <c r="S27">
        <v>483</v>
      </c>
      <c r="T27">
        <v>20228640</v>
      </c>
      <c r="U27" t="str">
        <v>No</v>
      </c>
      <c r="V27" t="str">
        <v>Nagpur, Goa, Amritsar, Chandigarh, Mumbai</v>
      </c>
    </row>
    <row r="28" spans="1:22" x14ac:dyDescent="0.3">
      <c r="A28" t="s">
        <v>11</v>
      </c>
      <c r="B28" t="s">
        <v>24</v>
      </c>
      <c r="C28" s="1">
        <v>45539</v>
      </c>
      <c r="E28" t="s">
        <v>13</v>
      </c>
      <c r="F28" t="str">
        <f>VLOOKUP(E28,'Missing Values &amp; Outliers'!$O$10:$P$19,2,0)</f>
        <v>Local Artist</v>
      </c>
      <c r="G28" t="s">
        <v>72</v>
      </c>
      <c r="H28">
        <v>3279</v>
      </c>
      <c r="I28">
        <v>32540</v>
      </c>
      <c r="J28" s="26">
        <f t="shared" si="0"/>
        <v>106698660</v>
      </c>
      <c r="K28">
        <v>13341400</v>
      </c>
      <c r="L28">
        <v>2840750</v>
      </c>
      <c r="M28">
        <v>122880810</v>
      </c>
      <c r="N28" t="str" cm="1">
        <f t="array" ref="N28:V28">VLOOKUP(E28,[1]Artist_Popularity_Data!$A$2:$I$11,{1,2,3,4,5,6,7,8,9},0)</f>
        <v>Badshah</v>
      </c>
      <c r="O28" t="str">
        <v>Bollywood</v>
      </c>
      <c r="P28">
        <v>3351</v>
      </c>
      <c r="Q28">
        <v>36448</v>
      </c>
      <c r="R28">
        <v>33</v>
      </c>
      <c r="S28">
        <v>483</v>
      </c>
      <c r="T28">
        <v>20228640</v>
      </c>
      <c r="U28" t="str">
        <v>No</v>
      </c>
      <c r="V28" t="str">
        <v>Nagpur, Goa, Amritsar, Chandigarh, Mumbai</v>
      </c>
    </row>
    <row r="29" spans="1:22" x14ac:dyDescent="0.3">
      <c r="A29" t="s">
        <v>11</v>
      </c>
      <c r="B29" t="s">
        <v>54</v>
      </c>
      <c r="C29" s="1">
        <v>45639</v>
      </c>
      <c r="E29" t="s">
        <v>17</v>
      </c>
      <c r="F29" t="str">
        <f>VLOOKUP(E29,'Missing Values &amp; Outliers'!$O$10:$P$19,2,0)</f>
        <v>Local Artist</v>
      </c>
      <c r="G29" t="s">
        <v>73</v>
      </c>
      <c r="H29">
        <v>2948</v>
      </c>
      <c r="I29">
        <v>9316</v>
      </c>
      <c r="J29" s="26">
        <f t="shared" si="0"/>
        <v>27463568</v>
      </c>
      <c r="K29">
        <v>1266976</v>
      </c>
      <c r="L29">
        <v>2704822</v>
      </c>
      <c r="M29">
        <v>31435366</v>
      </c>
      <c r="N29" t="str" cm="1">
        <f t="array" ref="N29:V29">VLOOKUP(E29,[1]Artist_Popularity_Data!$A$2:$I$11,{1,2,3,4,5,6,7,8,9},0)</f>
        <v>Honey Singh</v>
      </c>
      <c r="O29" t="str">
        <v>Hip-Hop</v>
      </c>
      <c r="P29">
        <v>1573</v>
      </c>
      <c r="Q29">
        <v>35223</v>
      </c>
      <c r="R29">
        <v>34</v>
      </c>
      <c r="S29">
        <v>430</v>
      </c>
      <c r="T29">
        <v>25360560</v>
      </c>
      <c r="U29" t="str">
        <v>No</v>
      </c>
      <c r="V29" t="str">
        <v>Pune, Amritsar, Bengaluru</v>
      </c>
    </row>
    <row r="30" spans="1:22" x14ac:dyDescent="0.3">
      <c r="A30" t="s">
        <v>11</v>
      </c>
      <c r="B30" t="s">
        <v>16</v>
      </c>
      <c r="C30" s="1">
        <v>45647</v>
      </c>
      <c r="E30" t="s">
        <v>41</v>
      </c>
      <c r="F30" t="str">
        <f>VLOOKUP(E30,'Missing Values &amp; Outliers'!$O$10:$P$19,2,0)</f>
        <v xml:space="preserve">International  </v>
      </c>
      <c r="G30" t="s">
        <v>74</v>
      </c>
      <c r="H30">
        <v>2749.6</v>
      </c>
      <c r="I30">
        <v>17172</v>
      </c>
      <c r="J30" s="26">
        <f t="shared" si="0"/>
        <v>47216131.199999996</v>
      </c>
      <c r="K30">
        <v>7830432</v>
      </c>
      <c r="L30">
        <v>3956927</v>
      </c>
      <c r="M30">
        <v>45513167</v>
      </c>
      <c r="N30" t="str" cm="1">
        <f t="array" ref="N30:V30">VLOOKUP(E30,[1]Artist_Popularity_Data!$A$2:$I$11,{1,2,3,4,5,6,7,8,9},0)</f>
        <v>DJ Snake</v>
      </c>
      <c r="O30" t="str">
        <v>EDM</v>
      </c>
      <c r="P30">
        <v>1431</v>
      </c>
      <c r="Q30">
        <v>19089</v>
      </c>
      <c r="R30">
        <v>32</v>
      </c>
      <c r="S30">
        <v>429</v>
      </c>
      <c r="T30">
        <v>10193526</v>
      </c>
      <c r="U30" t="str">
        <v>No</v>
      </c>
      <c r="V30" t="str">
        <v>Bengaluru, Jaipur, Mumbai, Chandigarh, Kolkata, Delhi</v>
      </c>
    </row>
    <row r="31" spans="1:22" x14ac:dyDescent="0.3">
      <c r="A31" t="s">
        <v>15</v>
      </c>
      <c r="B31" t="s">
        <v>19</v>
      </c>
      <c r="C31" s="1">
        <v>45410</v>
      </c>
      <c r="E31" t="s">
        <v>17</v>
      </c>
      <c r="F31" t="str">
        <f>VLOOKUP(E31,'Missing Values &amp; Outliers'!$O$10:$P$19,2,0)</f>
        <v>Local Artist</v>
      </c>
      <c r="G31" t="s">
        <v>75</v>
      </c>
      <c r="H31" s="3">
        <v>2910.2168421052634</v>
      </c>
      <c r="I31">
        <v>16737</v>
      </c>
      <c r="J31" s="26">
        <f t="shared" si="0"/>
        <v>48708299.286315791</v>
      </c>
      <c r="K31">
        <v>6276375</v>
      </c>
      <c r="L31">
        <v>2726932</v>
      </c>
      <c r="M31">
        <v>85424449</v>
      </c>
      <c r="N31" t="str" cm="1">
        <f t="array" ref="N31:V31">VLOOKUP(E31,[1]Artist_Popularity_Data!$A$2:$I$11,{1,2,3,4,5,6,7,8,9},0)</f>
        <v>Honey Singh</v>
      </c>
      <c r="O31" t="str">
        <v>Hip-Hop</v>
      </c>
      <c r="P31">
        <v>1573</v>
      </c>
      <c r="Q31">
        <v>35223</v>
      </c>
      <c r="R31">
        <v>34</v>
      </c>
      <c r="S31">
        <v>430</v>
      </c>
      <c r="T31">
        <v>25360560</v>
      </c>
      <c r="U31" t="str">
        <v>No</v>
      </c>
      <c r="V31" t="str">
        <v>Pune, Amritsar, Bengaluru</v>
      </c>
    </row>
    <row r="32" spans="1:22" x14ac:dyDescent="0.3">
      <c r="A32" t="s">
        <v>11</v>
      </c>
      <c r="B32" t="s">
        <v>65</v>
      </c>
      <c r="C32" s="1">
        <v>45392</v>
      </c>
      <c r="E32" t="s">
        <v>37</v>
      </c>
      <c r="F32" t="str">
        <f>VLOOKUP(E32,'Missing Values &amp; Outliers'!$O$10:$P$19,2,0)</f>
        <v>Local Artist</v>
      </c>
      <c r="G32" t="s">
        <v>76</v>
      </c>
      <c r="H32">
        <v>632</v>
      </c>
      <c r="I32">
        <v>35304</v>
      </c>
      <c r="J32" s="26">
        <f t="shared" si="0"/>
        <v>22312128</v>
      </c>
      <c r="K32">
        <v>10379376</v>
      </c>
      <c r="L32">
        <v>1590737</v>
      </c>
      <c r="M32">
        <v>34282241</v>
      </c>
      <c r="N32" t="str" cm="1">
        <f t="array" ref="N32:V32">VLOOKUP(E32,[1]Artist_Popularity_Data!$A$2:$I$11,{1,2,3,4,5,6,7,8,9},0)</f>
        <v>Shreya Ghoshal</v>
      </c>
      <c r="O32" t="str">
        <v>Classical/Bollywood</v>
      </c>
      <c r="P32">
        <v>3326</v>
      </c>
      <c r="Q32">
        <v>3197</v>
      </c>
      <c r="R32">
        <v>23</v>
      </c>
      <c r="S32">
        <v>271</v>
      </c>
      <c r="T32">
        <v>792856</v>
      </c>
      <c r="U32" t="str">
        <v>No</v>
      </c>
      <c r="V32" t="str">
        <v>Pune, Mumbai, Delhi, Bengaluru, Amritsar</v>
      </c>
    </row>
    <row r="33" spans="1:22" x14ac:dyDescent="0.3">
      <c r="A33" t="s">
        <v>67</v>
      </c>
      <c r="B33" t="s">
        <v>12</v>
      </c>
      <c r="C33" s="1">
        <v>45360</v>
      </c>
      <c r="E33" t="s">
        <v>17</v>
      </c>
      <c r="F33" t="str">
        <f>VLOOKUP(E33,'Missing Values &amp; Outliers'!$O$10:$P$19,2,0)</f>
        <v>Local Artist</v>
      </c>
      <c r="G33" t="s">
        <v>77</v>
      </c>
      <c r="H33">
        <v>1932</v>
      </c>
      <c r="I33">
        <v>16841</v>
      </c>
      <c r="J33" s="26">
        <f t="shared" si="0"/>
        <v>32536812</v>
      </c>
      <c r="K33">
        <v>7713178</v>
      </c>
      <c r="L33">
        <v>4738764</v>
      </c>
      <c r="M33">
        <v>44988754</v>
      </c>
      <c r="N33" t="str" cm="1">
        <f t="array" ref="N33:V33">VLOOKUP(E33,[1]Artist_Popularity_Data!$A$2:$I$11,{1,2,3,4,5,6,7,8,9},0)</f>
        <v>Honey Singh</v>
      </c>
      <c r="O33" t="str">
        <v>Hip-Hop</v>
      </c>
      <c r="P33">
        <v>1573</v>
      </c>
      <c r="Q33">
        <v>35223</v>
      </c>
      <c r="R33">
        <v>34</v>
      </c>
      <c r="S33">
        <v>430</v>
      </c>
      <c r="T33">
        <v>25360560</v>
      </c>
      <c r="U33" t="str">
        <v>No</v>
      </c>
      <c r="V33" t="str">
        <v>Pune, Amritsar, Bengaluru</v>
      </c>
    </row>
    <row r="34" spans="1:22" x14ac:dyDescent="0.3">
      <c r="A34" t="s">
        <v>15</v>
      </c>
      <c r="B34" t="s">
        <v>24</v>
      </c>
      <c r="C34" s="1">
        <v>45358</v>
      </c>
      <c r="D34" t="s">
        <v>20</v>
      </c>
      <c r="E34" t="s">
        <v>21</v>
      </c>
      <c r="F34" t="str">
        <f>VLOOKUP(E34,'Missing Values &amp; Outliers'!$O$10:$P$19,2,0)</f>
        <v xml:space="preserve">International  </v>
      </c>
      <c r="G34" t="s">
        <v>78</v>
      </c>
      <c r="H34">
        <v>1598.8</v>
      </c>
      <c r="I34">
        <v>18210.5</v>
      </c>
      <c r="J34" s="26">
        <f t="shared" si="0"/>
        <v>29114947.399999999</v>
      </c>
      <c r="K34">
        <v>7336230</v>
      </c>
      <c r="L34">
        <v>2229062</v>
      </c>
      <c r="M34">
        <v>39274422</v>
      </c>
      <c r="N34" t="str" cm="1">
        <f t="array" ref="N34:V34">VLOOKUP(E34,[1]Artist_Popularity_Data!$A$2:$I$11,{1,2,3,4,5,6,7,8,9},0)</f>
        <v>Bryan Adams</v>
      </c>
      <c r="O34" t="str">
        <v>Rock</v>
      </c>
      <c r="P34">
        <v>992</v>
      </c>
      <c r="Q34">
        <v>21632.555555555555</v>
      </c>
      <c r="R34">
        <v>30</v>
      </c>
      <c r="S34">
        <v>81</v>
      </c>
      <c r="T34">
        <v>8678356</v>
      </c>
      <c r="U34" t="str">
        <v>Yes</v>
      </c>
      <c r="V34" t="str">
        <v>Delhi, Jaipur, Bengaluru, Mumbai</v>
      </c>
    </row>
    <row r="35" spans="1:22" x14ac:dyDescent="0.3">
      <c r="A35" t="s">
        <v>39</v>
      </c>
      <c r="B35" t="s">
        <v>19</v>
      </c>
      <c r="C35" s="1">
        <v>45395</v>
      </c>
      <c r="D35" t="s">
        <v>47</v>
      </c>
      <c r="E35" t="s">
        <v>48</v>
      </c>
      <c r="F35" t="str">
        <f>VLOOKUP(E35,'Missing Values &amp; Outliers'!$O$10:$P$19,2,0)</f>
        <v>Local Artist</v>
      </c>
      <c r="G35" t="s">
        <v>80</v>
      </c>
      <c r="H35" s="3">
        <v>2910.2168421052634</v>
      </c>
      <c r="I35">
        <v>7559.5</v>
      </c>
      <c r="J35" s="26">
        <f t="shared" si="0"/>
        <v>21999784.217894737</v>
      </c>
      <c r="K35">
        <v>1913135</v>
      </c>
      <c r="L35">
        <v>4680189</v>
      </c>
      <c r="M35">
        <v>21654174</v>
      </c>
      <c r="N35" t="str" cm="1">
        <f t="array" ref="N35:V35">VLOOKUP(E35,[1]Artist_Popularity_Data!$A$2:$I$11,{1,2,3,4,5,6,7,8,9},0)</f>
        <v>Diljit Dosanjh</v>
      </c>
      <c r="O35" t="str">
        <v>Punjabi</v>
      </c>
      <c r="P35">
        <v>2027</v>
      </c>
      <c r="Q35">
        <v>33738</v>
      </c>
      <c r="R35">
        <v>46</v>
      </c>
      <c r="S35">
        <v>116</v>
      </c>
      <c r="T35">
        <v>22334556</v>
      </c>
      <c r="U35" t="str">
        <v>Yes</v>
      </c>
      <c r="V35" t="str">
        <v>Amritsar, Kolkata, Delhi, Mumbai, Bengaluru</v>
      </c>
    </row>
    <row r="36" spans="1:22" x14ac:dyDescent="0.3">
      <c r="A36" t="s">
        <v>23</v>
      </c>
      <c r="B36" t="s">
        <v>19</v>
      </c>
      <c r="C36" s="1">
        <v>45509</v>
      </c>
      <c r="E36" t="s">
        <v>52</v>
      </c>
      <c r="F36" t="str">
        <f>VLOOKUP(E36,'Missing Values &amp; Outliers'!$O$10:$P$19,2,0)</f>
        <v xml:space="preserve">International  </v>
      </c>
      <c r="G36" t="s">
        <v>81</v>
      </c>
      <c r="H36">
        <v>4452</v>
      </c>
      <c r="I36">
        <v>31745</v>
      </c>
      <c r="J36" s="26">
        <f t="shared" si="0"/>
        <v>141328740</v>
      </c>
      <c r="K36">
        <v>4412555</v>
      </c>
      <c r="L36">
        <v>4091720</v>
      </c>
      <c r="M36">
        <v>149833015</v>
      </c>
      <c r="N36" t="str" cm="1">
        <f t="array" ref="N36:V36">VLOOKUP(E36,[1]Artist_Popularity_Data!$A$2:$I$11,{1,2,3,4,5,6,7,8,9},0)</f>
        <v>Martin Garrix</v>
      </c>
      <c r="O36" t="str">
        <v>EDM</v>
      </c>
      <c r="P36">
        <v>2499</v>
      </c>
      <c r="Q36">
        <v>11603</v>
      </c>
      <c r="R36">
        <v>43</v>
      </c>
      <c r="S36">
        <v>298</v>
      </c>
      <c r="T36">
        <v>6462871</v>
      </c>
      <c r="U36" t="str">
        <v>No</v>
      </c>
      <c r="V36" t="str">
        <v>Chandigarh, Delhi, Pune, Nagpur, Bengaluru, Kolkata</v>
      </c>
    </row>
    <row r="37" spans="1:22" x14ac:dyDescent="0.3">
      <c r="A37" t="s">
        <v>36</v>
      </c>
      <c r="B37" t="s">
        <v>51</v>
      </c>
      <c r="C37" s="1">
        <v>45555</v>
      </c>
      <c r="E37" t="s">
        <v>32</v>
      </c>
      <c r="F37" t="str">
        <f>VLOOKUP(E37,'Missing Values &amp; Outliers'!$O$10:$P$19,2,0)</f>
        <v>Local Artist</v>
      </c>
      <c r="G37" t="s">
        <v>82</v>
      </c>
      <c r="H37">
        <v>2716</v>
      </c>
      <c r="I37">
        <v>12688</v>
      </c>
      <c r="J37" s="26">
        <f t="shared" si="0"/>
        <v>34460608</v>
      </c>
      <c r="K37">
        <v>2486848</v>
      </c>
      <c r="L37">
        <v>1413822</v>
      </c>
      <c r="M37">
        <v>38361278</v>
      </c>
      <c r="N37" t="str" cm="1">
        <f t="array" ref="N37:V37">VLOOKUP(E37,[1]Artist_Popularity_Data!$A$2:$I$11,{1,2,3,4,5,6,7,8,9},0)</f>
        <v>Mika Singh</v>
      </c>
      <c r="O37" t="str">
        <v>Bollywood</v>
      </c>
      <c r="P37">
        <v>1025</v>
      </c>
      <c r="Q37">
        <v>11057</v>
      </c>
      <c r="R37">
        <v>12</v>
      </c>
      <c r="S37">
        <v>371</v>
      </c>
      <c r="T37">
        <v>7983154</v>
      </c>
      <c r="U37" t="str">
        <v>No</v>
      </c>
      <c r="V37" t="str">
        <v>Delhi, Amritsar, Bengaluru, Mumbai</v>
      </c>
    </row>
    <row r="38" spans="1:22" x14ac:dyDescent="0.3">
      <c r="A38" t="s">
        <v>43</v>
      </c>
      <c r="B38" t="s">
        <v>65</v>
      </c>
      <c r="C38" s="1">
        <v>45507</v>
      </c>
      <c r="E38" t="s">
        <v>32</v>
      </c>
      <c r="F38" t="str">
        <f>VLOOKUP(E38,'Missing Values &amp; Outliers'!$O$10:$P$19,2,0)</f>
        <v>Local Artist</v>
      </c>
      <c r="G38" t="s">
        <v>83</v>
      </c>
      <c r="H38">
        <v>2237</v>
      </c>
      <c r="I38">
        <v>20276</v>
      </c>
      <c r="J38" s="26">
        <f t="shared" si="0"/>
        <v>45357412</v>
      </c>
      <c r="K38">
        <v>9671652</v>
      </c>
      <c r="L38">
        <v>4912334</v>
      </c>
      <c r="M38">
        <v>59941398</v>
      </c>
      <c r="N38" t="str" cm="1">
        <f t="array" ref="N38:V38">VLOOKUP(E38,[1]Artist_Popularity_Data!$A$2:$I$11,{1,2,3,4,5,6,7,8,9},0)</f>
        <v>Mika Singh</v>
      </c>
      <c r="O38" t="str">
        <v>Bollywood</v>
      </c>
      <c r="P38">
        <v>1025</v>
      </c>
      <c r="Q38">
        <v>11057</v>
      </c>
      <c r="R38">
        <v>12</v>
      </c>
      <c r="S38">
        <v>371</v>
      </c>
      <c r="T38">
        <v>7983154</v>
      </c>
      <c r="U38" t="str">
        <v>No</v>
      </c>
      <c r="V38" t="str">
        <v>Delhi, Amritsar, Bengaluru, Mumbai</v>
      </c>
    </row>
    <row r="39" spans="1:22" x14ac:dyDescent="0.3">
      <c r="A39" t="s">
        <v>36</v>
      </c>
      <c r="B39" t="s">
        <v>27</v>
      </c>
      <c r="C39" s="1">
        <v>45468</v>
      </c>
      <c r="E39" t="s">
        <v>13</v>
      </c>
      <c r="F39" t="str">
        <f>VLOOKUP(E39,'Missing Values &amp; Outliers'!$O$10:$P$19,2,0)</f>
        <v>Local Artist</v>
      </c>
      <c r="G39" t="s">
        <v>81</v>
      </c>
      <c r="H39">
        <v>1412</v>
      </c>
      <c r="I39">
        <v>20798.88</v>
      </c>
      <c r="J39" s="26">
        <f t="shared" si="0"/>
        <v>29368018.560000002</v>
      </c>
      <c r="K39">
        <v>12753000</v>
      </c>
      <c r="L39">
        <v>663225</v>
      </c>
      <c r="M39">
        <v>61435521</v>
      </c>
      <c r="N39" t="str" cm="1">
        <f t="array" ref="N39:V39">VLOOKUP(E39,[1]Artist_Popularity_Data!$A$2:$I$11,{1,2,3,4,5,6,7,8,9},0)</f>
        <v>Badshah</v>
      </c>
      <c r="O39" t="str">
        <v>Bollywood</v>
      </c>
      <c r="P39">
        <v>3351</v>
      </c>
      <c r="Q39">
        <v>36448</v>
      </c>
      <c r="R39">
        <v>33</v>
      </c>
      <c r="S39">
        <v>483</v>
      </c>
      <c r="T39">
        <v>20228640</v>
      </c>
      <c r="U39" t="str">
        <v>No</v>
      </c>
      <c r="V39" t="str">
        <v>Nagpur, Goa, Amritsar, Chandigarh, Mumbai</v>
      </c>
    </row>
    <row r="40" spans="1:22" x14ac:dyDescent="0.3">
      <c r="A40" t="s">
        <v>36</v>
      </c>
      <c r="B40" t="s">
        <v>24</v>
      </c>
      <c r="C40" s="1">
        <v>45654</v>
      </c>
      <c r="D40" t="s">
        <v>47</v>
      </c>
      <c r="E40" t="s">
        <v>48</v>
      </c>
      <c r="F40" t="str">
        <f>VLOOKUP(E40,'Missing Values &amp; Outliers'!$O$10:$P$19,2,0)</f>
        <v>Local Artist</v>
      </c>
      <c r="G40" t="s">
        <v>84</v>
      </c>
      <c r="H40">
        <v>836</v>
      </c>
      <c r="I40">
        <v>56160</v>
      </c>
      <c r="J40" s="26">
        <f t="shared" si="0"/>
        <v>46949760</v>
      </c>
      <c r="K40">
        <v>14904000</v>
      </c>
      <c r="L40">
        <v>4753926</v>
      </c>
      <c r="M40">
        <v>55773126</v>
      </c>
      <c r="N40" t="str" cm="1">
        <f t="array" ref="N40:V40">VLOOKUP(E40,[1]Artist_Popularity_Data!$A$2:$I$11,{1,2,3,4,5,6,7,8,9},0)</f>
        <v>Diljit Dosanjh</v>
      </c>
      <c r="O40" t="str">
        <v>Punjabi</v>
      </c>
      <c r="P40">
        <v>2027</v>
      </c>
      <c r="Q40">
        <v>33738</v>
      </c>
      <c r="R40">
        <v>46</v>
      </c>
      <c r="S40">
        <v>116</v>
      </c>
      <c r="T40">
        <v>22334556</v>
      </c>
      <c r="U40" t="str">
        <v>Yes</v>
      </c>
      <c r="V40" t="str">
        <v>Amritsar, Kolkata, Delhi, Mumbai, Bengaluru</v>
      </c>
    </row>
    <row r="41" spans="1:22" x14ac:dyDescent="0.3">
      <c r="A41" t="s">
        <v>36</v>
      </c>
      <c r="B41" t="s">
        <v>65</v>
      </c>
      <c r="C41" s="1">
        <v>45527</v>
      </c>
      <c r="D41" t="s">
        <v>47</v>
      </c>
      <c r="E41" t="s">
        <v>48</v>
      </c>
      <c r="F41" t="str">
        <f>VLOOKUP(E41,'Missing Values &amp; Outliers'!$O$10:$P$19,2,0)</f>
        <v>Local Artist</v>
      </c>
      <c r="G41" t="s">
        <v>85</v>
      </c>
      <c r="H41">
        <v>625</v>
      </c>
      <c r="I41">
        <v>34043.1</v>
      </c>
      <c r="J41" s="26">
        <f t="shared" si="0"/>
        <v>21276937.5</v>
      </c>
      <c r="K41">
        <v>11705589</v>
      </c>
      <c r="L41">
        <v>2483828</v>
      </c>
      <c r="M41">
        <v>30556292</v>
      </c>
      <c r="N41" t="str" cm="1">
        <f t="array" ref="N41:V41">VLOOKUP(E41,[1]Artist_Popularity_Data!$A$2:$I$11,{1,2,3,4,5,6,7,8,9},0)</f>
        <v>Diljit Dosanjh</v>
      </c>
      <c r="O41" t="str">
        <v>Punjabi</v>
      </c>
      <c r="P41">
        <v>2027</v>
      </c>
      <c r="Q41">
        <v>33738</v>
      </c>
      <c r="R41">
        <v>46</v>
      </c>
      <c r="S41">
        <v>116</v>
      </c>
      <c r="T41">
        <v>22334556</v>
      </c>
      <c r="U41" t="str">
        <v>Yes</v>
      </c>
      <c r="V41" t="str">
        <v>Amritsar, Kolkata, Delhi, Mumbai, Bengaluru</v>
      </c>
    </row>
    <row r="42" spans="1:22" x14ac:dyDescent="0.3">
      <c r="A42" t="s">
        <v>39</v>
      </c>
      <c r="B42" t="s">
        <v>12</v>
      </c>
      <c r="C42" s="1">
        <v>45555</v>
      </c>
      <c r="E42" t="s">
        <v>13</v>
      </c>
      <c r="F42" t="str">
        <f>VLOOKUP(E42,'Missing Values &amp; Outliers'!$O$10:$P$19,2,0)</f>
        <v>Local Artist</v>
      </c>
      <c r="G42" t="s">
        <v>86</v>
      </c>
      <c r="H42">
        <v>4629</v>
      </c>
      <c r="I42">
        <v>34318</v>
      </c>
      <c r="J42" s="26">
        <f t="shared" si="0"/>
        <v>158858022</v>
      </c>
      <c r="K42">
        <v>5113382</v>
      </c>
      <c r="L42">
        <v>3030898</v>
      </c>
      <c r="M42">
        <v>167002302</v>
      </c>
      <c r="N42" t="str" cm="1">
        <f t="array" ref="N42:V42">VLOOKUP(E42,[1]Artist_Popularity_Data!$A$2:$I$11,{1,2,3,4,5,6,7,8,9},0)</f>
        <v>Badshah</v>
      </c>
      <c r="O42" t="str">
        <v>Bollywood</v>
      </c>
      <c r="P42">
        <v>3351</v>
      </c>
      <c r="Q42">
        <v>36448</v>
      </c>
      <c r="R42">
        <v>33</v>
      </c>
      <c r="S42">
        <v>483</v>
      </c>
      <c r="T42">
        <v>20228640</v>
      </c>
      <c r="U42" t="str">
        <v>No</v>
      </c>
      <c r="V42" t="str">
        <v>Nagpur, Goa, Amritsar, Chandigarh, Mumbai</v>
      </c>
    </row>
    <row r="43" spans="1:22" x14ac:dyDescent="0.3">
      <c r="A43" t="s">
        <v>39</v>
      </c>
      <c r="B43" t="s">
        <v>65</v>
      </c>
      <c r="C43" s="1">
        <v>45524</v>
      </c>
      <c r="E43" t="s">
        <v>32</v>
      </c>
      <c r="F43" t="str">
        <f>VLOOKUP(E43,'Missing Values &amp; Outliers'!$O$10:$P$19,2,0)</f>
        <v>Local Artist</v>
      </c>
      <c r="G43" t="s">
        <v>87</v>
      </c>
      <c r="H43">
        <v>3412</v>
      </c>
      <c r="I43">
        <v>22029</v>
      </c>
      <c r="J43" s="26">
        <f t="shared" si="0"/>
        <v>75162948</v>
      </c>
      <c r="K43">
        <v>7401744</v>
      </c>
      <c r="L43">
        <v>4420985</v>
      </c>
      <c r="M43">
        <v>86985677</v>
      </c>
      <c r="N43" t="str" cm="1">
        <f t="array" ref="N43:V43">VLOOKUP(E43,[1]Artist_Popularity_Data!$A$2:$I$11,{1,2,3,4,5,6,7,8,9},0)</f>
        <v>Mika Singh</v>
      </c>
      <c r="O43" t="str">
        <v>Bollywood</v>
      </c>
      <c r="P43">
        <v>1025</v>
      </c>
      <c r="Q43">
        <v>11057</v>
      </c>
      <c r="R43">
        <v>12</v>
      </c>
      <c r="S43">
        <v>371</v>
      </c>
      <c r="T43">
        <v>7983154</v>
      </c>
      <c r="U43" t="str">
        <v>No</v>
      </c>
      <c r="V43" t="str">
        <v>Delhi, Amritsar, Bengaluru, Mumbai</v>
      </c>
    </row>
    <row r="44" spans="1:22" x14ac:dyDescent="0.3">
      <c r="A44" t="s">
        <v>15</v>
      </c>
      <c r="B44" t="s">
        <v>51</v>
      </c>
      <c r="C44" s="1">
        <v>45512</v>
      </c>
      <c r="D44" t="s">
        <v>47</v>
      </c>
      <c r="E44" t="s">
        <v>48</v>
      </c>
      <c r="F44" t="str">
        <f>VLOOKUP(E44,'Missing Values &amp; Outliers'!$O$10:$P$19,2,0)</f>
        <v>Local Artist</v>
      </c>
      <c r="G44" t="s">
        <v>89</v>
      </c>
      <c r="H44">
        <v>737</v>
      </c>
      <c r="I44">
        <v>28345.200000000001</v>
      </c>
      <c r="J44" s="26">
        <f t="shared" si="0"/>
        <v>20890412.400000002</v>
      </c>
      <c r="K44">
        <v>3292404</v>
      </c>
      <c r="L44">
        <v>4566892</v>
      </c>
      <c r="M44">
        <v>23928844</v>
      </c>
      <c r="N44" t="str" cm="1">
        <f t="array" ref="N44:V44">VLOOKUP(E44,[1]Artist_Popularity_Data!$A$2:$I$11,{1,2,3,4,5,6,7,8,9},0)</f>
        <v>Diljit Dosanjh</v>
      </c>
      <c r="O44" t="str">
        <v>Punjabi</v>
      </c>
      <c r="P44">
        <v>2027</v>
      </c>
      <c r="Q44">
        <v>33738</v>
      </c>
      <c r="R44">
        <v>46</v>
      </c>
      <c r="S44">
        <v>116</v>
      </c>
      <c r="T44">
        <v>22334556</v>
      </c>
      <c r="U44" t="str">
        <v>Yes</v>
      </c>
      <c r="V44" t="str">
        <v>Amritsar, Kolkata, Delhi, Mumbai, Bengaluru</v>
      </c>
    </row>
    <row r="45" spans="1:22" x14ac:dyDescent="0.3">
      <c r="A45" t="s">
        <v>43</v>
      </c>
      <c r="B45" t="s">
        <v>24</v>
      </c>
      <c r="C45" s="1">
        <v>45654</v>
      </c>
      <c r="E45" t="s">
        <v>32</v>
      </c>
      <c r="F45" t="str">
        <f>VLOOKUP(E45,'Missing Values &amp; Outliers'!$O$10:$P$19,2,0)</f>
        <v>Local Artist</v>
      </c>
      <c r="G45" t="s">
        <v>90</v>
      </c>
      <c r="H45">
        <v>933</v>
      </c>
      <c r="I45">
        <v>31752</v>
      </c>
      <c r="J45" s="26">
        <f t="shared" si="0"/>
        <v>29624616</v>
      </c>
      <c r="K45">
        <v>5366088</v>
      </c>
      <c r="L45">
        <v>1334941</v>
      </c>
      <c r="M45">
        <v>36325645</v>
      </c>
      <c r="N45" t="str" cm="1">
        <f t="array" ref="N45:V45">VLOOKUP(E45,[1]Artist_Popularity_Data!$A$2:$I$11,{1,2,3,4,5,6,7,8,9},0)</f>
        <v>Mika Singh</v>
      </c>
      <c r="O45" t="str">
        <v>Bollywood</v>
      </c>
      <c r="P45">
        <v>1025</v>
      </c>
      <c r="Q45">
        <v>11057</v>
      </c>
      <c r="R45">
        <v>12</v>
      </c>
      <c r="S45">
        <v>371</v>
      </c>
      <c r="T45">
        <v>7983154</v>
      </c>
      <c r="U45" t="str">
        <v>No</v>
      </c>
      <c r="V45" t="str">
        <v>Delhi, Amritsar, Bengaluru, Mumbai</v>
      </c>
    </row>
    <row r="46" spans="1:22" x14ac:dyDescent="0.3">
      <c r="A46" t="s">
        <v>15</v>
      </c>
      <c r="B46" t="s">
        <v>19</v>
      </c>
      <c r="C46" s="1">
        <v>45467</v>
      </c>
      <c r="D46" t="s">
        <v>28</v>
      </c>
      <c r="E46" t="s">
        <v>29</v>
      </c>
      <c r="F46" t="str">
        <f>VLOOKUP(E46,'Missing Values &amp; Outliers'!$O$10:$P$19,2,0)</f>
        <v>Local Artist</v>
      </c>
      <c r="G46" t="s">
        <v>91</v>
      </c>
      <c r="H46">
        <v>4503</v>
      </c>
      <c r="I46">
        <v>7651</v>
      </c>
      <c r="J46" s="26">
        <f t="shared" si="0"/>
        <v>34452453</v>
      </c>
      <c r="K46">
        <v>1361878</v>
      </c>
      <c r="L46">
        <v>2805968</v>
      </c>
      <c r="M46">
        <v>38620299</v>
      </c>
      <c r="N46" t="str" cm="1">
        <f t="array" ref="N46:V46">VLOOKUP(E46,[1]Artist_Popularity_Data!$A$2:$I$11,{1,2,3,4,5,6,7,8,9},0)</f>
        <v>Arijit Singh</v>
      </c>
      <c r="O46" t="str">
        <v>Bollywood</v>
      </c>
      <c r="P46">
        <v>2437</v>
      </c>
      <c r="Q46">
        <v>25729</v>
      </c>
      <c r="R46">
        <v>30</v>
      </c>
      <c r="S46">
        <v>584</v>
      </c>
      <c r="T46">
        <v>18730712</v>
      </c>
      <c r="U46" t="str">
        <v>Yes</v>
      </c>
      <c r="V46" t="str">
        <v>Nagpur, Jaipur, Chandigarh</v>
      </c>
    </row>
    <row r="47" spans="1:22" x14ac:dyDescent="0.3">
      <c r="A47" t="s">
        <v>45</v>
      </c>
      <c r="B47" t="s">
        <v>65</v>
      </c>
      <c r="C47" s="1">
        <v>45423</v>
      </c>
      <c r="D47" t="s">
        <v>58</v>
      </c>
      <c r="E47" t="s">
        <v>59</v>
      </c>
      <c r="F47" t="str">
        <f>VLOOKUP(E47,'Missing Values &amp; Outliers'!$O$10:$P$19,2,0)</f>
        <v xml:space="preserve">International  </v>
      </c>
      <c r="G47" t="s">
        <v>92</v>
      </c>
      <c r="H47">
        <v>2615.1999999999998</v>
      </c>
      <c r="I47">
        <v>6000</v>
      </c>
      <c r="J47" s="26">
        <f t="shared" si="0"/>
        <v>15691199.999999998</v>
      </c>
      <c r="K47">
        <v>2094000</v>
      </c>
      <c r="L47">
        <v>3409793</v>
      </c>
      <c r="M47">
        <v>16711793</v>
      </c>
      <c r="N47" t="str" cm="1">
        <f t="array" ref="N47:V47">VLOOKUP(E47,[1]Artist_Popularity_Data!$A$2:$I$11,{1,2,3,4,5,6,7,8,9},0)</f>
        <v>Ed Sheeran</v>
      </c>
      <c r="O47" t="str">
        <v>International Pop</v>
      </c>
      <c r="P47">
        <v>3436</v>
      </c>
      <c r="Q47">
        <v>18609</v>
      </c>
      <c r="R47">
        <v>55</v>
      </c>
      <c r="S47">
        <v>736</v>
      </c>
      <c r="T47">
        <v>4856949</v>
      </c>
      <c r="U47" t="str">
        <v>Yes</v>
      </c>
      <c r="V47" t="str">
        <v>Pune, Amritsar, Goa, Chandigarh</v>
      </c>
    </row>
    <row r="48" spans="1:22" x14ac:dyDescent="0.3">
      <c r="A48" t="s">
        <v>45</v>
      </c>
      <c r="B48" t="s">
        <v>31</v>
      </c>
      <c r="C48" s="1">
        <v>45386</v>
      </c>
      <c r="D48" t="s">
        <v>47</v>
      </c>
      <c r="E48" t="s">
        <v>48</v>
      </c>
      <c r="F48" t="str">
        <f>VLOOKUP(E48,'Missing Values &amp; Outliers'!$O$10:$P$19,2,0)</f>
        <v>Local Artist</v>
      </c>
      <c r="G48" t="s">
        <v>93</v>
      </c>
      <c r="H48">
        <v>4046</v>
      </c>
      <c r="I48">
        <v>32925.1</v>
      </c>
      <c r="J48" s="26">
        <f t="shared" si="0"/>
        <v>133214954.59999999</v>
      </c>
      <c r="K48">
        <v>4356244</v>
      </c>
      <c r="L48">
        <v>1785594</v>
      </c>
      <c r="M48">
        <v>108614880</v>
      </c>
      <c r="N48" t="str" cm="1">
        <f t="array" ref="N48:V48">VLOOKUP(E48,[1]Artist_Popularity_Data!$A$2:$I$11,{1,2,3,4,5,6,7,8,9},0)</f>
        <v>Diljit Dosanjh</v>
      </c>
      <c r="O48" t="str">
        <v>Punjabi</v>
      </c>
      <c r="P48">
        <v>2027</v>
      </c>
      <c r="Q48">
        <v>33738</v>
      </c>
      <c r="R48">
        <v>46</v>
      </c>
      <c r="S48">
        <v>116</v>
      </c>
      <c r="T48">
        <v>22334556</v>
      </c>
      <c r="U48" t="str">
        <v>Yes</v>
      </c>
      <c r="V48" t="str">
        <v>Amritsar, Kolkata, Delhi, Mumbai, Bengaluru</v>
      </c>
    </row>
    <row r="49" spans="1:22" x14ac:dyDescent="0.3">
      <c r="A49" t="s">
        <v>23</v>
      </c>
      <c r="B49" t="s">
        <v>27</v>
      </c>
      <c r="C49" s="1">
        <v>45318</v>
      </c>
      <c r="D49" t="s">
        <v>20</v>
      </c>
      <c r="E49" t="s">
        <v>21</v>
      </c>
      <c r="F49" t="str">
        <f>VLOOKUP(E49,'Missing Values &amp; Outliers'!$O$10:$P$19,2,0)</f>
        <v xml:space="preserve">International  </v>
      </c>
      <c r="G49" t="s">
        <v>94</v>
      </c>
      <c r="H49">
        <v>4613</v>
      </c>
      <c r="I49">
        <v>9412.2000000000007</v>
      </c>
      <c r="J49" s="26">
        <f t="shared" si="0"/>
        <v>43418478.600000001</v>
      </c>
      <c r="K49">
        <v>5580090</v>
      </c>
      <c r="L49">
        <v>4314798</v>
      </c>
      <c r="M49">
        <v>54199458</v>
      </c>
      <c r="N49" t="str" cm="1">
        <f t="array" ref="N49:V49">VLOOKUP(E49,[1]Artist_Popularity_Data!$A$2:$I$11,{1,2,3,4,5,6,7,8,9},0)</f>
        <v>Bryan Adams</v>
      </c>
      <c r="O49" t="str">
        <v>Rock</v>
      </c>
      <c r="P49">
        <v>992</v>
      </c>
      <c r="Q49">
        <v>21632.555555555555</v>
      </c>
      <c r="R49">
        <v>30</v>
      </c>
      <c r="S49">
        <v>81</v>
      </c>
      <c r="T49">
        <v>8678356</v>
      </c>
      <c r="U49" t="str">
        <v>Yes</v>
      </c>
      <c r="V49" t="str">
        <v>Delhi, Jaipur, Bengaluru, Mumbai</v>
      </c>
    </row>
    <row r="50" spans="1:22" x14ac:dyDescent="0.3">
      <c r="A50" t="s">
        <v>23</v>
      </c>
      <c r="B50" t="s">
        <v>24</v>
      </c>
      <c r="C50" s="1">
        <v>45499</v>
      </c>
      <c r="D50" t="s">
        <v>28</v>
      </c>
      <c r="E50" t="s">
        <v>29</v>
      </c>
      <c r="F50" t="str">
        <f>VLOOKUP(E50,'Missing Values &amp; Outliers'!$O$10:$P$19,2,0)</f>
        <v>Local Artist</v>
      </c>
      <c r="G50" t="s">
        <v>95</v>
      </c>
      <c r="H50">
        <v>3437</v>
      </c>
      <c r="I50">
        <v>17457</v>
      </c>
      <c r="J50" s="26">
        <f t="shared" si="0"/>
        <v>59999709</v>
      </c>
      <c r="K50">
        <v>4800675</v>
      </c>
      <c r="L50">
        <v>3816903</v>
      </c>
      <c r="M50">
        <v>68617287</v>
      </c>
      <c r="N50" t="str" cm="1">
        <f t="array" ref="N50:V50">VLOOKUP(E50,[1]Artist_Popularity_Data!$A$2:$I$11,{1,2,3,4,5,6,7,8,9},0)</f>
        <v>Arijit Singh</v>
      </c>
      <c r="O50" t="str">
        <v>Bollywood</v>
      </c>
      <c r="P50">
        <v>2437</v>
      </c>
      <c r="Q50">
        <v>25729</v>
      </c>
      <c r="R50">
        <v>30</v>
      </c>
      <c r="S50">
        <v>584</v>
      </c>
      <c r="T50">
        <v>18730712</v>
      </c>
      <c r="U50" t="str">
        <v>Yes</v>
      </c>
      <c r="V50" t="str">
        <v>Nagpur, Jaipur, Chandigarh</v>
      </c>
    </row>
    <row r="51" spans="1:22" x14ac:dyDescent="0.3">
      <c r="A51" t="s">
        <v>45</v>
      </c>
      <c r="B51" t="s">
        <v>31</v>
      </c>
      <c r="C51" s="1">
        <v>45543</v>
      </c>
      <c r="E51" t="s">
        <v>52</v>
      </c>
      <c r="F51" t="str">
        <f>VLOOKUP(E51,'Missing Values &amp; Outliers'!$O$10:$P$19,2,0)</f>
        <v xml:space="preserve">International  </v>
      </c>
      <c r="G51" t="s">
        <v>30</v>
      </c>
      <c r="H51">
        <v>2167</v>
      </c>
      <c r="I51">
        <v>23456</v>
      </c>
      <c r="J51" s="26">
        <f t="shared" si="0"/>
        <v>50829152</v>
      </c>
      <c r="K51">
        <v>8068864</v>
      </c>
      <c r="L51">
        <v>4892379</v>
      </c>
      <c r="M51">
        <v>63790395</v>
      </c>
      <c r="N51" t="str" cm="1">
        <f t="array" ref="N51:V51">VLOOKUP(E51,[1]Artist_Popularity_Data!$A$2:$I$11,{1,2,3,4,5,6,7,8,9},0)</f>
        <v>Martin Garrix</v>
      </c>
      <c r="O51" t="str">
        <v>EDM</v>
      </c>
      <c r="P51">
        <v>2499</v>
      </c>
      <c r="Q51">
        <v>11603</v>
      </c>
      <c r="R51">
        <v>43</v>
      </c>
      <c r="S51">
        <v>298</v>
      </c>
      <c r="T51">
        <v>6462871</v>
      </c>
      <c r="U51" t="str">
        <v>No</v>
      </c>
      <c r="V51" t="str">
        <v>Chandigarh, Delhi, Pune, Nagpur, Bengaluru, Kolkata</v>
      </c>
    </row>
    <row r="52" spans="1:22" x14ac:dyDescent="0.3">
      <c r="A52" t="s">
        <v>15</v>
      </c>
      <c r="B52" t="s">
        <v>27</v>
      </c>
      <c r="C52" s="1">
        <v>45635</v>
      </c>
      <c r="E52" t="s">
        <v>17</v>
      </c>
      <c r="F52" t="str">
        <f>VLOOKUP(E52,'Missing Values &amp; Outliers'!$O$10:$P$19,2,0)</f>
        <v>Local Artist</v>
      </c>
      <c r="G52" t="s">
        <v>97</v>
      </c>
      <c r="H52">
        <v>2495</v>
      </c>
      <c r="I52">
        <v>26922</v>
      </c>
      <c r="J52" s="26">
        <f t="shared" si="0"/>
        <v>67170390</v>
      </c>
      <c r="K52">
        <v>12868716</v>
      </c>
      <c r="L52">
        <v>4865146</v>
      </c>
      <c r="M52">
        <v>339617008</v>
      </c>
      <c r="N52" t="str" cm="1">
        <f t="array" ref="N52:V52">VLOOKUP(E52,[1]Artist_Popularity_Data!$A$2:$I$11,{1,2,3,4,5,6,7,8,9},0)</f>
        <v>Honey Singh</v>
      </c>
      <c r="O52" t="str">
        <v>Hip-Hop</v>
      </c>
      <c r="P52">
        <v>1573</v>
      </c>
      <c r="Q52">
        <v>35223</v>
      </c>
      <c r="R52">
        <v>34</v>
      </c>
      <c r="S52">
        <v>430</v>
      </c>
      <c r="T52">
        <v>25360560</v>
      </c>
      <c r="U52" t="str">
        <v>No</v>
      </c>
      <c r="V52" t="str">
        <v>Pune, Amritsar, Bengaluru</v>
      </c>
    </row>
    <row r="53" spans="1:22" x14ac:dyDescent="0.3">
      <c r="A53" t="s">
        <v>50</v>
      </c>
      <c r="B53" t="s">
        <v>27</v>
      </c>
      <c r="C53" s="1">
        <v>45304</v>
      </c>
      <c r="D53" t="s">
        <v>20</v>
      </c>
      <c r="E53" t="s">
        <v>21</v>
      </c>
      <c r="F53" t="str">
        <f>VLOOKUP(E53,'Missing Values &amp; Outliers'!$O$10:$P$19,2,0)</f>
        <v xml:space="preserve">International  </v>
      </c>
      <c r="G53" t="s">
        <v>72</v>
      </c>
      <c r="H53">
        <v>1244.5999999999999</v>
      </c>
      <c r="I53">
        <v>23400.3</v>
      </c>
      <c r="J53" s="26">
        <f t="shared" si="0"/>
        <v>29124013.379999995</v>
      </c>
      <c r="K53">
        <v>10463277</v>
      </c>
      <c r="L53">
        <v>1325646</v>
      </c>
      <c r="M53">
        <v>41507304</v>
      </c>
      <c r="N53" t="str" cm="1">
        <f t="array" ref="N53:V53">VLOOKUP(E53,[1]Artist_Popularity_Data!$A$2:$I$11,{1,2,3,4,5,6,7,8,9},0)</f>
        <v>Bryan Adams</v>
      </c>
      <c r="O53" t="str">
        <v>Rock</v>
      </c>
      <c r="P53">
        <v>992</v>
      </c>
      <c r="Q53">
        <v>21632.555555555555</v>
      </c>
      <c r="R53">
        <v>30</v>
      </c>
      <c r="S53">
        <v>81</v>
      </c>
      <c r="T53">
        <v>8678356</v>
      </c>
      <c r="U53" t="str">
        <v>Yes</v>
      </c>
      <c r="V53" t="str">
        <v>Delhi, Jaipur, Bengaluru, Mumbai</v>
      </c>
    </row>
    <row r="54" spans="1:22" x14ac:dyDescent="0.3">
      <c r="A54" t="s">
        <v>43</v>
      </c>
      <c r="B54" t="s">
        <v>46</v>
      </c>
      <c r="C54" s="1">
        <v>45509</v>
      </c>
      <c r="E54" t="s">
        <v>37</v>
      </c>
      <c r="F54" t="str">
        <f>VLOOKUP(E54,'Missing Values &amp; Outliers'!$O$10:$P$19,2,0)</f>
        <v>Local Artist</v>
      </c>
      <c r="G54" t="s">
        <v>98</v>
      </c>
      <c r="H54">
        <v>4120</v>
      </c>
      <c r="I54">
        <v>20798.88</v>
      </c>
      <c r="J54" s="26">
        <f t="shared" si="0"/>
        <v>85691385.600000009</v>
      </c>
      <c r="K54">
        <v>4873518</v>
      </c>
      <c r="L54">
        <v>2422363</v>
      </c>
      <c r="M54">
        <v>93103121</v>
      </c>
      <c r="N54" t="str" cm="1">
        <f t="array" ref="N54:V54">VLOOKUP(E54,[1]Artist_Popularity_Data!$A$2:$I$11,{1,2,3,4,5,6,7,8,9},0)</f>
        <v>Shreya Ghoshal</v>
      </c>
      <c r="O54" t="str">
        <v>Classical/Bollywood</v>
      </c>
      <c r="P54">
        <v>3326</v>
      </c>
      <c r="Q54">
        <v>3197</v>
      </c>
      <c r="R54">
        <v>23</v>
      </c>
      <c r="S54">
        <v>271</v>
      </c>
      <c r="T54">
        <v>792856</v>
      </c>
      <c r="U54" t="str">
        <v>No</v>
      </c>
      <c r="V54" t="str">
        <v>Pune, Mumbai, Delhi, Bengaluru, Amritsar</v>
      </c>
    </row>
    <row r="55" spans="1:22" x14ac:dyDescent="0.3">
      <c r="A55" t="s">
        <v>50</v>
      </c>
      <c r="B55" t="s">
        <v>24</v>
      </c>
      <c r="C55" s="1">
        <v>45448</v>
      </c>
      <c r="E55" t="s">
        <v>37</v>
      </c>
      <c r="F55" t="str">
        <f>VLOOKUP(E55,'Missing Values &amp; Outliers'!$O$10:$P$19,2,0)</f>
        <v>Local Artist</v>
      </c>
      <c r="G55" t="s">
        <v>99</v>
      </c>
      <c r="H55" s="3">
        <v>2910.2168421052634</v>
      </c>
      <c r="I55">
        <v>20798.88</v>
      </c>
      <c r="J55" s="26">
        <f t="shared" si="0"/>
        <v>60529250.872926325</v>
      </c>
      <c r="K55">
        <v>4728492</v>
      </c>
      <c r="L55">
        <v>3476973</v>
      </c>
      <c r="M55">
        <v>15717666</v>
      </c>
      <c r="N55" t="str" cm="1">
        <f t="array" ref="N55:V55">VLOOKUP(E55,[1]Artist_Popularity_Data!$A$2:$I$11,{1,2,3,4,5,6,7,8,9},0)</f>
        <v>Shreya Ghoshal</v>
      </c>
      <c r="O55" t="str">
        <v>Classical/Bollywood</v>
      </c>
      <c r="P55">
        <v>3326</v>
      </c>
      <c r="Q55">
        <v>3197</v>
      </c>
      <c r="R55">
        <v>23</v>
      </c>
      <c r="S55">
        <v>271</v>
      </c>
      <c r="T55">
        <v>792856</v>
      </c>
      <c r="U55" t="str">
        <v>No</v>
      </c>
      <c r="V55" t="str">
        <v>Pune, Mumbai, Delhi, Bengaluru, Amritsar</v>
      </c>
    </row>
    <row r="56" spans="1:22" x14ac:dyDescent="0.3">
      <c r="A56" t="s">
        <v>67</v>
      </c>
      <c r="B56" t="s">
        <v>54</v>
      </c>
      <c r="C56" s="1">
        <v>45326</v>
      </c>
      <c r="D56" t="s">
        <v>20</v>
      </c>
      <c r="E56" t="s">
        <v>21</v>
      </c>
      <c r="F56" t="str">
        <f>VLOOKUP(E56,'Missing Values &amp; Outliers'!$O$10:$P$19,2,0)</f>
        <v xml:space="preserve">International  </v>
      </c>
      <c r="G56" t="s">
        <v>100</v>
      </c>
      <c r="H56">
        <v>4459</v>
      </c>
      <c r="I56">
        <v>19021.099999999999</v>
      </c>
      <c r="J56" s="26">
        <f t="shared" si="0"/>
        <v>84815084.899999991</v>
      </c>
      <c r="K56">
        <v>9592069</v>
      </c>
      <c r="L56">
        <v>3713395</v>
      </c>
      <c r="M56">
        <v>99851469</v>
      </c>
      <c r="N56" t="str" cm="1">
        <f t="array" ref="N56:V56">VLOOKUP(E56,[1]Artist_Popularity_Data!$A$2:$I$11,{1,2,3,4,5,6,7,8,9},0)</f>
        <v>Bryan Adams</v>
      </c>
      <c r="O56" t="str">
        <v>Rock</v>
      </c>
      <c r="P56">
        <v>992</v>
      </c>
      <c r="Q56">
        <v>21632.555555555555</v>
      </c>
      <c r="R56">
        <v>30</v>
      </c>
      <c r="S56">
        <v>81</v>
      </c>
      <c r="T56">
        <v>8678356</v>
      </c>
      <c r="U56" t="str">
        <v>Yes</v>
      </c>
      <c r="V56" t="str">
        <v>Delhi, Jaipur, Bengaluru, Mumbai</v>
      </c>
    </row>
    <row r="57" spans="1:22" x14ac:dyDescent="0.3">
      <c r="A57" t="s">
        <v>15</v>
      </c>
      <c r="B57" t="s">
        <v>31</v>
      </c>
      <c r="C57" s="1">
        <v>45431</v>
      </c>
      <c r="E57" t="s">
        <v>37</v>
      </c>
      <c r="F57" t="str">
        <f>VLOOKUP(E57,'Missing Values &amp; Outliers'!$O$10:$P$19,2,0)</f>
        <v>Local Artist</v>
      </c>
      <c r="G57" t="s">
        <v>60</v>
      </c>
      <c r="H57" s="3">
        <v>2910.2168421052634</v>
      </c>
      <c r="I57">
        <v>31020</v>
      </c>
      <c r="J57" s="26">
        <f t="shared" si="0"/>
        <v>90274926.442105263</v>
      </c>
      <c r="K57">
        <v>10701900</v>
      </c>
      <c r="L57">
        <v>854727</v>
      </c>
      <c r="M57">
        <v>122856387</v>
      </c>
      <c r="N57" t="str" cm="1">
        <f t="array" ref="N57:V57">VLOOKUP(E57,[1]Artist_Popularity_Data!$A$2:$I$11,{1,2,3,4,5,6,7,8,9},0)</f>
        <v>Shreya Ghoshal</v>
      </c>
      <c r="O57" t="str">
        <v>Classical/Bollywood</v>
      </c>
      <c r="P57">
        <v>3326</v>
      </c>
      <c r="Q57">
        <v>3197</v>
      </c>
      <c r="R57">
        <v>23</v>
      </c>
      <c r="S57">
        <v>271</v>
      </c>
      <c r="T57">
        <v>792856</v>
      </c>
      <c r="U57" t="str">
        <v>No</v>
      </c>
      <c r="V57" t="str">
        <v>Pune, Mumbai, Delhi, Bengaluru, Amritsar</v>
      </c>
    </row>
    <row r="58" spans="1:22" x14ac:dyDescent="0.3">
      <c r="A58" t="s">
        <v>36</v>
      </c>
      <c r="B58" t="s">
        <v>31</v>
      </c>
      <c r="C58" s="1">
        <v>45583</v>
      </c>
      <c r="E58" t="s">
        <v>32</v>
      </c>
      <c r="F58" t="str">
        <f>VLOOKUP(E58,'Missing Values &amp; Outliers'!$O$10:$P$19,2,0)</f>
        <v>Local Artist</v>
      </c>
      <c r="G58" t="s">
        <v>101</v>
      </c>
      <c r="H58" s="3">
        <v>2910.2168421052634</v>
      </c>
      <c r="I58">
        <v>5456</v>
      </c>
      <c r="J58" s="26">
        <f t="shared" si="0"/>
        <v>15878143.090526316</v>
      </c>
      <c r="K58">
        <v>1085744</v>
      </c>
      <c r="L58">
        <v>3936852</v>
      </c>
      <c r="M58">
        <v>19235476</v>
      </c>
      <c r="N58" t="str" cm="1">
        <f t="array" ref="N58:V58">VLOOKUP(E58,[1]Artist_Popularity_Data!$A$2:$I$11,{1,2,3,4,5,6,7,8,9},0)</f>
        <v>Mika Singh</v>
      </c>
      <c r="O58" t="str">
        <v>Bollywood</v>
      </c>
      <c r="P58">
        <v>1025</v>
      </c>
      <c r="Q58">
        <v>11057</v>
      </c>
      <c r="R58">
        <v>12</v>
      </c>
      <c r="S58">
        <v>371</v>
      </c>
      <c r="T58">
        <v>7983154</v>
      </c>
      <c r="U58" t="str">
        <v>No</v>
      </c>
      <c r="V58" t="str">
        <v>Delhi, Amritsar, Bengaluru, Mumbai</v>
      </c>
    </row>
    <row r="59" spans="1:22" x14ac:dyDescent="0.3">
      <c r="A59" t="s">
        <v>36</v>
      </c>
      <c r="B59" t="s">
        <v>24</v>
      </c>
      <c r="C59" s="1">
        <v>45486</v>
      </c>
      <c r="E59" t="s">
        <v>41</v>
      </c>
      <c r="F59" t="str">
        <f>VLOOKUP(E59,'Missing Values &amp; Outliers'!$O$10:$P$19,2,0)</f>
        <v xml:space="preserve">International  </v>
      </c>
      <c r="G59" t="s">
        <v>103</v>
      </c>
      <c r="H59">
        <v>5391.4</v>
      </c>
      <c r="I59">
        <v>11355</v>
      </c>
      <c r="J59" s="26">
        <f t="shared" si="0"/>
        <v>61219346.999999993</v>
      </c>
      <c r="K59">
        <v>2305065</v>
      </c>
      <c r="L59">
        <v>1958821</v>
      </c>
      <c r="M59">
        <v>191967964</v>
      </c>
      <c r="N59" t="str" cm="1">
        <f t="array" ref="N59:V59">VLOOKUP(E59,[1]Artist_Popularity_Data!$A$2:$I$11,{1,2,3,4,5,6,7,8,9},0)</f>
        <v>DJ Snake</v>
      </c>
      <c r="O59" t="str">
        <v>EDM</v>
      </c>
      <c r="P59">
        <v>1431</v>
      </c>
      <c r="Q59">
        <v>19089</v>
      </c>
      <c r="R59">
        <v>32</v>
      </c>
      <c r="S59">
        <v>429</v>
      </c>
      <c r="T59">
        <v>10193526</v>
      </c>
      <c r="U59" t="str">
        <v>No</v>
      </c>
      <c r="V59" t="str">
        <v>Bengaluru, Jaipur, Mumbai, Chandigarh, Kolkata, Delhi</v>
      </c>
    </row>
    <row r="60" spans="1:22" x14ac:dyDescent="0.3">
      <c r="A60" t="s">
        <v>43</v>
      </c>
      <c r="B60" t="s">
        <v>16</v>
      </c>
      <c r="C60" s="1">
        <v>45457</v>
      </c>
      <c r="D60" t="s">
        <v>28</v>
      </c>
      <c r="E60" t="s">
        <v>29</v>
      </c>
      <c r="F60" t="str">
        <f>VLOOKUP(E60,'Missing Values &amp; Outliers'!$O$10:$P$19,2,0)</f>
        <v>Local Artist</v>
      </c>
      <c r="G60" t="s">
        <v>104</v>
      </c>
      <c r="H60" s="3">
        <v>2910.2168421052634</v>
      </c>
      <c r="I60">
        <v>20798.88</v>
      </c>
      <c r="J60" s="26">
        <f t="shared" si="0"/>
        <v>60529250.872926325</v>
      </c>
      <c r="K60">
        <v>3236079</v>
      </c>
      <c r="L60">
        <v>3039149</v>
      </c>
      <c r="M60">
        <v>24290802</v>
      </c>
      <c r="N60" t="str" cm="1">
        <f t="array" ref="N60:V60">VLOOKUP(E60,[1]Artist_Popularity_Data!$A$2:$I$11,{1,2,3,4,5,6,7,8,9},0)</f>
        <v>Arijit Singh</v>
      </c>
      <c r="O60" t="str">
        <v>Bollywood</v>
      </c>
      <c r="P60">
        <v>2437</v>
      </c>
      <c r="Q60">
        <v>25729</v>
      </c>
      <c r="R60">
        <v>30</v>
      </c>
      <c r="S60">
        <v>584</v>
      </c>
      <c r="T60">
        <v>18730712</v>
      </c>
      <c r="U60" t="str">
        <v>Yes</v>
      </c>
      <c r="V60" t="str">
        <v>Nagpur, Jaipur, Chandigarh</v>
      </c>
    </row>
    <row r="61" spans="1:22" x14ac:dyDescent="0.3">
      <c r="A61" t="s">
        <v>50</v>
      </c>
      <c r="B61" t="s">
        <v>12</v>
      </c>
      <c r="C61" s="1">
        <v>45370</v>
      </c>
      <c r="E61" t="s">
        <v>13</v>
      </c>
      <c r="F61" t="str">
        <f>VLOOKUP(E61,'Missing Values &amp; Outliers'!$O$10:$P$19,2,0)</f>
        <v>Local Artist</v>
      </c>
      <c r="G61" t="s">
        <v>106</v>
      </c>
      <c r="H61">
        <v>2589</v>
      </c>
      <c r="I61">
        <v>8270</v>
      </c>
      <c r="J61" s="26">
        <f t="shared" si="0"/>
        <v>21411030</v>
      </c>
      <c r="K61">
        <v>1563030</v>
      </c>
      <c r="L61">
        <v>3564057</v>
      </c>
      <c r="M61">
        <v>106152468</v>
      </c>
      <c r="N61" t="str" cm="1">
        <f t="array" ref="N61:V61">VLOOKUP(E61,[1]Artist_Popularity_Data!$A$2:$I$11,{1,2,3,4,5,6,7,8,9},0)</f>
        <v>Badshah</v>
      </c>
      <c r="O61" t="str">
        <v>Bollywood</v>
      </c>
      <c r="P61">
        <v>3351</v>
      </c>
      <c r="Q61">
        <v>36448</v>
      </c>
      <c r="R61">
        <v>33</v>
      </c>
      <c r="S61">
        <v>483</v>
      </c>
      <c r="T61">
        <v>20228640</v>
      </c>
      <c r="U61" t="str">
        <v>No</v>
      </c>
      <c r="V61" t="str">
        <v>Nagpur, Goa, Amritsar, Chandigarh, Mumbai</v>
      </c>
    </row>
    <row r="62" spans="1:22" x14ac:dyDescent="0.3">
      <c r="A62" t="s">
        <v>36</v>
      </c>
      <c r="B62" t="s">
        <v>24</v>
      </c>
      <c r="C62" s="1">
        <v>45420</v>
      </c>
      <c r="E62" t="s">
        <v>17</v>
      </c>
      <c r="F62" t="str">
        <f>VLOOKUP(E62,'Missing Values &amp; Outliers'!$O$10:$P$19,2,0)</f>
        <v>Local Artist</v>
      </c>
      <c r="G62" t="s">
        <v>108</v>
      </c>
      <c r="H62">
        <v>4078</v>
      </c>
      <c r="I62">
        <v>9560</v>
      </c>
      <c r="J62" s="26">
        <f t="shared" si="0"/>
        <v>38985680</v>
      </c>
      <c r="K62">
        <v>3795320</v>
      </c>
      <c r="L62">
        <v>2303574</v>
      </c>
      <c r="M62">
        <v>45084574</v>
      </c>
      <c r="N62" t="str" cm="1">
        <f t="array" ref="N62:V62">VLOOKUP(E62,[1]Artist_Popularity_Data!$A$2:$I$11,{1,2,3,4,5,6,7,8,9},0)</f>
        <v>Honey Singh</v>
      </c>
      <c r="O62" t="str">
        <v>Hip-Hop</v>
      </c>
      <c r="P62">
        <v>1573</v>
      </c>
      <c r="Q62">
        <v>35223</v>
      </c>
      <c r="R62">
        <v>34</v>
      </c>
      <c r="S62">
        <v>430</v>
      </c>
      <c r="T62">
        <v>25360560</v>
      </c>
      <c r="U62" t="str">
        <v>No</v>
      </c>
      <c r="V62" t="str">
        <v>Pune, Amritsar, Bengaluru</v>
      </c>
    </row>
    <row r="63" spans="1:22" x14ac:dyDescent="0.3">
      <c r="A63" t="s">
        <v>67</v>
      </c>
      <c r="B63" t="s">
        <v>24</v>
      </c>
      <c r="C63" s="1">
        <v>45368</v>
      </c>
      <c r="D63" t="s">
        <v>28</v>
      </c>
      <c r="E63" t="s">
        <v>29</v>
      </c>
      <c r="F63" t="str">
        <f>VLOOKUP(E63,'Missing Values &amp; Outliers'!$O$10:$P$19,2,0)</f>
        <v>Local Artist</v>
      </c>
      <c r="G63" t="s">
        <v>109</v>
      </c>
      <c r="H63">
        <v>1381</v>
      </c>
      <c r="I63">
        <v>13578</v>
      </c>
      <c r="J63" s="26">
        <f t="shared" si="0"/>
        <v>18751218</v>
      </c>
      <c r="K63">
        <v>5336154</v>
      </c>
      <c r="L63">
        <v>1442642</v>
      </c>
      <c r="M63">
        <v>25530014</v>
      </c>
      <c r="N63" t="str" cm="1">
        <f t="array" ref="N63:V63">VLOOKUP(E63,[1]Artist_Popularity_Data!$A$2:$I$11,{1,2,3,4,5,6,7,8,9},0)</f>
        <v>Arijit Singh</v>
      </c>
      <c r="O63" t="str">
        <v>Bollywood</v>
      </c>
      <c r="P63">
        <v>2437</v>
      </c>
      <c r="Q63">
        <v>25729</v>
      </c>
      <c r="R63">
        <v>30</v>
      </c>
      <c r="S63">
        <v>584</v>
      </c>
      <c r="T63">
        <v>18730712</v>
      </c>
      <c r="U63" t="str">
        <v>Yes</v>
      </c>
      <c r="V63" t="str">
        <v>Nagpur, Jaipur, Chandigarh</v>
      </c>
    </row>
    <row r="64" spans="1:22" x14ac:dyDescent="0.3">
      <c r="A64" t="s">
        <v>23</v>
      </c>
      <c r="B64" t="s">
        <v>65</v>
      </c>
      <c r="C64" s="1">
        <v>45506</v>
      </c>
      <c r="E64" t="s">
        <v>17</v>
      </c>
      <c r="F64" t="str">
        <f>VLOOKUP(E64,'Missing Values &amp; Outliers'!$O$10:$P$19,2,0)</f>
        <v>Local Artist</v>
      </c>
      <c r="G64" t="s">
        <v>111</v>
      </c>
      <c r="H64">
        <v>2817</v>
      </c>
      <c r="I64">
        <v>13994</v>
      </c>
      <c r="J64" s="26">
        <f t="shared" si="0"/>
        <v>39421098</v>
      </c>
      <c r="K64">
        <v>6689132</v>
      </c>
      <c r="L64">
        <v>3519113</v>
      </c>
      <c r="M64">
        <v>49629343</v>
      </c>
      <c r="N64" t="str" cm="1">
        <f t="array" ref="N64:V64">VLOOKUP(E64,[1]Artist_Popularity_Data!$A$2:$I$11,{1,2,3,4,5,6,7,8,9},0)</f>
        <v>Honey Singh</v>
      </c>
      <c r="O64" t="str">
        <v>Hip-Hop</v>
      </c>
      <c r="P64">
        <v>1573</v>
      </c>
      <c r="Q64">
        <v>35223</v>
      </c>
      <c r="R64">
        <v>34</v>
      </c>
      <c r="S64">
        <v>430</v>
      </c>
      <c r="T64">
        <v>25360560</v>
      </c>
      <c r="U64" t="str">
        <v>No</v>
      </c>
      <c r="V64" t="str">
        <v>Pune, Amritsar, Bengaluru</v>
      </c>
    </row>
    <row r="65" spans="1:22" x14ac:dyDescent="0.3">
      <c r="A65" t="s">
        <v>67</v>
      </c>
      <c r="B65" t="s">
        <v>19</v>
      </c>
      <c r="C65" s="1">
        <v>45317</v>
      </c>
      <c r="E65" t="s">
        <v>13</v>
      </c>
      <c r="F65" t="str">
        <f>VLOOKUP(E65,'Missing Values &amp; Outliers'!$O$10:$P$19,2,0)</f>
        <v>Local Artist</v>
      </c>
      <c r="G65" t="s">
        <v>112</v>
      </c>
      <c r="H65">
        <v>2937</v>
      </c>
      <c r="I65">
        <v>14499</v>
      </c>
      <c r="J65" s="26">
        <f t="shared" si="0"/>
        <v>42583563</v>
      </c>
      <c r="K65">
        <v>7177005</v>
      </c>
      <c r="L65">
        <v>1341541</v>
      </c>
      <c r="M65">
        <v>51102109</v>
      </c>
      <c r="N65" t="str" cm="1">
        <f t="array" ref="N65:V65">VLOOKUP(E65,[1]Artist_Popularity_Data!$A$2:$I$11,{1,2,3,4,5,6,7,8,9},0)</f>
        <v>Badshah</v>
      </c>
      <c r="O65" t="str">
        <v>Bollywood</v>
      </c>
      <c r="P65">
        <v>3351</v>
      </c>
      <c r="Q65">
        <v>36448</v>
      </c>
      <c r="R65">
        <v>33</v>
      </c>
      <c r="S65">
        <v>483</v>
      </c>
      <c r="T65">
        <v>20228640</v>
      </c>
      <c r="U65" t="str">
        <v>No</v>
      </c>
      <c r="V65" t="str">
        <v>Nagpur, Goa, Amritsar, Chandigarh, Mumbai</v>
      </c>
    </row>
    <row r="66" spans="1:22" x14ac:dyDescent="0.3">
      <c r="A66" t="s">
        <v>43</v>
      </c>
      <c r="B66" t="s">
        <v>27</v>
      </c>
      <c r="C66" s="1">
        <v>45568</v>
      </c>
      <c r="E66" t="s">
        <v>41</v>
      </c>
      <c r="F66" t="str">
        <f>VLOOKUP(E66,'Missing Values &amp; Outliers'!$O$10:$P$19,2,0)</f>
        <v xml:space="preserve">International  </v>
      </c>
      <c r="G66" t="s">
        <v>113</v>
      </c>
      <c r="H66">
        <v>3235.4</v>
      </c>
      <c r="I66">
        <v>15002</v>
      </c>
      <c r="J66" s="26">
        <f t="shared" si="0"/>
        <v>48537470.800000004</v>
      </c>
      <c r="K66">
        <v>3975530</v>
      </c>
      <c r="L66">
        <v>4947667</v>
      </c>
      <c r="M66">
        <v>43592819</v>
      </c>
      <c r="N66" t="str" cm="1">
        <f t="array" ref="N66:V66">VLOOKUP(E66,[1]Artist_Popularity_Data!$A$2:$I$11,{1,2,3,4,5,6,7,8,9},0)</f>
        <v>DJ Snake</v>
      </c>
      <c r="O66" t="str">
        <v>EDM</v>
      </c>
      <c r="P66">
        <v>1431</v>
      </c>
      <c r="Q66">
        <v>19089</v>
      </c>
      <c r="R66">
        <v>32</v>
      </c>
      <c r="S66">
        <v>429</v>
      </c>
      <c r="T66">
        <v>10193526</v>
      </c>
      <c r="U66" t="str">
        <v>No</v>
      </c>
      <c r="V66" t="str">
        <v>Bengaluru, Jaipur, Mumbai, Chandigarh, Kolkata, Delhi</v>
      </c>
    </row>
    <row r="67" spans="1:22" x14ac:dyDescent="0.3">
      <c r="A67" t="s">
        <v>11</v>
      </c>
      <c r="B67" t="s">
        <v>24</v>
      </c>
      <c r="C67" s="1">
        <v>45339</v>
      </c>
      <c r="E67" t="s">
        <v>41</v>
      </c>
      <c r="F67" t="str">
        <f>VLOOKUP(E67,'Missing Values &amp; Outliers'!$O$10:$P$19,2,0)</f>
        <v xml:space="preserve">International  </v>
      </c>
      <c r="G67" t="s">
        <v>114</v>
      </c>
      <c r="H67">
        <v>2224.6</v>
      </c>
      <c r="I67">
        <v>23169</v>
      </c>
      <c r="J67" s="26">
        <f t="shared" ref="J67:J93" si="1">I67*H67</f>
        <v>51541757.399999999</v>
      </c>
      <c r="K67">
        <v>5630067</v>
      </c>
      <c r="L67">
        <v>4471729</v>
      </c>
      <c r="M67">
        <v>46917337</v>
      </c>
      <c r="N67" t="str" cm="1">
        <f t="array" ref="N67:V67">VLOOKUP(E67,[1]Artist_Popularity_Data!$A$2:$I$11,{1,2,3,4,5,6,7,8,9},0)</f>
        <v>DJ Snake</v>
      </c>
      <c r="O67" t="str">
        <v>EDM</v>
      </c>
      <c r="P67">
        <v>1431</v>
      </c>
      <c r="Q67">
        <v>19089</v>
      </c>
      <c r="R67">
        <v>32</v>
      </c>
      <c r="S67">
        <v>429</v>
      </c>
      <c r="T67">
        <v>10193526</v>
      </c>
      <c r="U67" t="str">
        <v>No</v>
      </c>
      <c r="V67" t="str">
        <v>Bengaluru, Jaipur, Mumbai, Chandigarh, Kolkata, Delhi</v>
      </c>
    </row>
    <row r="68" spans="1:22" x14ac:dyDescent="0.3">
      <c r="A68" t="s">
        <v>45</v>
      </c>
      <c r="B68" t="s">
        <v>27</v>
      </c>
      <c r="C68" s="1">
        <v>45616</v>
      </c>
      <c r="E68" t="s">
        <v>41</v>
      </c>
      <c r="F68" t="str">
        <f>VLOOKUP(E68,'Missing Values &amp; Outliers'!$O$10:$P$19,2,0)</f>
        <v xml:space="preserve">International  </v>
      </c>
      <c r="G68" t="s">
        <v>115</v>
      </c>
      <c r="H68">
        <v>2679.6</v>
      </c>
      <c r="I68">
        <v>20798.88</v>
      </c>
      <c r="J68" s="26">
        <f t="shared" si="1"/>
        <v>55732678.847999997</v>
      </c>
      <c r="K68">
        <v>1370391</v>
      </c>
      <c r="L68">
        <v>1953924</v>
      </c>
      <c r="M68">
        <v>23346669</v>
      </c>
      <c r="N68" t="str" cm="1">
        <f t="array" ref="N68:V68">VLOOKUP(E68,[1]Artist_Popularity_Data!$A$2:$I$11,{1,2,3,4,5,6,7,8,9},0)</f>
        <v>DJ Snake</v>
      </c>
      <c r="O68" t="str">
        <v>EDM</v>
      </c>
      <c r="P68">
        <v>1431</v>
      </c>
      <c r="Q68">
        <v>19089</v>
      </c>
      <c r="R68">
        <v>32</v>
      </c>
      <c r="S68">
        <v>429</v>
      </c>
      <c r="T68">
        <v>10193526</v>
      </c>
      <c r="U68" t="str">
        <v>No</v>
      </c>
      <c r="V68" t="str">
        <v>Bengaluru, Jaipur, Mumbai, Chandigarh, Kolkata, Delhi</v>
      </c>
    </row>
    <row r="69" spans="1:22" x14ac:dyDescent="0.3">
      <c r="A69" t="s">
        <v>50</v>
      </c>
      <c r="B69" t="s">
        <v>46</v>
      </c>
      <c r="C69" s="1">
        <v>45345</v>
      </c>
      <c r="E69" t="s">
        <v>32</v>
      </c>
      <c r="F69" t="str">
        <f>VLOOKUP(E69,'Missing Values &amp; Outliers'!$O$10:$P$19,2,0)</f>
        <v>Local Artist</v>
      </c>
      <c r="G69" t="s">
        <v>116</v>
      </c>
      <c r="H69">
        <v>2567</v>
      </c>
      <c r="I69">
        <v>4240</v>
      </c>
      <c r="J69" s="26">
        <f t="shared" si="1"/>
        <v>10884080</v>
      </c>
      <c r="K69">
        <v>1861360</v>
      </c>
      <c r="L69">
        <v>1698282</v>
      </c>
      <c r="M69">
        <v>14443722</v>
      </c>
      <c r="N69" t="str" cm="1">
        <f t="array" ref="N69:V69">VLOOKUP(E69,[1]Artist_Popularity_Data!$A$2:$I$11,{1,2,3,4,5,6,7,8,9},0)</f>
        <v>Mika Singh</v>
      </c>
      <c r="O69" t="str">
        <v>Bollywood</v>
      </c>
      <c r="P69">
        <v>1025</v>
      </c>
      <c r="Q69">
        <v>11057</v>
      </c>
      <c r="R69">
        <v>12</v>
      </c>
      <c r="S69">
        <v>371</v>
      </c>
      <c r="T69">
        <v>7983154</v>
      </c>
      <c r="U69" t="str">
        <v>No</v>
      </c>
      <c r="V69" t="str">
        <v>Delhi, Amritsar, Bengaluru, Mumbai</v>
      </c>
    </row>
    <row r="70" spans="1:22" x14ac:dyDescent="0.3">
      <c r="A70" t="s">
        <v>26</v>
      </c>
      <c r="B70" t="s">
        <v>16</v>
      </c>
      <c r="C70" s="1">
        <v>45543</v>
      </c>
      <c r="D70" t="s">
        <v>20</v>
      </c>
      <c r="E70" t="s">
        <v>21</v>
      </c>
      <c r="F70" t="str">
        <f>VLOOKUP(E70,'Missing Values &amp; Outliers'!$O$10:$P$19,2,0)</f>
        <v xml:space="preserve">International  </v>
      </c>
      <c r="G70" t="s">
        <v>90</v>
      </c>
      <c r="H70">
        <v>6972</v>
      </c>
      <c r="I70">
        <v>21681.1</v>
      </c>
      <c r="J70" s="26">
        <f t="shared" si="1"/>
        <v>151160629.19999999</v>
      </c>
      <c r="K70">
        <v>13875904</v>
      </c>
      <c r="L70">
        <v>2510128</v>
      </c>
      <c r="M70">
        <v>170631572</v>
      </c>
      <c r="N70" t="str" cm="1">
        <f t="array" ref="N70:V70">VLOOKUP(E70,[1]Artist_Popularity_Data!$A$2:$I$11,{1,2,3,4,5,6,7,8,9},0)</f>
        <v>Bryan Adams</v>
      </c>
      <c r="O70" t="str">
        <v>Rock</v>
      </c>
      <c r="P70">
        <v>992</v>
      </c>
      <c r="Q70">
        <v>21632.555555555555</v>
      </c>
      <c r="R70">
        <v>30</v>
      </c>
      <c r="S70">
        <v>81</v>
      </c>
      <c r="T70">
        <v>8678356</v>
      </c>
      <c r="U70" t="str">
        <v>Yes</v>
      </c>
      <c r="V70" t="str">
        <v>Delhi, Jaipur, Bengaluru, Mumbai</v>
      </c>
    </row>
    <row r="71" spans="1:22" x14ac:dyDescent="0.3">
      <c r="A71" t="s">
        <v>26</v>
      </c>
      <c r="B71" t="s">
        <v>46</v>
      </c>
      <c r="C71" s="1">
        <v>45510</v>
      </c>
      <c r="E71" t="s">
        <v>17</v>
      </c>
      <c r="F71" t="str">
        <f>VLOOKUP(E71,'Missing Values &amp; Outliers'!$O$10:$P$19,2,0)</f>
        <v>Local Artist</v>
      </c>
      <c r="G71" t="s">
        <v>117</v>
      </c>
      <c r="H71" s="3">
        <v>2910.2168421052634</v>
      </c>
      <c r="I71">
        <v>32900</v>
      </c>
      <c r="J71" s="26">
        <f t="shared" si="1"/>
        <v>95746134.105263159</v>
      </c>
      <c r="K71">
        <v>6777400</v>
      </c>
      <c r="L71">
        <v>3584230</v>
      </c>
      <c r="M71">
        <v>126301230</v>
      </c>
      <c r="N71" t="str" cm="1">
        <f t="array" ref="N71:V71">VLOOKUP(E71,[1]Artist_Popularity_Data!$A$2:$I$11,{1,2,3,4,5,6,7,8,9},0)</f>
        <v>Honey Singh</v>
      </c>
      <c r="O71" t="str">
        <v>Hip-Hop</v>
      </c>
      <c r="P71">
        <v>1573</v>
      </c>
      <c r="Q71">
        <v>35223</v>
      </c>
      <c r="R71">
        <v>34</v>
      </c>
      <c r="S71">
        <v>430</v>
      </c>
      <c r="T71">
        <v>25360560</v>
      </c>
      <c r="U71" t="str">
        <v>No</v>
      </c>
      <c r="V71" t="str">
        <v>Pune, Amritsar, Bengaluru</v>
      </c>
    </row>
    <row r="72" spans="1:22" x14ac:dyDescent="0.3">
      <c r="A72" t="s">
        <v>43</v>
      </c>
      <c r="B72" t="s">
        <v>46</v>
      </c>
      <c r="C72" s="1">
        <v>45609</v>
      </c>
      <c r="D72" t="s">
        <v>20</v>
      </c>
      <c r="E72" t="s">
        <v>21</v>
      </c>
      <c r="F72" t="str">
        <f>VLOOKUP(E72,'Missing Values &amp; Outliers'!$O$10:$P$19,2,0)</f>
        <v xml:space="preserve">International  </v>
      </c>
      <c r="G72" t="s">
        <v>118</v>
      </c>
      <c r="H72">
        <v>4765.6000000000004</v>
      </c>
      <c r="I72">
        <v>11366.6</v>
      </c>
      <c r="J72" s="26">
        <f t="shared" si="1"/>
        <v>54168668.960000008</v>
      </c>
      <c r="K72">
        <v>6933626</v>
      </c>
      <c r="L72">
        <v>2380633</v>
      </c>
      <c r="M72">
        <v>64588411</v>
      </c>
      <c r="N72" t="str" cm="1">
        <f t="array" ref="N72:V72">VLOOKUP(E72,[1]Artist_Popularity_Data!$A$2:$I$11,{1,2,3,4,5,6,7,8,9},0)</f>
        <v>Bryan Adams</v>
      </c>
      <c r="O72" t="str">
        <v>Rock</v>
      </c>
      <c r="P72">
        <v>992</v>
      </c>
      <c r="Q72">
        <v>21632.555555555555</v>
      </c>
      <c r="R72">
        <v>30</v>
      </c>
      <c r="S72">
        <v>81</v>
      </c>
      <c r="T72">
        <v>8678356</v>
      </c>
      <c r="U72" t="str">
        <v>Yes</v>
      </c>
      <c r="V72" t="str">
        <v>Delhi, Jaipur, Bengaluru, Mumbai</v>
      </c>
    </row>
    <row r="73" spans="1:22" x14ac:dyDescent="0.3">
      <c r="A73" t="s">
        <v>45</v>
      </c>
      <c r="B73" t="s">
        <v>16</v>
      </c>
      <c r="C73" s="1">
        <v>45414</v>
      </c>
      <c r="E73" t="s">
        <v>37</v>
      </c>
      <c r="F73" t="str">
        <f>VLOOKUP(E73,'Missing Values &amp; Outliers'!$O$10:$P$19,2,0)</f>
        <v>Local Artist</v>
      </c>
      <c r="G73" t="s">
        <v>119</v>
      </c>
      <c r="H73">
        <v>3243</v>
      </c>
      <c r="I73">
        <v>5362</v>
      </c>
      <c r="J73" s="26">
        <f t="shared" si="1"/>
        <v>17388966</v>
      </c>
      <c r="K73">
        <v>739956</v>
      </c>
      <c r="L73">
        <v>4259028</v>
      </c>
      <c r="M73">
        <v>22387950</v>
      </c>
      <c r="N73" t="str" cm="1">
        <f t="array" ref="N73:V73">VLOOKUP(E73,[1]Artist_Popularity_Data!$A$2:$I$11,{1,2,3,4,5,6,7,8,9},0)</f>
        <v>Shreya Ghoshal</v>
      </c>
      <c r="O73" t="str">
        <v>Classical/Bollywood</v>
      </c>
      <c r="P73">
        <v>3326</v>
      </c>
      <c r="Q73">
        <v>3197</v>
      </c>
      <c r="R73">
        <v>23</v>
      </c>
      <c r="S73">
        <v>271</v>
      </c>
      <c r="T73">
        <v>792856</v>
      </c>
      <c r="U73" t="str">
        <v>No</v>
      </c>
      <c r="V73" t="str">
        <v>Pune, Mumbai, Delhi, Bengaluru, Amritsar</v>
      </c>
    </row>
    <row r="74" spans="1:22" x14ac:dyDescent="0.3">
      <c r="A74" t="s">
        <v>45</v>
      </c>
      <c r="B74" t="s">
        <v>65</v>
      </c>
      <c r="C74" s="1">
        <v>45531</v>
      </c>
      <c r="E74" t="s">
        <v>52</v>
      </c>
      <c r="F74" t="str">
        <f>VLOOKUP(E74,'Missing Values &amp; Outliers'!$O$10:$P$19,2,0)</f>
        <v xml:space="preserve">International  </v>
      </c>
      <c r="G74" t="s">
        <v>120</v>
      </c>
      <c r="H74">
        <v>1599</v>
      </c>
      <c r="I74">
        <v>6748</v>
      </c>
      <c r="J74" s="26">
        <f t="shared" si="1"/>
        <v>10790052</v>
      </c>
      <c r="K74">
        <v>1005452</v>
      </c>
      <c r="L74">
        <v>3330904</v>
      </c>
      <c r="M74">
        <v>15126408</v>
      </c>
      <c r="N74" t="str" cm="1">
        <f t="array" ref="N74:V74">VLOOKUP(E74,[1]Artist_Popularity_Data!$A$2:$I$11,{1,2,3,4,5,6,7,8,9},0)</f>
        <v>Martin Garrix</v>
      </c>
      <c r="O74" t="str">
        <v>EDM</v>
      </c>
      <c r="P74">
        <v>2499</v>
      </c>
      <c r="Q74">
        <v>11603</v>
      </c>
      <c r="R74">
        <v>43</v>
      </c>
      <c r="S74">
        <v>298</v>
      </c>
      <c r="T74">
        <v>6462871</v>
      </c>
      <c r="U74" t="str">
        <v>No</v>
      </c>
      <c r="V74" t="str">
        <v>Chandigarh, Delhi, Pune, Nagpur, Bengaluru, Kolkata</v>
      </c>
    </row>
    <row r="75" spans="1:22" x14ac:dyDescent="0.3">
      <c r="A75" t="s">
        <v>45</v>
      </c>
      <c r="B75" t="s">
        <v>31</v>
      </c>
      <c r="C75" s="1">
        <v>45326</v>
      </c>
      <c r="D75" t="s">
        <v>28</v>
      </c>
      <c r="E75" t="s">
        <v>29</v>
      </c>
      <c r="F75" t="str">
        <f>VLOOKUP(E75,'Missing Values &amp; Outliers'!$O$10:$P$19,2,0)</f>
        <v>Local Artist</v>
      </c>
      <c r="G75" t="s">
        <v>121</v>
      </c>
      <c r="H75">
        <v>1180</v>
      </c>
      <c r="I75">
        <v>11979</v>
      </c>
      <c r="J75" s="26">
        <f t="shared" si="1"/>
        <v>14135220</v>
      </c>
      <c r="K75">
        <v>3114540</v>
      </c>
      <c r="L75">
        <v>2375872</v>
      </c>
      <c r="M75">
        <v>19625632</v>
      </c>
      <c r="N75" t="str" cm="1">
        <f t="array" ref="N75:V75">VLOOKUP(E75,[1]Artist_Popularity_Data!$A$2:$I$11,{1,2,3,4,5,6,7,8,9},0)</f>
        <v>Arijit Singh</v>
      </c>
      <c r="O75" t="str">
        <v>Bollywood</v>
      </c>
      <c r="P75">
        <v>2437</v>
      </c>
      <c r="Q75">
        <v>25729</v>
      </c>
      <c r="R75">
        <v>30</v>
      </c>
      <c r="S75">
        <v>584</v>
      </c>
      <c r="T75">
        <v>18730712</v>
      </c>
      <c r="U75" t="str">
        <v>Yes</v>
      </c>
      <c r="V75" t="str">
        <v>Nagpur, Jaipur, Chandigarh</v>
      </c>
    </row>
    <row r="76" spans="1:22" x14ac:dyDescent="0.3">
      <c r="A76" t="s">
        <v>39</v>
      </c>
      <c r="B76" t="s">
        <v>12</v>
      </c>
      <c r="C76" s="1">
        <v>45601</v>
      </c>
      <c r="D76" t="s">
        <v>47</v>
      </c>
      <c r="E76" t="s">
        <v>48</v>
      </c>
      <c r="F76" t="str">
        <f>VLOOKUP(E76,'Missing Values &amp; Outliers'!$O$10:$P$19,2,0)</f>
        <v>Local Artist</v>
      </c>
      <c r="G76" t="s">
        <v>122</v>
      </c>
      <c r="H76">
        <v>3928</v>
      </c>
      <c r="I76">
        <v>45372.6</v>
      </c>
      <c r="J76" s="26">
        <f t="shared" si="1"/>
        <v>178223572.79999998</v>
      </c>
      <c r="K76">
        <v>14623938</v>
      </c>
      <c r="L76">
        <v>962979</v>
      </c>
      <c r="M76">
        <v>152681973</v>
      </c>
      <c r="N76" t="str" cm="1">
        <f t="array" ref="N76:V76">VLOOKUP(E76,[1]Artist_Popularity_Data!$A$2:$I$11,{1,2,3,4,5,6,7,8,9},0)</f>
        <v>Diljit Dosanjh</v>
      </c>
      <c r="O76" t="str">
        <v>Punjabi</v>
      </c>
      <c r="P76">
        <v>2027</v>
      </c>
      <c r="Q76">
        <v>33738</v>
      </c>
      <c r="R76">
        <v>46</v>
      </c>
      <c r="S76">
        <v>116</v>
      </c>
      <c r="T76">
        <v>22334556</v>
      </c>
      <c r="U76" t="str">
        <v>Yes</v>
      </c>
      <c r="V76" t="str">
        <v>Amritsar, Kolkata, Delhi, Mumbai, Bengaluru</v>
      </c>
    </row>
    <row r="77" spans="1:22" x14ac:dyDescent="0.3">
      <c r="A77" t="s">
        <v>39</v>
      </c>
      <c r="B77" t="s">
        <v>31</v>
      </c>
      <c r="C77" s="1">
        <v>45401</v>
      </c>
      <c r="E77" t="s">
        <v>52</v>
      </c>
      <c r="F77" t="str">
        <f>VLOOKUP(E77,'Missing Values &amp; Outliers'!$O$10:$P$19,2,0)</f>
        <v xml:space="preserve">International  </v>
      </c>
      <c r="G77" t="s">
        <v>123</v>
      </c>
      <c r="H77">
        <v>929</v>
      </c>
      <c r="I77">
        <v>17678</v>
      </c>
      <c r="J77" s="26">
        <f t="shared" si="1"/>
        <v>16422862</v>
      </c>
      <c r="K77">
        <v>4118974</v>
      </c>
      <c r="L77">
        <v>3432767</v>
      </c>
      <c r="M77">
        <v>23974603</v>
      </c>
      <c r="N77" t="str" cm="1">
        <f t="array" ref="N77:V77">VLOOKUP(E77,[1]Artist_Popularity_Data!$A$2:$I$11,{1,2,3,4,5,6,7,8,9},0)</f>
        <v>Martin Garrix</v>
      </c>
      <c r="O77" t="str">
        <v>EDM</v>
      </c>
      <c r="P77">
        <v>2499</v>
      </c>
      <c r="Q77">
        <v>11603</v>
      </c>
      <c r="R77">
        <v>43</v>
      </c>
      <c r="S77">
        <v>298</v>
      </c>
      <c r="T77">
        <v>6462871</v>
      </c>
      <c r="U77" t="str">
        <v>No</v>
      </c>
      <c r="V77" t="str">
        <v>Chandigarh, Delhi, Pune, Nagpur, Bengaluru, Kolkata</v>
      </c>
    </row>
    <row r="78" spans="1:22" x14ac:dyDescent="0.3">
      <c r="A78" t="s">
        <v>39</v>
      </c>
      <c r="B78" t="s">
        <v>19</v>
      </c>
      <c r="C78" s="1">
        <v>45454</v>
      </c>
      <c r="E78" t="s">
        <v>13</v>
      </c>
      <c r="F78" t="str">
        <f>VLOOKUP(E78,'Missing Values &amp; Outliers'!$O$10:$P$19,2,0)</f>
        <v>Local Artist</v>
      </c>
      <c r="G78" t="s">
        <v>124</v>
      </c>
      <c r="H78">
        <v>1824</v>
      </c>
      <c r="I78">
        <v>11076</v>
      </c>
      <c r="J78" s="26">
        <f t="shared" si="1"/>
        <v>20202624</v>
      </c>
      <c r="K78">
        <v>2193048</v>
      </c>
      <c r="L78">
        <v>4584685</v>
      </c>
      <c r="M78">
        <v>26980357</v>
      </c>
      <c r="N78" t="str" cm="1">
        <f t="array" ref="N78:V78">VLOOKUP(E78,[1]Artist_Popularity_Data!$A$2:$I$11,{1,2,3,4,5,6,7,8,9},0)</f>
        <v>Badshah</v>
      </c>
      <c r="O78" t="str">
        <v>Bollywood</v>
      </c>
      <c r="P78">
        <v>3351</v>
      </c>
      <c r="Q78">
        <v>36448</v>
      </c>
      <c r="R78">
        <v>33</v>
      </c>
      <c r="S78">
        <v>483</v>
      </c>
      <c r="T78">
        <v>20228640</v>
      </c>
      <c r="U78" t="str">
        <v>No</v>
      </c>
      <c r="V78" t="str">
        <v>Nagpur, Goa, Amritsar, Chandigarh, Mumbai</v>
      </c>
    </row>
    <row r="79" spans="1:22" x14ac:dyDescent="0.3">
      <c r="A79" t="s">
        <v>15</v>
      </c>
      <c r="B79" t="s">
        <v>51</v>
      </c>
      <c r="C79" s="1">
        <v>45385</v>
      </c>
      <c r="D79" t="s">
        <v>28</v>
      </c>
      <c r="E79" t="s">
        <v>29</v>
      </c>
      <c r="F79" t="str">
        <f>VLOOKUP(E79,'Missing Values &amp; Outliers'!$O$10:$P$19,2,0)</f>
        <v>Local Artist</v>
      </c>
      <c r="G79" t="s">
        <v>125</v>
      </c>
      <c r="H79">
        <v>3034</v>
      </c>
      <c r="I79">
        <v>9525</v>
      </c>
      <c r="J79" s="26">
        <f t="shared" si="1"/>
        <v>28898850</v>
      </c>
      <c r="K79">
        <v>1266825</v>
      </c>
      <c r="L79">
        <v>659581</v>
      </c>
      <c r="M79">
        <v>30825256</v>
      </c>
      <c r="N79" t="str" cm="1">
        <f t="array" ref="N79:V79">VLOOKUP(E79,[1]Artist_Popularity_Data!$A$2:$I$11,{1,2,3,4,5,6,7,8,9},0)</f>
        <v>Arijit Singh</v>
      </c>
      <c r="O79" t="str">
        <v>Bollywood</v>
      </c>
      <c r="P79">
        <v>2437</v>
      </c>
      <c r="Q79">
        <v>25729</v>
      </c>
      <c r="R79">
        <v>30</v>
      </c>
      <c r="S79">
        <v>584</v>
      </c>
      <c r="T79">
        <v>18730712</v>
      </c>
      <c r="U79" t="str">
        <v>Yes</v>
      </c>
      <c r="V79" t="str">
        <v>Nagpur, Jaipur, Chandigarh</v>
      </c>
    </row>
    <row r="80" spans="1:22" x14ac:dyDescent="0.3">
      <c r="A80" t="s">
        <v>43</v>
      </c>
      <c r="B80" t="s">
        <v>54</v>
      </c>
      <c r="C80" s="1">
        <v>45611</v>
      </c>
      <c r="D80" t="s">
        <v>58</v>
      </c>
      <c r="E80" t="s">
        <v>59</v>
      </c>
      <c r="F80" t="str">
        <f>VLOOKUP(E80,'Missing Values &amp; Outliers'!$O$10:$P$19,2,0)</f>
        <v xml:space="preserve">International  </v>
      </c>
      <c r="G80" t="s">
        <v>66</v>
      </c>
      <c r="H80">
        <v>798</v>
      </c>
      <c r="I80">
        <v>20798.88</v>
      </c>
      <c r="J80" s="26">
        <f t="shared" si="1"/>
        <v>16597506.24</v>
      </c>
      <c r="K80">
        <v>4874352</v>
      </c>
      <c r="L80">
        <v>1012227</v>
      </c>
      <c r="M80">
        <v>16292499</v>
      </c>
      <c r="N80" t="str" cm="1">
        <f t="array" ref="N80:V80">VLOOKUP(E80,[1]Artist_Popularity_Data!$A$2:$I$11,{1,2,3,4,5,6,7,8,9},0)</f>
        <v>Ed Sheeran</v>
      </c>
      <c r="O80" t="str">
        <v>International Pop</v>
      </c>
      <c r="P80">
        <v>3436</v>
      </c>
      <c r="Q80">
        <v>18609</v>
      </c>
      <c r="R80">
        <v>55</v>
      </c>
      <c r="S80">
        <v>736</v>
      </c>
      <c r="T80">
        <v>4856949</v>
      </c>
      <c r="U80" t="str">
        <v>Yes</v>
      </c>
      <c r="V80" t="str">
        <v>Pune, Amritsar, Goa, Chandigarh</v>
      </c>
    </row>
    <row r="81" spans="1:22" x14ac:dyDescent="0.3">
      <c r="A81" t="s">
        <v>23</v>
      </c>
      <c r="B81" t="s">
        <v>27</v>
      </c>
      <c r="C81" s="1">
        <v>45636</v>
      </c>
      <c r="D81" t="s">
        <v>28</v>
      </c>
      <c r="E81" t="s">
        <v>29</v>
      </c>
      <c r="F81" t="str">
        <f>VLOOKUP(E81,'Missing Values &amp; Outliers'!$O$10:$P$19,2,0)</f>
        <v>Local Artist</v>
      </c>
      <c r="G81" t="s">
        <v>126</v>
      </c>
      <c r="H81">
        <v>2753</v>
      </c>
      <c r="I81">
        <v>7762</v>
      </c>
      <c r="J81" s="26">
        <f t="shared" si="1"/>
        <v>21368786</v>
      </c>
      <c r="K81">
        <v>2227694</v>
      </c>
      <c r="L81">
        <v>3105094</v>
      </c>
      <c r="M81">
        <v>26701574</v>
      </c>
      <c r="N81" t="str" cm="1">
        <f t="array" ref="N81:V81">VLOOKUP(E81,[1]Artist_Popularity_Data!$A$2:$I$11,{1,2,3,4,5,6,7,8,9},0)</f>
        <v>Arijit Singh</v>
      </c>
      <c r="O81" t="str">
        <v>Bollywood</v>
      </c>
      <c r="P81">
        <v>2437</v>
      </c>
      <c r="Q81">
        <v>25729</v>
      </c>
      <c r="R81">
        <v>30</v>
      </c>
      <c r="S81">
        <v>584</v>
      </c>
      <c r="T81">
        <v>18730712</v>
      </c>
      <c r="U81" t="str">
        <v>Yes</v>
      </c>
      <c r="V81" t="str">
        <v>Nagpur, Jaipur, Chandigarh</v>
      </c>
    </row>
    <row r="82" spans="1:22" x14ac:dyDescent="0.3">
      <c r="A82" t="s">
        <v>50</v>
      </c>
      <c r="B82" t="s">
        <v>27</v>
      </c>
      <c r="C82" s="1">
        <v>45303</v>
      </c>
      <c r="D82" t="s">
        <v>28</v>
      </c>
      <c r="E82" t="s">
        <v>29</v>
      </c>
      <c r="F82" t="str">
        <f>VLOOKUP(E82,'Missing Values &amp; Outliers'!$O$10:$P$19,2,0)</f>
        <v>Local Artist</v>
      </c>
      <c r="G82" t="s">
        <v>127</v>
      </c>
      <c r="H82">
        <v>2609</v>
      </c>
      <c r="I82">
        <v>27598</v>
      </c>
      <c r="J82" s="26">
        <f t="shared" si="1"/>
        <v>72003182</v>
      </c>
      <c r="K82">
        <v>13467824</v>
      </c>
      <c r="L82">
        <v>3310368</v>
      </c>
      <c r="M82">
        <v>88781374</v>
      </c>
      <c r="N82" t="str" cm="1">
        <f t="array" ref="N82:V82">VLOOKUP(E82,[1]Artist_Popularity_Data!$A$2:$I$11,{1,2,3,4,5,6,7,8,9},0)</f>
        <v>Arijit Singh</v>
      </c>
      <c r="O82" t="str">
        <v>Bollywood</v>
      </c>
      <c r="P82">
        <v>2437</v>
      </c>
      <c r="Q82">
        <v>25729</v>
      </c>
      <c r="R82">
        <v>30</v>
      </c>
      <c r="S82">
        <v>584</v>
      </c>
      <c r="T82">
        <v>18730712</v>
      </c>
      <c r="U82" t="str">
        <v>Yes</v>
      </c>
      <c r="V82" t="str">
        <v>Nagpur, Jaipur, Chandigarh</v>
      </c>
    </row>
    <row r="83" spans="1:22" x14ac:dyDescent="0.3">
      <c r="A83" t="s">
        <v>36</v>
      </c>
      <c r="B83" t="s">
        <v>51</v>
      </c>
      <c r="C83" s="1">
        <v>45324</v>
      </c>
      <c r="D83" t="s">
        <v>28</v>
      </c>
      <c r="E83" t="s">
        <v>29</v>
      </c>
      <c r="F83" t="str">
        <f>VLOOKUP(E83,'Missing Values &amp; Outliers'!$O$10:$P$19,2,0)</f>
        <v>Local Artist</v>
      </c>
      <c r="G83" t="s">
        <v>128</v>
      </c>
      <c r="H83">
        <v>4418</v>
      </c>
      <c r="I83">
        <v>8702</v>
      </c>
      <c r="J83" s="26">
        <f t="shared" si="1"/>
        <v>38445436</v>
      </c>
      <c r="K83">
        <v>3280654</v>
      </c>
      <c r="L83">
        <v>615109</v>
      </c>
      <c r="M83">
        <v>42341199</v>
      </c>
      <c r="N83" t="str" cm="1">
        <f t="array" ref="N83:V83">VLOOKUP(E83,[1]Artist_Popularity_Data!$A$2:$I$11,{1,2,3,4,5,6,7,8,9},0)</f>
        <v>Arijit Singh</v>
      </c>
      <c r="O83" t="str">
        <v>Bollywood</v>
      </c>
      <c r="P83">
        <v>2437</v>
      </c>
      <c r="Q83">
        <v>25729</v>
      </c>
      <c r="R83">
        <v>30</v>
      </c>
      <c r="S83">
        <v>584</v>
      </c>
      <c r="T83">
        <v>18730712</v>
      </c>
      <c r="U83" t="str">
        <v>Yes</v>
      </c>
      <c r="V83" t="str">
        <v>Nagpur, Jaipur, Chandigarh</v>
      </c>
    </row>
    <row r="84" spans="1:22" x14ac:dyDescent="0.3">
      <c r="A84" t="s">
        <v>23</v>
      </c>
      <c r="B84" t="s">
        <v>19</v>
      </c>
      <c r="C84" s="1">
        <v>45328</v>
      </c>
      <c r="E84" t="s">
        <v>37</v>
      </c>
      <c r="F84" t="str">
        <f>VLOOKUP(E84,'Missing Values &amp; Outliers'!$O$10:$P$19,2,0)</f>
        <v>Local Artist</v>
      </c>
      <c r="G84" t="s">
        <v>129</v>
      </c>
      <c r="H84">
        <v>4849</v>
      </c>
      <c r="I84">
        <v>8214</v>
      </c>
      <c r="J84" s="26">
        <f t="shared" si="1"/>
        <v>39829686</v>
      </c>
      <c r="K84">
        <v>1667442</v>
      </c>
      <c r="L84">
        <v>4255125</v>
      </c>
      <c r="M84">
        <v>45752253</v>
      </c>
      <c r="N84" t="str" cm="1">
        <f t="array" ref="N84:V84">VLOOKUP(E84,[1]Artist_Popularity_Data!$A$2:$I$11,{1,2,3,4,5,6,7,8,9},0)</f>
        <v>Shreya Ghoshal</v>
      </c>
      <c r="O84" t="str">
        <v>Classical/Bollywood</v>
      </c>
      <c r="P84">
        <v>3326</v>
      </c>
      <c r="Q84">
        <v>3197</v>
      </c>
      <c r="R84">
        <v>23</v>
      </c>
      <c r="S84">
        <v>271</v>
      </c>
      <c r="T84">
        <v>792856</v>
      </c>
      <c r="U84" t="str">
        <v>No</v>
      </c>
      <c r="V84" t="str">
        <v>Pune, Mumbai, Delhi, Bengaluru, Amritsar</v>
      </c>
    </row>
    <row r="85" spans="1:22" x14ac:dyDescent="0.3">
      <c r="A85" t="s">
        <v>45</v>
      </c>
      <c r="B85" t="s">
        <v>54</v>
      </c>
      <c r="C85" s="1">
        <v>45639</v>
      </c>
      <c r="D85" t="s">
        <v>20</v>
      </c>
      <c r="E85" t="s">
        <v>21</v>
      </c>
      <c r="F85" t="str">
        <f>VLOOKUP(E85,'Missing Values &amp; Outliers'!$O$10:$P$19,2,0)</f>
        <v xml:space="preserve">International  </v>
      </c>
      <c r="G85" t="s">
        <v>92</v>
      </c>
      <c r="H85">
        <v>1750</v>
      </c>
      <c r="I85">
        <v>20798.88</v>
      </c>
      <c r="J85" s="26">
        <f t="shared" si="1"/>
        <v>36398040</v>
      </c>
      <c r="K85">
        <v>4231825</v>
      </c>
      <c r="L85">
        <v>3268157</v>
      </c>
      <c r="M85">
        <v>21531232</v>
      </c>
      <c r="N85" t="str" cm="1">
        <f t="array" ref="N85:V85">VLOOKUP(E85,[1]Artist_Popularity_Data!$A$2:$I$11,{1,2,3,4,5,6,7,8,9},0)</f>
        <v>Bryan Adams</v>
      </c>
      <c r="O85" t="str">
        <v>Rock</v>
      </c>
      <c r="P85">
        <v>992</v>
      </c>
      <c r="Q85">
        <v>21632.555555555555</v>
      </c>
      <c r="R85">
        <v>30</v>
      </c>
      <c r="S85">
        <v>81</v>
      </c>
      <c r="T85">
        <v>8678356</v>
      </c>
      <c r="U85" t="str">
        <v>Yes</v>
      </c>
      <c r="V85" t="str">
        <v>Delhi, Jaipur, Bengaluru, Mumbai</v>
      </c>
    </row>
    <row r="86" spans="1:22" x14ac:dyDescent="0.3">
      <c r="A86" t="s">
        <v>43</v>
      </c>
      <c r="B86" t="s">
        <v>31</v>
      </c>
      <c r="C86" s="1">
        <v>45425</v>
      </c>
      <c r="E86" t="s">
        <v>41</v>
      </c>
      <c r="F86" t="str">
        <f>VLOOKUP(E86,'Missing Values &amp; Outliers'!$O$10:$P$19,2,0)</f>
        <v xml:space="preserve">International  </v>
      </c>
      <c r="G86" t="s">
        <v>130</v>
      </c>
      <c r="H86">
        <v>4279.8</v>
      </c>
      <c r="I86">
        <v>18095</v>
      </c>
      <c r="J86" s="26">
        <f t="shared" si="1"/>
        <v>77442981</v>
      </c>
      <c r="K86">
        <v>4089470</v>
      </c>
      <c r="L86">
        <v>1719569</v>
      </c>
      <c r="M86">
        <v>61125454</v>
      </c>
      <c r="N86" t="str" cm="1">
        <f t="array" ref="N86:V86">VLOOKUP(E86,[1]Artist_Popularity_Data!$A$2:$I$11,{1,2,3,4,5,6,7,8,9},0)</f>
        <v>DJ Snake</v>
      </c>
      <c r="O86" t="str">
        <v>EDM</v>
      </c>
      <c r="P86">
        <v>1431</v>
      </c>
      <c r="Q86">
        <v>19089</v>
      </c>
      <c r="R86">
        <v>32</v>
      </c>
      <c r="S86">
        <v>429</v>
      </c>
      <c r="T86">
        <v>10193526</v>
      </c>
      <c r="U86" t="str">
        <v>No</v>
      </c>
      <c r="V86" t="str">
        <v>Bengaluru, Jaipur, Mumbai, Chandigarh, Kolkata, Delhi</v>
      </c>
    </row>
    <row r="87" spans="1:22" x14ac:dyDescent="0.3">
      <c r="A87" t="s">
        <v>36</v>
      </c>
      <c r="B87" t="s">
        <v>31</v>
      </c>
      <c r="C87" s="1">
        <v>45481</v>
      </c>
      <c r="E87" t="s">
        <v>32</v>
      </c>
      <c r="F87" t="str">
        <f>VLOOKUP(E87,'Missing Values &amp; Outliers'!$O$10:$P$19,2,0)</f>
        <v>Local Artist</v>
      </c>
      <c r="G87" t="s">
        <v>131</v>
      </c>
      <c r="H87">
        <v>3586</v>
      </c>
      <c r="I87">
        <v>38295</v>
      </c>
      <c r="J87" s="26">
        <f t="shared" si="1"/>
        <v>137325870</v>
      </c>
      <c r="K87">
        <v>5476185</v>
      </c>
      <c r="L87">
        <v>887815</v>
      </c>
      <c r="M87">
        <v>143689870</v>
      </c>
      <c r="N87" t="str" cm="1">
        <f t="array" ref="N87:V87">VLOOKUP(E87,[1]Artist_Popularity_Data!$A$2:$I$11,{1,2,3,4,5,6,7,8,9},0)</f>
        <v>Mika Singh</v>
      </c>
      <c r="O87" t="str">
        <v>Bollywood</v>
      </c>
      <c r="P87">
        <v>1025</v>
      </c>
      <c r="Q87">
        <v>11057</v>
      </c>
      <c r="R87">
        <v>12</v>
      </c>
      <c r="S87">
        <v>371</v>
      </c>
      <c r="T87">
        <v>7983154</v>
      </c>
      <c r="U87" t="str">
        <v>No</v>
      </c>
      <c r="V87" t="str">
        <v>Delhi, Amritsar, Bengaluru, Mumbai</v>
      </c>
    </row>
    <row r="88" spans="1:22" x14ac:dyDescent="0.3">
      <c r="A88" t="s">
        <v>45</v>
      </c>
      <c r="B88" t="s">
        <v>24</v>
      </c>
      <c r="C88" s="1">
        <v>45632</v>
      </c>
      <c r="E88" t="s">
        <v>32</v>
      </c>
      <c r="F88" t="str">
        <f>VLOOKUP(E88,'Missing Values &amp; Outliers'!$O$10:$P$19,2,0)</f>
        <v>Local Artist</v>
      </c>
      <c r="G88" t="s">
        <v>132</v>
      </c>
      <c r="H88">
        <v>3782</v>
      </c>
      <c r="I88">
        <v>39893</v>
      </c>
      <c r="J88" s="26">
        <f t="shared" si="1"/>
        <v>150875326</v>
      </c>
      <c r="K88">
        <v>6263201</v>
      </c>
      <c r="L88">
        <v>6333350</v>
      </c>
      <c r="M88">
        <v>158405197</v>
      </c>
      <c r="N88" t="str" cm="1">
        <f t="array" ref="N88:V88">VLOOKUP(E88,[1]Artist_Popularity_Data!$A$2:$I$11,{1,2,3,4,5,6,7,8,9},0)</f>
        <v>Mika Singh</v>
      </c>
      <c r="O88" t="str">
        <v>Bollywood</v>
      </c>
      <c r="P88">
        <v>1025</v>
      </c>
      <c r="Q88">
        <v>11057</v>
      </c>
      <c r="R88">
        <v>12</v>
      </c>
      <c r="S88">
        <v>371</v>
      </c>
      <c r="T88">
        <v>7983154</v>
      </c>
      <c r="U88" t="str">
        <v>No</v>
      </c>
      <c r="V88" t="str">
        <v>Delhi, Amritsar, Bengaluru, Mumbai</v>
      </c>
    </row>
    <row r="89" spans="1:22" x14ac:dyDescent="0.3">
      <c r="A89" t="s">
        <v>36</v>
      </c>
      <c r="B89" t="s">
        <v>19</v>
      </c>
      <c r="C89" s="1">
        <v>45507</v>
      </c>
      <c r="D89" t="s">
        <v>58</v>
      </c>
      <c r="E89" t="s">
        <v>59</v>
      </c>
      <c r="F89" t="str">
        <f>VLOOKUP(E89,'Missing Values &amp; Outliers'!$O$10:$P$19,2,0)</f>
        <v xml:space="preserve">International  </v>
      </c>
      <c r="G89" t="s">
        <v>133</v>
      </c>
      <c r="H89">
        <v>4834.2</v>
      </c>
      <c r="I89">
        <v>14283</v>
      </c>
      <c r="J89" s="26">
        <f t="shared" si="1"/>
        <v>69046878.599999994</v>
      </c>
      <c r="K89">
        <v>5356125</v>
      </c>
      <c r="L89">
        <v>1549672</v>
      </c>
      <c r="M89">
        <v>56224996</v>
      </c>
      <c r="N89" t="str" cm="1">
        <f t="array" ref="N89:V89">VLOOKUP(E89,[1]Artist_Popularity_Data!$A$2:$I$11,{1,2,3,4,5,6,7,8,9},0)</f>
        <v>Ed Sheeran</v>
      </c>
      <c r="O89" t="str">
        <v>International Pop</v>
      </c>
      <c r="P89">
        <v>3436</v>
      </c>
      <c r="Q89">
        <v>18609</v>
      </c>
      <c r="R89">
        <v>55</v>
      </c>
      <c r="S89">
        <v>736</v>
      </c>
      <c r="T89">
        <v>4856949</v>
      </c>
      <c r="U89" t="str">
        <v>Yes</v>
      </c>
      <c r="V89" t="str">
        <v>Pune, Amritsar, Goa, Chandigarh</v>
      </c>
    </row>
    <row r="90" spans="1:22" x14ac:dyDescent="0.3">
      <c r="A90" t="s">
        <v>36</v>
      </c>
      <c r="B90" t="s">
        <v>12</v>
      </c>
      <c r="C90" s="1">
        <v>45353</v>
      </c>
      <c r="E90" t="s">
        <v>13</v>
      </c>
      <c r="F90" t="str">
        <f>VLOOKUP(E90,'Missing Values &amp; Outliers'!$O$10:$P$19,2,0)</f>
        <v>Local Artist</v>
      </c>
      <c r="G90" t="s">
        <v>134</v>
      </c>
      <c r="H90">
        <v>4286</v>
      </c>
      <c r="I90">
        <v>8925</v>
      </c>
      <c r="J90" s="26">
        <f t="shared" si="1"/>
        <v>38252550</v>
      </c>
      <c r="K90">
        <v>2722125</v>
      </c>
      <c r="L90">
        <v>896661</v>
      </c>
      <c r="M90">
        <v>41871336</v>
      </c>
      <c r="N90" t="str" cm="1">
        <f t="array" ref="N90:V90">VLOOKUP(E90,[1]Artist_Popularity_Data!$A$2:$I$11,{1,2,3,4,5,6,7,8,9},0)</f>
        <v>Badshah</v>
      </c>
      <c r="O90" t="str">
        <v>Bollywood</v>
      </c>
      <c r="P90">
        <v>3351</v>
      </c>
      <c r="Q90">
        <v>36448</v>
      </c>
      <c r="R90">
        <v>33</v>
      </c>
      <c r="S90">
        <v>483</v>
      </c>
      <c r="T90">
        <v>20228640</v>
      </c>
      <c r="U90" t="str">
        <v>No</v>
      </c>
      <c r="V90" t="str">
        <v>Nagpur, Goa, Amritsar, Chandigarh, Mumbai</v>
      </c>
    </row>
    <row r="91" spans="1:22" x14ac:dyDescent="0.3">
      <c r="A91" t="s">
        <v>26</v>
      </c>
      <c r="B91" t="s">
        <v>16</v>
      </c>
      <c r="C91" s="1">
        <v>45427</v>
      </c>
      <c r="D91" t="s">
        <v>28</v>
      </c>
      <c r="E91" t="s">
        <v>29</v>
      </c>
      <c r="F91" t="str">
        <f>VLOOKUP(E91,'Missing Values &amp; Outliers'!$O$10:$P$19,2,0)</f>
        <v>Local Artist</v>
      </c>
      <c r="G91" t="s">
        <v>135</v>
      </c>
      <c r="H91" s="3">
        <v>2910.2168421052634</v>
      </c>
      <c r="I91">
        <v>4885</v>
      </c>
      <c r="J91" s="26">
        <f t="shared" si="1"/>
        <v>14216409.273684211</v>
      </c>
      <c r="K91">
        <v>1734175</v>
      </c>
      <c r="L91">
        <v>4292613</v>
      </c>
      <c r="M91">
        <v>23891233</v>
      </c>
      <c r="N91" t="str" cm="1">
        <f t="array" ref="N91:V91">VLOOKUP(E91,[1]Artist_Popularity_Data!$A$2:$I$11,{1,2,3,4,5,6,7,8,9},0)</f>
        <v>Arijit Singh</v>
      </c>
      <c r="O91" t="str">
        <v>Bollywood</v>
      </c>
      <c r="P91">
        <v>2437</v>
      </c>
      <c r="Q91">
        <v>25729</v>
      </c>
      <c r="R91">
        <v>30</v>
      </c>
      <c r="S91">
        <v>584</v>
      </c>
      <c r="T91">
        <v>18730712</v>
      </c>
      <c r="U91" t="str">
        <v>Yes</v>
      </c>
      <c r="V91" t="str">
        <v>Nagpur, Jaipur, Chandigarh</v>
      </c>
    </row>
    <row r="92" spans="1:22" x14ac:dyDescent="0.3">
      <c r="A92" t="s">
        <v>26</v>
      </c>
      <c r="B92" t="s">
        <v>27</v>
      </c>
      <c r="C92" s="1">
        <v>45647</v>
      </c>
      <c r="E92" t="s">
        <v>17</v>
      </c>
      <c r="F92" t="str">
        <f>VLOOKUP(E92,'Missing Values &amp; Outliers'!$O$10:$P$19,2,0)</f>
        <v>Local Artist</v>
      </c>
      <c r="G92" t="s">
        <v>93</v>
      </c>
      <c r="H92">
        <v>4529</v>
      </c>
      <c r="I92">
        <v>4425</v>
      </c>
      <c r="J92" s="26">
        <f t="shared" si="1"/>
        <v>20040825</v>
      </c>
      <c r="K92">
        <v>584100</v>
      </c>
      <c r="L92">
        <v>2385440</v>
      </c>
      <c r="M92">
        <v>23010365</v>
      </c>
      <c r="N92" t="str" cm="1">
        <f t="array" ref="N92:V92">VLOOKUP(E92,[1]Artist_Popularity_Data!$A$2:$I$11,{1,2,3,4,5,6,7,8,9},0)</f>
        <v>Honey Singh</v>
      </c>
      <c r="O92" t="str">
        <v>Hip-Hop</v>
      </c>
      <c r="P92">
        <v>1573</v>
      </c>
      <c r="Q92">
        <v>35223</v>
      </c>
      <c r="R92">
        <v>34</v>
      </c>
      <c r="S92">
        <v>430</v>
      </c>
      <c r="T92">
        <v>25360560</v>
      </c>
      <c r="U92" t="str">
        <v>No</v>
      </c>
      <c r="V92" t="str">
        <v>Pune, Amritsar, Bengaluru</v>
      </c>
    </row>
    <row r="93" spans="1:22" x14ac:dyDescent="0.3">
      <c r="A93" t="s">
        <v>15</v>
      </c>
      <c r="B93" t="s">
        <v>24</v>
      </c>
      <c r="C93" s="1">
        <v>45499</v>
      </c>
      <c r="E93" t="s">
        <v>32</v>
      </c>
      <c r="F93" t="str">
        <f>VLOOKUP(E93,'Missing Values &amp; Outliers'!$O$10:$P$19,2,0)</f>
        <v>Local Artist</v>
      </c>
      <c r="G93" t="s">
        <v>136</v>
      </c>
      <c r="H93">
        <v>726</v>
      </c>
      <c r="I93">
        <v>37105</v>
      </c>
      <c r="J93" s="26">
        <f t="shared" si="1"/>
        <v>26938230</v>
      </c>
      <c r="K93">
        <v>14545160</v>
      </c>
      <c r="L93">
        <v>835232</v>
      </c>
      <c r="M93">
        <v>42318622</v>
      </c>
      <c r="N93" t="str" cm="1">
        <f t="array" ref="N93:V93">VLOOKUP(E93,[1]Artist_Popularity_Data!$A$2:$I$11,{1,2,3,4,5,6,7,8,9},0)</f>
        <v>Mika Singh</v>
      </c>
      <c r="O93" t="str">
        <v>Bollywood</v>
      </c>
      <c r="P93">
        <v>1025</v>
      </c>
      <c r="Q93">
        <v>11057</v>
      </c>
      <c r="R93">
        <v>12</v>
      </c>
      <c r="S93">
        <v>371</v>
      </c>
      <c r="T93">
        <v>7983154</v>
      </c>
      <c r="U93" t="str">
        <v>No</v>
      </c>
      <c r="V93" t="str">
        <v>Delhi, Amritsar, Bengaluru, Mumbai</v>
      </c>
    </row>
  </sheetData>
  <autoFilter ref="A1:M93" xr:uid="{D2F491FC-E113-4C25-8766-9F35BEB6326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8B83-6872-4B75-9B71-8B23AD58BA43}">
  <sheetPr codeName="Sheet6">
    <pageSetUpPr fitToPage="1"/>
  </sheetPr>
  <dimension ref="A1:N89"/>
  <sheetViews>
    <sheetView zoomScale="71" zoomScaleNormal="71" zoomScaleSheetLayoutView="30" workbookViewId="0">
      <pane ySplit="1" topLeftCell="A46" activePane="bottomLeft" state="frozen"/>
      <selection pane="bottomLeft" activeCell="A44" sqref="A44"/>
    </sheetView>
  </sheetViews>
  <sheetFormatPr defaultRowHeight="14.4" x14ac:dyDescent="0.3"/>
  <cols>
    <col min="1" max="1" width="13.77734375" bestFit="1" customWidth="1"/>
    <col min="2" max="2" width="26.88671875" customWidth="1"/>
    <col min="3" max="3" width="24.5546875" customWidth="1"/>
    <col min="4" max="4" width="22.77734375" bestFit="1" customWidth="1"/>
    <col min="5" max="7" width="10" bestFit="1" customWidth="1"/>
    <col min="8" max="8" width="9" bestFit="1" customWidth="1"/>
    <col min="9" max="9" width="8" bestFit="1" customWidth="1"/>
    <col min="10" max="11" width="10" bestFit="1" customWidth="1"/>
    <col min="12" max="12" width="11" bestFit="1" customWidth="1"/>
    <col min="13" max="13" width="10" bestFit="1" customWidth="1"/>
    <col min="14" max="14" width="11" bestFit="1" customWidth="1"/>
  </cols>
  <sheetData>
    <row r="1" spans="1:14" s="81" customFormat="1" ht="29.4" thickBot="1" x14ac:dyDescent="0.6">
      <c r="A1" s="214" t="s">
        <v>224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6"/>
    </row>
    <row r="2" spans="1:14" ht="15" thickBot="1" x14ac:dyDescent="0.35">
      <c r="A2" s="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8"/>
    </row>
    <row r="3" spans="1:14" x14ac:dyDescent="0.3">
      <c r="A3" s="108" t="s">
        <v>208</v>
      </c>
      <c r="B3" s="109" t="s">
        <v>222</v>
      </c>
      <c r="C3" s="302" t="s">
        <v>223</v>
      </c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8"/>
    </row>
    <row r="4" spans="1:14" x14ac:dyDescent="0.3">
      <c r="A4" s="88" t="s">
        <v>210</v>
      </c>
      <c r="B4" s="5">
        <v>471168417</v>
      </c>
      <c r="C4" s="48">
        <v>7.8994625728435117E-2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8"/>
    </row>
    <row r="5" spans="1:14" x14ac:dyDescent="0.3">
      <c r="A5" s="88" t="s">
        <v>211</v>
      </c>
      <c r="B5" s="5">
        <v>328171218</v>
      </c>
      <c r="C5" s="48">
        <v>5.5020161805019056E-2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8"/>
    </row>
    <row r="6" spans="1:14" x14ac:dyDescent="0.3">
      <c r="A6" s="88" t="s">
        <v>212</v>
      </c>
      <c r="B6" s="5">
        <v>406005910</v>
      </c>
      <c r="C6" s="48">
        <v>6.8069683252947558E-2</v>
      </c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8"/>
    </row>
    <row r="7" spans="1:14" x14ac:dyDescent="0.3">
      <c r="A7" s="88" t="s">
        <v>213</v>
      </c>
      <c r="B7" s="5">
        <v>380768959</v>
      </c>
      <c r="C7" s="48">
        <v>6.3838534842225764E-2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8"/>
    </row>
    <row r="8" spans="1:14" x14ac:dyDescent="0.3">
      <c r="A8" s="88" t="s">
        <v>214</v>
      </c>
      <c r="B8" s="5">
        <v>591637363</v>
      </c>
      <c r="C8" s="48">
        <v>9.9192073090805896E-2</v>
      </c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8"/>
    </row>
    <row r="9" spans="1:14" x14ac:dyDescent="0.3">
      <c r="A9" s="88" t="s">
        <v>215</v>
      </c>
      <c r="B9" s="5">
        <v>536416537</v>
      </c>
      <c r="C9" s="48">
        <v>8.993392181220472E-2</v>
      </c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8"/>
    </row>
    <row r="10" spans="1:14" x14ac:dyDescent="0.3">
      <c r="A10" s="88" t="s">
        <v>216</v>
      </c>
      <c r="B10" s="5">
        <v>493875206</v>
      </c>
      <c r="C10" s="48">
        <v>8.2801575077821474E-2</v>
      </c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8"/>
    </row>
    <row r="11" spans="1:14" x14ac:dyDescent="0.3">
      <c r="A11" s="304" t="s">
        <v>217</v>
      </c>
      <c r="B11" s="303">
        <v>848183953</v>
      </c>
      <c r="C11" s="305">
        <v>0.14220387338928875</v>
      </c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8"/>
    </row>
    <row r="12" spans="1:14" x14ac:dyDescent="0.3">
      <c r="A12" s="304" t="s">
        <v>218</v>
      </c>
      <c r="B12" s="303">
        <v>695359429</v>
      </c>
      <c r="C12" s="305">
        <v>0.11658179083890793</v>
      </c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8"/>
    </row>
    <row r="13" spans="1:14" x14ac:dyDescent="0.3">
      <c r="A13" s="88" t="s">
        <v>219</v>
      </c>
      <c r="B13" s="5">
        <v>91024006</v>
      </c>
      <c r="C13" s="48">
        <v>1.5260800653947127E-2</v>
      </c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8"/>
    </row>
    <row r="14" spans="1:14" x14ac:dyDescent="0.3">
      <c r="A14" s="88" t="s">
        <v>220</v>
      </c>
      <c r="B14" s="5">
        <v>256909552</v>
      </c>
      <c r="C14" s="48">
        <v>4.3072653374175415E-2</v>
      </c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8"/>
    </row>
    <row r="15" spans="1:14" x14ac:dyDescent="0.3">
      <c r="A15" s="304" t="s">
        <v>221</v>
      </c>
      <c r="B15" s="303">
        <v>865042389</v>
      </c>
      <c r="C15" s="305">
        <v>0.14503030613422119</v>
      </c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8"/>
    </row>
    <row r="16" spans="1:14" ht="15" thickBot="1" x14ac:dyDescent="0.35">
      <c r="A16" s="93" t="s">
        <v>209</v>
      </c>
      <c r="B16" s="61">
        <v>5964562939</v>
      </c>
      <c r="C16" s="306">
        <v>1</v>
      </c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8"/>
    </row>
    <row r="17" spans="1:14" x14ac:dyDescent="0.3">
      <c r="A17" s="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8"/>
    </row>
    <row r="18" spans="1:14" x14ac:dyDescent="0.3">
      <c r="A18" s="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8"/>
    </row>
    <row r="19" spans="1:14" x14ac:dyDescent="0.3">
      <c r="A19" s="9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8"/>
    </row>
    <row r="20" spans="1:14" x14ac:dyDescent="0.3">
      <c r="A20" s="9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8"/>
    </row>
    <row r="21" spans="1:14" x14ac:dyDescent="0.3">
      <c r="A21" s="78" t="s">
        <v>227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8"/>
    </row>
    <row r="22" spans="1:14" x14ac:dyDescent="0.3">
      <c r="A22" s="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8"/>
    </row>
    <row r="23" spans="1:14" x14ac:dyDescent="0.3">
      <c r="A23" s="9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8"/>
    </row>
    <row r="24" spans="1:14" x14ac:dyDescent="0.3">
      <c r="A24" s="9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8"/>
    </row>
    <row r="25" spans="1:14" ht="15" thickBot="1" x14ac:dyDescent="0.35">
      <c r="A25" s="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8"/>
    </row>
    <row r="26" spans="1:14" x14ac:dyDescent="0.3">
      <c r="A26" s="108" t="s">
        <v>208</v>
      </c>
      <c r="B26" s="109" t="s">
        <v>441</v>
      </c>
      <c r="C26" s="302" t="s">
        <v>442</v>
      </c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8"/>
    </row>
    <row r="27" spans="1:14" x14ac:dyDescent="0.3">
      <c r="A27" s="88" t="s">
        <v>210</v>
      </c>
      <c r="B27" s="307">
        <v>471168417</v>
      </c>
      <c r="C27" s="64">
        <v>147506.5</v>
      </c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8"/>
    </row>
    <row r="28" spans="1:14" x14ac:dyDescent="0.3">
      <c r="A28" s="88" t="s">
        <v>211</v>
      </c>
      <c r="B28" s="307">
        <v>328171218</v>
      </c>
      <c r="C28" s="64">
        <v>95928.1</v>
      </c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8"/>
    </row>
    <row r="29" spans="1:14" x14ac:dyDescent="0.3">
      <c r="A29" s="88" t="s">
        <v>212</v>
      </c>
      <c r="B29" s="307">
        <v>406005910</v>
      </c>
      <c r="C29" s="64">
        <v>99290.7</v>
      </c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8"/>
    </row>
    <row r="30" spans="1:14" x14ac:dyDescent="0.3">
      <c r="A30" s="88" t="s">
        <v>213</v>
      </c>
      <c r="B30" s="307">
        <v>380768959</v>
      </c>
      <c r="C30" s="64">
        <v>145057.60000000001</v>
      </c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8"/>
    </row>
    <row r="31" spans="1:14" x14ac:dyDescent="0.3">
      <c r="A31" s="88" t="s">
        <v>214</v>
      </c>
      <c r="B31" s="307">
        <v>591637363</v>
      </c>
      <c r="C31" s="64">
        <v>196145.76</v>
      </c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8"/>
    </row>
    <row r="32" spans="1:14" x14ac:dyDescent="0.3">
      <c r="A32" s="88" t="s">
        <v>215</v>
      </c>
      <c r="B32" s="307">
        <v>536416537</v>
      </c>
      <c r="C32" s="64">
        <v>208472.74000000002</v>
      </c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8"/>
    </row>
    <row r="33" spans="1:14" x14ac:dyDescent="0.3">
      <c r="A33" s="88" t="s">
        <v>216</v>
      </c>
      <c r="B33" s="307">
        <v>493875206</v>
      </c>
      <c r="C33" s="64">
        <v>121054</v>
      </c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8"/>
    </row>
    <row r="34" spans="1:14" x14ac:dyDescent="0.3">
      <c r="A34" s="88" t="s">
        <v>217</v>
      </c>
      <c r="B34" s="307">
        <v>848183953</v>
      </c>
      <c r="C34" s="64">
        <v>256917.18000000002</v>
      </c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8"/>
    </row>
    <row r="35" spans="1:14" x14ac:dyDescent="0.3">
      <c r="A35" s="88" t="s">
        <v>218</v>
      </c>
      <c r="B35" s="307">
        <v>695359429</v>
      </c>
      <c r="C35" s="64">
        <v>142573</v>
      </c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8"/>
    </row>
    <row r="36" spans="1:14" x14ac:dyDescent="0.3">
      <c r="A36" s="88" t="s">
        <v>219</v>
      </c>
      <c r="B36" s="307">
        <v>91024006</v>
      </c>
      <c r="C36" s="64">
        <v>29962.6</v>
      </c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8"/>
    </row>
    <row r="37" spans="1:14" x14ac:dyDescent="0.3">
      <c r="A37" s="88" t="s">
        <v>220</v>
      </c>
      <c r="B37" s="307">
        <v>256909552</v>
      </c>
      <c r="C37" s="64">
        <v>98336.960000000006</v>
      </c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8"/>
    </row>
    <row r="38" spans="1:14" x14ac:dyDescent="0.3">
      <c r="A38" s="88" t="s">
        <v>221</v>
      </c>
      <c r="B38" s="307">
        <v>865042389</v>
      </c>
      <c r="C38" s="64">
        <v>261064.58000000002</v>
      </c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8"/>
    </row>
    <row r="39" spans="1:14" ht="15" thickBot="1" x14ac:dyDescent="0.35">
      <c r="A39" s="93" t="s">
        <v>209</v>
      </c>
      <c r="B39" s="308">
        <v>5964562939</v>
      </c>
      <c r="C39" s="65">
        <v>1802309.7200000002</v>
      </c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8"/>
    </row>
    <row r="40" spans="1:14" x14ac:dyDescent="0.3">
      <c r="A40" s="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8"/>
    </row>
    <row r="41" spans="1:14" x14ac:dyDescent="0.3">
      <c r="A41" s="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8"/>
    </row>
    <row r="42" spans="1:14" x14ac:dyDescent="0.3">
      <c r="A42" s="9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8"/>
    </row>
    <row r="43" spans="1:14" x14ac:dyDescent="0.3">
      <c r="A43" s="78" t="s">
        <v>226</v>
      </c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8"/>
    </row>
    <row r="44" spans="1:14" x14ac:dyDescent="0.3">
      <c r="A44" s="78" t="s">
        <v>312</v>
      </c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8"/>
    </row>
    <row r="45" spans="1:14" x14ac:dyDescent="0.3">
      <c r="A45" s="9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8"/>
    </row>
    <row r="46" spans="1:14" x14ac:dyDescent="0.3">
      <c r="A46" s="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8"/>
    </row>
    <row r="47" spans="1:14" x14ac:dyDescent="0.3">
      <c r="A47" s="9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8"/>
    </row>
    <row r="48" spans="1:14" ht="15" thickBot="1" x14ac:dyDescent="0.35">
      <c r="A48" s="9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8"/>
    </row>
    <row r="49" spans="1:14" x14ac:dyDescent="0.3">
      <c r="A49" s="108" t="s">
        <v>208</v>
      </c>
      <c r="B49" s="109" t="s">
        <v>370</v>
      </c>
      <c r="C49" s="302" t="s">
        <v>143</v>
      </c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8"/>
    </row>
    <row r="50" spans="1:14" x14ac:dyDescent="0.3">
      <c r="A50" s="88" t="s">
        <v>46</v>
      </c>
      <c r="B50" s="307">
        <v>479288314</v>
      </c>
      <c r="C50" s="64">
        <v>150798.48000000001</v>
      </c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8"/>
    </row>
    <row r="51" spans="1:14" x14ac:dyDescent="0.3">
      <c r="A51" s="88" t="s">
        <v>27</v>
      </c>
      <c r="B51" s="307">
        <v>831769738</v>
      </c>
      <c r="C51" s="64">
        <v>227873.96</v>
      </c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8"/>
    </row>
    <row r="52" spans="1:14" x14ac:dyDescent="0.3">
      <c r="A52" s="88" t="s">
        <v>51</v>
      </c>
      <c r="B52" s="307">
        <v>171830232</v>
      </c>
      <c r="C52" s="64">
        <v>79127.199999999997</v>
      </c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8"/>
    </row>
    <row r="53" spans="1:14" x14ac:dyDescent="0.3">
      <c r="A53" s="88" t="s">
        <v>12</v>
      </c>
      <c r="B53" s="307">
        <v>594009538</v>
      </c>
      <c r="C53" s="64">
        <v>144910.20000000001</v>
      </c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8"/>
    </row>
    <row r="54" spans="1:14" x14ac:dyDescent="0.3">
      <c r="A54" s="88" t="s">
        <v>31</v>
      </c>
      <c r="B54" s="307">
        <v>752723987</v>
      </c>
      <c r="C54" s="64">
        <v>234934.98</v>
      </c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8"/>
    </row>
    <row r="55" spans="1:14" x14ac:dyDescent="0.3">
      <c r="A55" s="88" t="s">
        <v>24</v>
      </c>
      <c r="B55" s="307">
        <v>1073141556</v>
      </c>
      <c r="C55" s="64">
        <v>369065.58</v>
      </c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8"/>
    </row>
    <row r="56" spans="1:14" x14ac:dyDescent="0.3">
      <c r="A56" s="88" t="s">
        <v>16</v>
      </c>
      <c r="B56" s="307">
        <v>744828479</v>
      </c>
      <c r="C56" s="64">
        <v>173785.96000000002</v>
      </c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8"/>
    </row>
    <row r="57" spans="1:14" x14ac:dyDescent="0.3">
      <c r="A57" s="88" t="s">
        <v>65</v>
      </c>
      <c r="B57" s="307">
        <v>340514615</v>
      </c>
      <c r="C57" s="64">
        <v>155236.1</v>
      </c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8"/>
    </row>
    <row r="58" spans="1:14" x14ac:dyDescent="0.3">
      <c r="A58" s="88" t="s">
        <v>19</v>
      </c>
      <c r="B58" s="307">
        <v>633786616</v>
      </c>
      <c r="C58" s="64">
        <v>150796.4</v>
      </c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8"/>
    </row>
    <row r="59" spans="1:14" x14ac:dyDescent="0.3">
      <c r="A59" s="88" t="s">
        <v>54</v>
      </c>
      <c r="B59" s="307">
        <v>342669864</v>
      </c>
      <c r="C59" s="64">
        <v>115780.86000000002</v>
      </c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8"/>
    </row>
    <row r="60" spans="1:14" ht="15" thickBot="1" x14ac:dyDescent="0.35">
      <c r="A60" s="93" t="s">
        <v>209</v>
      </c>
      <c r="B60" s="308">
        <v>5964562939</v>
      </c>
      <c r="C60" s="65">
        <v>1802309.7200000002</v>
      </c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8"/>
    </row>
    <row r="61" spans="1:14" x14ac:dyDescent="0.3">
      <c r="A61" s="9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8"/>
    </row>
    <row r="62" spans="1:14" x14ac:dyDescent="0.3">
      <c r="A62" s="9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8"/>
    </row>
    <row r="63" spans="1:14" x14ac:dyDescent="0.3">
      <c r="A63" s="9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8"/>
    </row>
    <row r="64" spans="1:14" x14ac:dyDescent="0.3">
      <c r="A64" s="78" t="s">
        <v>465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8"/>
    </row>
    <row r="65" spans="1:14" x14ac:dyDescent="0.3">
      <c r="A65" s="78" t="s">
        <v>313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8"/>
    </row>
    <row r="66" spans="1:14" x14ac:dyDescent="0.3">
      <c r="A66" s="9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8"/>
    </row>
    <row r="67" spans="1:14" x14ac:dyDescent="0.3">
      <c r="A67" s="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8"/>
    </row>
    <row r="68" spans="1:14" x14ac:dyDescent="0.3">
      <c r="A68" s="9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8"/>
    </row>
    <row r="69" spans="1:14" ht="15" thickBot="1" x14ac:dyDescent="0.35">
      <c r="A69" s="9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8"/>
    </row>
    <row r="70" spans="1:14" x14ac:dyDescent="0.3">
      <c r="A70" s="108" t="s">
        <v>208</v>
      </c>
      <c r="B70" s="302" t="s">
        <v>225</v>
      </c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8"/>
    </row>
    <row r="71" spans="1:14" x14ac:dyDescent="0.3">
      <c r="A71" s="88" t="s">
        <v>13</v>
      </c>
      <c r="B71" s="64">
        <v>259551.88</v>
      </c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8"/>
    </row>
    <row r="72" spans="1:14" x14ac:dyDescent="0.3">
      <c r="A72" s="88" t="s">
        <v>48</v>
      </c>
      <c r="B72" s="64">
        <v>252102.50000000003</v>
      </c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8"/>
    </row>
    <row r="73" spans="1:14" x14ac:dyDescent="0.3">
      <c r="A73" s="88" t="s">
        <v>32</v>
      </c>
      <c r="B73" s="64">
        <v>232532.88</v>
      </c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8"/>
    </row>
    <row r="74" spans="1:14" x14ac:dyDescent="0.3">
      <c r="A74" s="88" t="s">
        <v>37</v>
      </c>
      <c r="B74" s="64">
        <v>218675.64</v>
      </c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8"/>
    </row>
    <row r="75" spans="1:14" x14ac:dyDescent="0.3">
      <c r="A75" s="88" t="s">
        <v>29</v>
      </c>
      <c r="B75" s="64">
        <v>186321.88</v>
      </c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8"/>
    </row>
    <row r="76" spans="1:14" x14ac:dyDescent="0.3">
      <c r="A76" s="88" t="s">
        <v>21</v>
      </c>
      <c r="B76" s="64">
        <v>182197.18000000002</v>
      </c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8"/>
    </row>
    <row r="77" spans="1:14" x14ac:dyDescent="0.3">
      <c r="A77" s="88" t="s">
        <v>17</v>
      </c>
      <c r="B77" s="64">
        <v>174435</v>
      </c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8"/>
    </row>
    <row r="78" spans="1:14" x14ac:dyDescent="0.3">
      <c r="A78" s="88" t="s">
        <v>41</v>
      </c>
      <c r="B78" s="64">
        <v>127284.88</v>
      </c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8"/>
    </row>
    <row r="79" spans="1:14" x14ac:dyDescent="0.3">
      <c r="A79" s="88" t="s">
        <v>52</v>
      </c>
      <c r="B79" s="64">
        <v>116336</v>
      </c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8"/>
    </row>
    <row r="80" spans="1:14" x14ac:dyDescent="0.3">
      <c r="A80" s="88" t="s">
        <v>59</v>
      </c>
      <c r="B80" s="64">
        <v>52871.880000000005</v>
      </c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8"/>
    </row>
    <row r="81" spans="1:14" ht="15" thickBot="1" x14ac:dyDescent="0.35">
      <c r="A81" s="93" t="s">
        <v>209</v>
      </c>
      <c r="B81" s="65">
        <v>1802309.7200000002</v>
      </c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8"/>
    </row>
    <row r="82" spans="1:14" x14ac:dyDescent="0.3">
      <c r="A82" s="9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8"/>
    </row>
    <row r="83" spans="1:14" x14ac:dyDescent="0.3">
      <c r="A83" s="9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8"/>
    </row>
    <row r="84" spans="1:14" x14ac:dyDescent="0.3">
      <c r="A84" s="9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8"/>
    </row>
    <row r="85" spans="1:14" x14ac:dyDescent="0.3">
      <c r="A85" s="9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8"/>
    </row>
    <row r="86" spans="1:14" x14ac:dyDescent="0.3">
      <c r="A86" s="78" t="s">
        <v>230</v>
      </c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8"/>
    </row>
    <row r="87" spans="1:14" x14ac:dyDescent="0.3">
      <c r="A87" s="78" t="s">
        <v>231</v>
      </c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8"/>
    </row>
    <row r="88" spans="1:14" x14ac:dyDescent="0.3">
      <c r="A88" s="78" t="s">
        <v>232</v>
      </c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8"/>
    </row>
    <row r="89" spans="1:14" ht="15" thickBot="1" x14ac:dyDescent="0.35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4"/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scale="48" fitToHeight="0"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35DE-A014-498A-A80D-0203E269A99A}">
  <sheetPr codeName="Sheet7">
    <pageSetUpPr fitToPage="1"/>
  </sheetPr>
  <dimension ref="A1:S65"/>
  <sheetViews>
    <sheetView zoomScale="65" zoomScaleNormal="65" workbookViewId="0">
      <pane ySplit="1" topLeftCell="A5" activePane="bottomLeft" state="frozen"/>
      <selection pane="bottomLeft" activeCell="A21" sqref="A21"/>
    </sheetView>
  </sheetViews>
  <sheetFormatPr defaultRowHeight="14.4" x14ac:dyDescent="0.3"/>
  <cols>
    <col min="1" max="1" width="12.44140625" bestFit="1" customWidth="1"/>
    <col min="2" max="2" width="44.6640625" customWidth="1"/>
    <col min="3" max="3" width="31.44140625" customWidth="1"/>
    <col min="4" max="4" width="22.88671875" bestFit="1" customWidth="1"/>
    <col min="5" max="5" width="25.6640625" customWidth="1"/>
    <col min="6" max="6" width="36.77734375" customWidth="1"/>
    <col min="7" max="7" width="22.77734375" bestFit="1" customWidth="1"/>
    <col min="8" max="8" width="18.6640625" bestFit="1" customWidth="1"/>
    <col min="9" max="9" width="16.33203125" bestFit="1" customWidth="1"/>
    <col min="10" max="10" width="12.44140625" bestFit="1" customWidth="1"/>
  </cols>
  <sheetData>
    <row r="1" spans="1:19" ht="29.4" thickBot="1" x14ac:dyDescent="0.6">
      <c r="A1" s="214" t="s">
        <v>242</v>
      </c>
      <c r="B1" s="215"/>
      <c r="C1" s="215"/>
      <c r="D1" s="215"/>
      <c r="E1" s="215"/>
      <c r="F1" s="215"/>
      <c r="G1" s="215"/>
      <c r="H1" s="215"/>
      <c r="I1" s="215"/>
      <c r="J1" s="216"/>
      <c r="K1" s="80"/>
      <c r="L1" s="80"/>
      <c r="M1" s="80"/>
      <c r="N1" s="80"/>
      <c r="O1" s="80"/>
      <c r="P1" s="80"/>
      <c r="Q1" s="80"/>
      <c r="R1" s="80"/>
      <c r="S1" s="80"/>
    </row>
    <row r="2" spans="1:19" ht="15" thickBot="1" x14ac:dyDescent="0.35">
      <c r="A2" s="9"/>
      <c r="B2" s="160"/>
      <c r="C2" s="160"/>
      <c r="D2" s="160"/>
      <c r="E2" s="160"/>
      <c r="F2" s="160"/>
      <c r="G2" s="160"/>
      <c r="H2" s="160"/>
      <c r="I2" s="160"/>
      <c r="J2" s="8"/>
    </row>
    <row r="3" spans="1:19" x14ac:dyDescent="0.3">
      <c r="A3" s="108" t="s">
        <v>208</v>
      </c>
      <c r="B3" s="109" t="s">
        <v>243</v>
      </c>
      <c r="C3" s="302" t="s">
        <v>143</v>
      </c>
      <c r="D3" s="160"/>
      <c r="E3" s="160"/>
      <c r="F3" s="160"/>
      <c r="G3" s="160"/>
      <c r="H3" s="160"/>
      <c r="I3" s="160"/>
      <c r="J3" s="8"/>
    </row>
    <row r="4" spans="1:19" x14ac:dyDescent="0.3">
      <c r="A4" s="88" t="s">
        <v>65</v>
      </c>
      <c r="B4" s="309">
        <v>2033.9</v>
      </c>
      <c r="C4" s="48">
        <v>8.6131755423257683E-2</v>
      </c>
      <c r="D4" s="160"/>
      <c r="E4" s="160"/>
      <c r="F4" s="160"/>
      <c r="G4" s="160"/>
      <c r="H4" s="160"/>
      <c r="I4" s="160"/>
      <c r="J4" s="8"/>
    </row>
    <row r="5" spans="1:19" x14ac:dyDescent="0.3">
      <c r="A5" s="88" t="s">
        <v>51</v>
      </c>
      <c r="B5" s="309">
        <v>2489.6</v>
      </c>
      <c r="C5" s="48">
        <v>4.3903219919382119E-2</v>
      </c>
      <c r="D5" s="160"/>
      <c r="E5" s="160"/>
      <c r="F5" s="160"/>
      <c r="G5" s="160"/>
      <c r="H5" s="160"/>
      <c r="I5" s="160"/>
      <c r="J5" s="8"/>
    </row>
    <row r="6" spans="1:19" x14ac:dyDescent="0.3">
      <c r="A6" s="88" t="s">
        <v>24</v>
      </c>
      <c r="B6" s="309">
        <v>2564.8822456140347</v>
      </c>
      <c r="C6" s="48">
        <v>0.20477367230755436</v>
      </c>
      <c r="D6" s="160"/>
      <c r="E6" s="160"/>
      <c r="F6" s="160"/>
      <c r="G6" s="160"/>
      <c r="H6" s="160"/>
      <c r="I6" s="160"/>
      <c r="J6" s="8"/>
    </row>
    <row r="7" spans="1:19" x14ac:dyDescent="0.3">
      <c r="A7" s="88" t="s">
        <v>27</v>
      </c>
      <c r="B7" s="309">
        <v>2637.2333333333331</v>
      </c>
      <c r="C7" s="48">
        <v>0.12643440662351865</v>
      </c>
      <c r="D7" s="160"/>
      <c r="E7" s="160"/>
      <c r="F7" s="160"/>
      <c r="G7" s="160"/>
      <c r="H7" s="160"/>
      <c r="I7" s="160"/>
      <c r="J7" s="8"/>
    </row>
    <row r="8" spans="1:19" x14ac:dyDescent="0.3">
      <c r="A8" s="88" t="s">
        <v>54</v>
      </c>
      <c r="B8" s="309">
        <v>2686.6666666666665</v>
      </c>
      <c r="C8" s="48">
        <v>6.4240268315259391E-2</v>
      </c>
      <c r="D8" s="160"/>
      <c r="E8" s="160"/>
      <c r="F8" s="160"/>
      <c r="G8" s="160"/>
      <c r="H8" s="160"/>
      <c r="I8" s="160"/>
      <c r="J8" s="8"/>
    </row>
    <row r="9" spans="1:19" x14ac:dyDescent="0.3">
      <c r="A9" s="88" t="s">
        <v>12</v>
      </c>
      <c r="B9" s="309">
        <v>2832.2</v>
      </c>
      <c r="C9" s="48">
        <v>8.0402495970559401E-2</v>
      </c>
      <c r="D9" s="160"/>
      <c r="E9" s="160"/>
      <c r="F9" s="160"/>
      <c r="G9" s="160"/>
      <c r="H9" s="160"/>
      <c r="I9" s="160"/>
      <c r="J9" s="8"/>
    </row>
    <row r="10" spans="1:19" x14ac:dyDescent="0.3">
      <c r="A10" s="88" t="s">
        <v>46</v>
      </c>
      <c r="B10" s="309">
        <v>2880.0595488721806</v>
      </c>
      <c r="C10" s="48">
        <v>8.3669570399919957E-2</v>
      </c>
      <c r="D10" s="160"/>
      <c r="E10" s="160"/>
      <c r="F10" s="160"/>
      <c r="G10" s="160"/>
      <c r="H10" s="160"/>
      <c r="I10" s="160"/>
      <c r="J10" s="8"/>
    </row>
    <row r="11" spans="1:19" x14ac:dyDescent="0.3">
      <c r="A11" s="88" t="s">
        <v>31</v>
      </c>
      <c r="B11" s="309">
        <v>3035.8939712918655</v>
      </c>
      <c r="C11" s="48">
        <v>0.13035216832765018</v>
      </c>
      <c r="D11" s="160"/>
      <c r="E11" s="160"/>
      <c r="F11" s="160"/>
      <c r="G11" s="160"/>
      <c r="H11" s="160"/>
      <c r="I11" s="160"/>
      <c r="J11" s="8"/>
    </row>
    <row r="12" spans="1:19" x14ac:dyDescent="0.3">
      <c r="A12" s="88" t="s">
        <v>19</v>
      </c>
      <c r="B12" s="309">
        <v>3704.1433684210524</v>
      </c>
      <c r="C12" s="48">
        <v>8.3668416325247366E-2</v>
      </c>
      <c r="D12" s="160"/>
      <c r="E12" s="160"/>
      <c r="F12" s="160"/>
      <c r="G12" s="160"/>
      <c r="H12" s="160"/>
      <c r="I12" s="160"/>
      <c r="J12" s="8"/>
    </row>
    <row r="13" spans="1:19" x14ac:dyDescent="0.3">
      <c r="A13" s="88" t="s">
        <v>16</v>
      </c>
      <c r="B13" s="309">
        <v>3989.2250526315788</v>
      </c>
      <c r="C13" s="48">
        <v>9.6424026387651088E-2</v>
      </c>
      <c r="D13" s="160"/>
      <c r="E13" s="160"/>
      <c r="F13" s="160"/>
      <c r="G13" s="160"/>
      <c r="H13" s="160"/>
      <c r="I13" s="160"/>
      <c r="J13" s="8"/>
    </row>
    <row r="14" spans="1:19" ht="15" thickBot="1" x14ac:dyDescent="0.35">
      <c r="A14" s="93" t="s">
        <v>209</v>
      </c>
      <c r="B14" s="61">
        <v>2914.1931350114414</v>
      </c>
      <c r="C14" s="306">
        <v>1</v>
      </c>
      <c r="D14" s="160"/>
      <c r="E14" s="160"/>
      <c r="F14" s="160"/>
      <c r="G14" s="160"/>
      <c r="H14" s="160"/>
      <c r="I14" s="160"/>
      <c r="J14" s="8"/>
    </row>
    <row r="15" spans="1:19" x14ac:dyDescent="0.3">
      <c r="A15" s="9"/>
      <c r="B15" s="160"/>
      <c r="C15" s="160"/>
      <c r="D15" s="160"/>
      <c r="E15" s="160"/>
      <c r="F15" s="160"/>
      <c r="G15" s="160"/>
      <c r="H15" s="160"/>
      <c r="I15" s="160"/>
      <c r="J15" s="8"/>
    </row>
    <row r="16" spans="1:19" x14ac:dyDescent="0.3">
      <c r="A16" s="9"/>
      <c r="B16" s="160"/>
      <c r="C16" s="160"/>
      <c r="D16" s="160"/>
      <c r="E16" s="160"/>
      <c r="F16" s="160"/>
      <c r="G16" s="160"/>
      <c r="H16" s="160"/>
      <c r="I16" s="160"/>
      <c r="J16" s="8"/>
    </row>
    <row r="17" spans="1:10" x14ac:dyDescent="0.3">
      <c r="A17" s="9"/>
      <c r="B17" s="160"/>
      <c r="C17" s="160"/>
      <c r="D17" s="160"/>
      <c r="E17" s="160"/>
      <c r="F17" s="160"/>
      <c r="G17" s="160"/>
      <c r="H17" s="160"/>
      <c r="I17" s="160"/>
      <c r="J17" s="8"/>
    </row>
    <row r="18" spans="1:10" x14ac:dyDescent="0.3">
      <c r="A18" s="9"/>
      <c r="B18" s="160"/>
      <c r="C18" s="160"/>
      <c r="D18" s="160"/>
      <c r="E18" s="160"/>
      <c r="F18" s="160"/>
      <c r="G18" s="160"/>
      <c r="H18" s="160"/>
      <c r="I18" s="160"/>
      <c r="J18" s="8"/>
    </row>
    <row r="19" spans="1:10" x14ac:dyDescent="0.3">
      <c r="A19" s="9"/>
      <c r="B19" s="160"/>
      <c r="C19" s="160"/>
      <c r="D19" s="160"/>
      <c r="E19" s="160"/>
      <c r="F19" s="160"/>
      <c r="G19" s="160"/>
      <c r="H19" s="160"/>
      <c r="I19" s="160"/>
      <c r="J19" s="8"/>
    </row>
    <row r="20" spans="1:10" x14ac:dyDescent="0.3">
      <c r="A20" s="78" t="s">
        <v>245</v>
      </c>
      <c r="B20" s="160"/>
      <c r="C20" s="160"/>
      <c r="D20" s="160"/>
      <c r="E20" s="160"/>
      <c r="F20" s="160"/>
      <c r="G20" s="160"/>
      <c r="H20" s="160"/>
      <c r="I20" s="160"/>
      <c r="J20" s="8"/>
    </row>
    <row r="21" spans="1:10" x14ac:dyDescent="0.3">
      <c r="A21" s="78" t="s">
        <v>246</v>
      </c>
      <c r="B21" s="160"/>
      <c r="C21" s="160"/>
      <c r="D21" s="160"/>
      <c r="E21" s="160"/>
      <c r="F21" s="160"/>
      <c r="G21" s="160"/>
      <c r="H21" s="160"/>
      <c r="I21" s="160"/>
      <c r="J21" s="8"/>
    </row>
    <row r="22" spans="1:10" x14ac:dyDescent="0.3">
      <c r="A22" s="9"/>
      <c r="B22" s="160"/>
      <c r="C22" s="160"/>
      <c r="D22" s="160"/>
      <c r="E22" s="160"/>
      <c r="F22" s="160"/>
      <c r="G22" s="160"/>
      <c r="H22" s="160"/>
      <c r="I22" s="160"/>
      <c r="J22" s="8"/>
    </row>
    <row r="23" spans="1:10" ht="15" thickBot="1" x14ac:dyDescent="0.35">
      <c r="A23" s="9"/>
      <c r="B23" s="160"/>
      <c r="C23" s="160"/>
      <c r="D23" s="160"/>
      <c r="E23" s="160"/>
      <c r="F23" s="160"/>
      <c r="G23" s="160"/>
      <c r="H23" s="160"/>
      <c r="I23" s="160"/>
      <c r="J23" s="8"/>
    </row>
    <row r="24" spans="1:10" x14ac:dyDescent="0.3">
      <c r="A24" s="108" t="s">
        <v>208</v>
      </c>
      <c r="B24" s="109" t="s">
        <v>247</v>
      </c>
      <c r="C24" s="109" t="s">
        <v>259</v>
      </c>
      <c r="D24" s="109" t="s">
        <v>262</v>
      </c>
      <c r="E24" s="109" t="s">
        <v>261</v>
      </c>
      <c r="F24" s="109" t="s">
        <v>244</v>
      </c>
      <c r="G24" s="302" t="s">
        <v>260</v>
      </c>
      <c r="H24" s="160"/>
      <c r="I24" s="160"/>
      <c r="J24" s="8"/>
    </row>
    <row r="25" spans="1:10" x14ac:dyDescent="0.3">
      <c r="A25" s="88" t="s">
        <v>248</v>
      </c>
      <c r="B25" s="5">
        <v>16</v>
      </c>
      <c r="C25" s="299">
        <v>31956668.25</v>
      </c>
      <c r="D25" s="299">
        <v>511306692</v>
      </c>
      <c r="E25" s="299">
        <v>425026.36</v>
      </c>
      <c r="F25" s="299">
        <v>26564.147499999999</v>
      </c>
      <c r="G25" s="48">
        <v>0.23582315252674774</v>
      </c>
      <c r="H25" s="160"/>
      <c r="I25" s="160"/>
      <c r="J25" s="8"/>
    </row>
    <row r="26" spans="1:10" x14ac:dyDescent="0.3">
      <c r="A26" s="88" t="s">
        <v>249</v>
      </c>
      <c r="B26" s="5">
        <v>17</v>
      </c>
      <c r="C26" s="299">
        <v>58795104.882352941</v>
      </c>
      <c r="D26" s="299">
        <v>999516783</v>
      </c>
      <c r="E26" s="299">
        <v>311548.98</v>
      </c>
      <c r="F26" s="299">
        <v>18326.410588235292</v>
      </c>
      <c r="G26" s="48">
        <v>0.17286095533014159</v>
      </c>
      <c r="H26" s="160"/>
      <c r="I26" s="160"/>
      <c r="J26" s="8"/>
    </row>
    <row r="27" spans="1:10" x14ac:dyDescent="0.3">
      <c r="A27" s="88" t="s">
        <v>250</v>
      </c>
      <c r="B27" s="5">
        <v>30</v>
      </c>
      <c r="C27" s="299">
        <v>53525398.033333331</v>
      </c>
      <c r="D27" s="299">
        <v>1605761941</v>
      </c>
      <c r="E27" s="299">
        <v>458178.04000000004</v>
      </c>
      <c r="F27" s="299">
        <v>15272.601333333334</v>
      </c>
      <c r="G27" s="48">
        <v>0.25421714975825577</v>
      </c>
      <c r="H27" s="160"/>
      <c r="I27" s="160"/>
      <c r="J27" s="8"/>
    </row>
    <row r="28" spans="1:10" x14ac:dyDescent="0.3">
      <c r="A28" s="88" t="s">
        <v>251</v>
      </c>
      <c r="B28" s="5">
        <v>17</v>
      </c>
      <c r="C28" s="299">
        <v>99554238.823529407</v>
      </c>
      <c r="D28" s="299">
        <v>1692422060</v>
      </c>
      <c r="E28" s="299">
        <v>426047.44</v>
      </c>
      <c r="F28" s="299">
        <v>25061.614117647059</v>
      </c>
      <c r="G28" s="48">
        <v>0.23638969222226688</v>
      </c>
      <c r="H28" s="160"/>
      <c r="I28" s="160"/>
      <c r="J28" s="8"/>
    </row>
    <row r="29" spans="1:10" x14ac:dyDescent="0.3">
      <c r="A29" s="88" t="s">
        <v>252</v>
      </c>
      <c r="B29" s="5">
        <v>10</v>
      </c>
      <c r="C29" s="299">
        <v>85223081.900000006</v>
      </c>
      <c r="D29" s="299">
        <v>852230819</v>
      </c>
      <c r="E29" s="299">
        <v>141937.90000000002</v>
      </c>
      <c r="F29" s="299">
        <v>14193.790000000003</v>
      </c>
      <c r="G29" s="48">
        <v>7.8753334360311844E-2</v>
      </c>
      <c r="H29" s="160"/>
      <c r="I29" s="160"/>
      <c r="J29" s="8"/>
    </row>
    <row r="30" spans="1:10" x14ac:dyDescent="0.3">
      <c r="A30" s="88" t="s">
        <v>253</v>
      </c>
      <c r="B30" s="5">
        <v>2</v>
      </c>
      <c r="C30" s="299">
        <v>151662322</v>
      </c>
      <c r="D30" s="299">
        <v>303324644</v>
      </c>
      <c r="E30" s="299">
        <v>39571</v>
      </c>
      <c r="F30" s="299">
        <v>19785.5</v>
      </c>
      <c r="G30" s="48">
        <v>2.1955715802276204E-2</v>
      </c>
      <c r="H30" s="160"/>
      <c r="I30" s="160"/>
      <c r="J30" s="8"/>
    </row>
    <row r="31" spans="1:10" ht="15" thickBot="1" x14ac:dyDescent="0.35">
      <c r="A31" s="93" t="s">
        <v>209</v>
      </c>
      <c r="B31" s="61">
        <v>92</v>
      </c>
      <c r="C31" s="300">
        <v>64832205.858695649</v>
      </c>
      <c r="D31" s="300">
        <v>5964562939</v>
      </c>
      <c r="E31" s="300">
        <v>1802309.72</v>
      </c>
      <c r="F31" s="300">
        <v>19590.32304347826</v>
      </c>
      <c r="G31" s="306">
        <v>1</v>
      </c>
      <c r="H31" s="160"/>
      <c r="I31" s="160"/>
      <c r="J31" s="8"/>
    </row>
    <row r="32" spans="1:10" x14ac:dyDescent="0.3">
      <c r="A32" s="9"/>
      <c r="B32" s="160"/>
      <c r="C32" s="160"/>
      <c r="D32" s="160"/>
      <c r="E32" s="160"/>
      <c r="F32" s="160"/>
      <c r="G32" s="160"/>
      <c r="H32" s="160"/>
      <c r="I32" s="160"/>
      <c r="J32" s="8"/>
    </row>
    <row r="33" spans="1:10" x14ac:dyDescent="0.3">
      <c r="A33" s="9"/>
      <c r="B33" s="160"/>
      <c r="C33" s="160"/>
      <c r="D33" s="160"/>
      <c r="E33" s="160"/>
      <c r="F33" s="160"/>
      <c r="G33" s="160"/>
      <c r="H33" s="160"/>
      <c r="I33" s="160"/>
      <c r="J33" s="8"/>
    </row>
    <row r="34" spans="1:10" x14ac:dyDescent="0.3">
      <c r="A34" s="79" t="s">
        <v>264</v>
      </c>
      <c r="B34" s="160"/>
      <c r="C34" s="160"/>
      <c r="D34" s="160"/>
      <c r="E34" s="160"/>
      <c r="F34" s="160"/>
      <c r="G34" s="160"/>
      <c r="H34" s="160"/>
      <c r="I34" s="160"/>
      <c r="J34" s="8"/>
    </row>
    <row r="35" spans="1:10" x14ac:dyDescent="0.3">
      <c r="A35" s="78" t="s">
        <v>254</v>
      </c>
      <c r="B35" s="160"/>
      <c r="C35" s="160"/>
      <c r="D35" s="160"/>
      <c r="E35" s="160"/>
      <c r="F35" s="160"/>
      <c r="G35" s="160"/>
      <c r="H35" s="160"/>
      <c r="I35" s="160"/>
      <c r="J35" s="8"/>
    </row>
    <row r="36" spans="1:10" x14ac:dyDescent="0.3">
      <c r="A36" s="78" t="s">
        <v>255</v>
      </c>
      <c r="B36" s="160"/>
      <c r="C36" s="160"/>
      <c r="D36" s="160"/>
      <c r="E36" s="160"/>
      <c r="F36" s="160"/>
      <c r="G36" s="160"/>
      <c r="H36" s="160"/>
      <c r="I36" s="160"/>
      <c r="J36" s="8"/>
    </row>
    <row r="37" spans="1:10" x14ac:dyDescent="0.3">
      <c r="A37" s="78"/>
      <c r="B37" s="160"/>
      <c r="C37" s="160"/>
      <c r="D37" s="160"/>
      <c r="E37" s="160"/>
      <c r="F37" s="160"/>
      <c r="G37" s="160"/>
      <c r="H37" s="160"/>
      <c r="I37" s="160"/>
      <c r="J37" s="8"/>
    </row>
    <row r="38" spans="1:10" x14ac:dyDescent="0.3">
      <c r="A38" s="9"/>
      <c r="B38" s="160"/>
      <c r="C38" s="160"/>
      <c r="D38" s="160"/>
      <c r="E38" s="160"/>
      <c r="F38" s="160"/>
      <c r="G38" s="160"/>
      <c r="H38" s="160"/>
      <c r="I38" s="160"/>
      <c r="J38" s="8"/>
    </row>
    <row r="39" spans="1:10" x14ac:dyDescent="0.3">
      <c r="A39" s="78" t="s">
        <v>256</v>
      </c>
      <c r="B39" s="160"/>
      <c r="C39" s="160"/>
      <c r="D39" s="160"/>
      <c r="E39" s="160"/>
      <c r="F39" s="160"/>
      <c r="G39" s="160"/>
      <c r="H39" s="160"/>
      <c r="I39" s="160"/>
      <c r="J39" s="8"/>
    </row>
    <row r="40" spans="1:10" x14ac:dyDescent="0.3">
      <c r="A40" s="78" t="s">
        <v>258</v>
      </c>
      <c r="B40" s="160"/>
      <c r="C40" s="160"/>
      <c r="D40" s="160"/>
      <c r="E40" s="160"/>
      <c r="F40" s="160"/>
      <c r="G40" s="160"/>
      <c r="H40" s="160"/>
      <c r="I40" s="160"/>
      <c r="J40" s="8"/>
    </row>
    <row r="41" spans="1:10" x14ac:dyDescent="0.3">
      <c r="A41" s="78" t="s">
        <v>257</v>
      </c>
      <c r="B41" s="160"/>
      <c r="C41" s="160"/>
      <c r="D41" s="160"/>
      <c r="E41" s="160"/>
      <c r="F41" s="160"/>
      <c r="G41" s="160"/>
      <c r="H41" s="160"/>
      <c r="I41" s="160"/>
      <c r="J41" s="8"/>
    </row>
    <row r="42" spans="1:10" x14ac:dyDescent="0.3">
      <c r="A42" s="9"/>
      <c r="B42" s="160"/>
      <c r="C42" s="160"/>
      <c r="D42" s="160"/>
      <c r="E42" s="160"/>
      <c r="F42" s="160"/>
      <c r="G42" s="160"/>
      <c r="H42" s="160"/>
      <c r="I42" s="160"/>
      <c r="J42" s="8"/>
    </row>
    <row r="43" spans="1:10" x14ac:dyDescent="0.3">
      <c r="A43" s="9"/>
      <c r="B43" s="160"/>
      <c r="C43" s="160"/>
      <c r="D43" s="160"/>
      <c r="E43" s="160"/>
      <c r="F43" s="160"/>
      <c r="G43" s="160"/>
      <c r="H43" s="160"/>
      <c r="I43" s="160"/>
      <c r="J43" s="8"/>
    </row>
    <row r="44" spans="1:10" x14ac:dyDescent="0.3">
      <c r="A44" s="78" t="s">
        <v>275</v>
      </c>
      <c r="B44" s="160"/>
      <c r="C44" s="160"/>
      <c r="D44" s="160"/>
      <c r="E44" s="160"/>
      <c r="F44" s="160"/>
      <c r="G44" s="160"/>
      <c r="H44" s="160"/>
      <c r="I44" s="160"/>
      <c r="J44" s="8"/>
    </row>
    <row r="45" spans="1:10" x14ac:dyDescent="0.3">
      <c r="A45" s="9"/>
      <c r="B45" s="160"/>
      <c r="C45" s="160"/>
      <c r="D45" s="160"/>
      <c r="E45" s="160"/>
      <c r="F45" s="160"/>
      <c r="G45" s="160"/>
      <c r="H45" s="160"/>
      <c r="I45" s="160"/>
      <c r="J45" s="8"/>
    </row>
    <row r="46" spans="1:10" x14ac:dyDescent="0.3">
      <c r="A46" s="78" t="s">
        <v>263</v>
      </c>
      <c r="B46" s="160"/>
      <c r="C46" s="164">
        <f>CORREL('Cleaned Data'!H2:H93,'Cleaned Data'!I2:I93)</f>
        <v>-0.18753531771871851</v>
      </c>
      <c r="D46" s="160"/>
      <c r="E46" s="160"/>
      <c r="F46" s="160"/>
      <c r="G46" s="160"/>
      <c r="H46" s="160"/>
      <c r="I46" s="160"/>
      <c r="J46" s="8"/>
    </row>
    <row r="47" spans="1:10" x14ac:dyDescent="0.3">
      <c r="A47" s="9"/>
      <c r="B47" s="160"/>
      <c r="C47" s="160"/>
      <c r="D47" s="160"/>
      <c r="E47" s="160"/>
      <c r="F47" s="160"/>
      <c r="G47" s="160"/>
      <c r="H47" s="160"/>
      <c r="I47" s="160"/>
      <c r="J47" s="8"/>
    </row>
    <row r="48" spans="1:10" x14ac:dyDescent="0.3">
      <c r="A48" s="78" t="s">
        <v>462</v>
      </c>
      <c r="B48" s="160"/>
      <c r="C48" s="160"/>
      <c r="D48" s="160"/>
      <c r="E48" s="160"/>
      <c r="F48" s="160"/>
      <c r="G48" s="160"/>
      <c r="H48" s="160"/>
      <c r="I48" s="160"/>
      <c r="J48" s="8"/>
    </row>
    <row r="49" spans="1:10" x14ac:dyDescent="0.3">
      <c r="A49" s="78" t="s">
        <v>463</v>
      </c>
      <c r="B49" s="160"/>
      <c r="C49" s="160"/>
      <c r="D49" s="160"/>
      <c r="E49" s="160"/>
      <c r="F49" s="160"/>
      <c r="G49" s="160"/>
      <c r="H49" s="160"/>
      <c r="I49" s="160"/>
      <c r="J49" s="8"/>
    </row>
    <row r="50" spans="1:10" x14ac:dyDescent="0.3">
      <c r="A50" s="9"/>
      <c r="B50" s="160"/>
      <c r="C50" s="160"/>
      <c r="D50" s="160"/>
      <c r="E50" s="160"/>
      <c r="F50" s="160"/>
      <c r="G50" s="160"/>
      <c r="H50" s="160"/>
      <c r="I50" s="160"/>
      <c r="J50" s="8"/>
    </row>
    <row r="51" spans="1:10" x14ac:dyDescent="0.3">
      <c r="A51" s="9"/>
      <c r="B51" s="160"/>
      <c r="C51" s="160"/>
      <c r="D51" s="160"/>
      <c r="E51" s="160"/>
      <c r="F51" s="160"/>
      <c r="G51" s="160"/>
      <c r="H51" s="160"/>
      <c r="I51" s="160"/>
      <c r="J51" s="8"/>
    </row>
    <row r="52" spans="1:10" x14ac:dyDescent="0.3">
      <c r="A52" s="9"/>
      <c r="B52" s="160"/>
      <c r="C52" s="160"/>
      <c r="D52" s="160"/>
      <c r="E52" s="160"/>
      <c r="F52" s="160"/>
      <c r="G52" s="160"/>
      <c r="H52" s="160"/>
      <c r="I52" s="160"/>
      <c r="J52" s="8"/>
    </row>
    <row r="53" spans="1:10" x14ac:dyDescent="0.3">
      <c r="A53" s="9"/>
      <c r="B53" s="160"/>
      <c r="C53" s="160"/>
      <c r="D53" s="160"/>
      <c r="E53" s="160"/>
      <c r="F53" s="160"/>
      <c r="G53" s="160"/>
      <c r="H53" s="160"/>
      <c r="I53" s="160"/>
      <c r="J53" s="8"/>
    </row>
    <row r="54" spans="1:10" ht="15" thickBot="1" x14ac:dyDescent="0.35">
      <c r="A54" s="12"/>
      <c r="B54" s="13"/>
      <c r="C54" s="13"/>
      <c r="D54" s="13"/>
      <c r="E54" s="13"/>
      <c r="F54" s="13"/>
      <c r="G54" s="13"/>
      <c r="H54" s="13"/>
      <c r="I54" s="13"/>
      <c r="J54" s="14"/>
    </row>
    <row r="55" spans="1:10" x14ac:dyDescent="0.3">
      <c r="A55" s="160"/>
      <c r="B55" s="160"/>
      <c r="C55" s="160"/>
      <c r="D55" s="160"/>
      <c r="E55" s="160"/>
      <c r="F55" s="160"/>
      <c r="G55" s="160"/>
      <c r="H55" s="160"/>
      <c r="I55" s="160"/>
      <c r="J55" s="160"/>
    </row>
    <row r="56" spans="1:10" x14ac:dyDescent="0.3">
      <c r="A56" s="160"/>
      <c r="B56" s="160"/>
      <c r="C56" s="160"/>
      <c r="D56" s="160"/>
      <c r="E56" s="160"/>
      <c r="F56" s="160"/>
      <c r="G56" s="160"/>
      <c r="H56" s="160"/>
      <c r="I56" s="160"/>
      <c r="J56" s="160"/>
    </row>
    <row r="57" spans="1:10" x14ac:dyDescent="0.3">
      <c r="A57" s="160"/>
      <c r="B57" s="160"/>
      <c r="C57" s="160"/>
      <c r="D57" s="160"/>
      <c r="E57" s="160"/>
      <c r="F57" s="160"/>
      <c r="G57" s="160"/>
      <c r="H57" s="160"/>
      <c r="I57" s="160"/>
      <c r="J57" s="160"/>
    </row>
    <row r="58" spans="1:10" x14ac:dyDescent="0.3">
      <c r="A58" s="160"/>
      <c r="B58" s="160"/>
      <c r="C58" s="160"/>
      <c r="D58" s="160"/>
      <c r="E58" s="160"/>
      <c r="F58" s="160"/>
      <c r="G58" s="160"/>
      <c r="H58" s="160"/>
      <c r="I58" s="160"/>
      <c r="J58" s="160"/>
    </row>
    <row r="59" spans="1:10" x14ac:dyDescent="0.3">
      <c r="A59" s="160"/>
      <c r="B59" s="160"/>
      <c r="C59" s="160"/>
      <c r="D59" s="160"/>
      <c r="E59" s="160"/>
      <c r="F59" s="160"/>
      <c r="G59" s="160"/>
      <c r="H59" s="160"/>
      <c r="I59" s="160"/>
      <c r="J59" s="160"/>
    </row>
    <row r="60" spans="1:10" x14ac:dyDescent="0.3">
      <c r="A60" s="160"/>
      <c r="B60" s="160"/>
      <c r="C60" s="160"/>
      <c r="D60" s="160"/>
      <c r="E60" s="160"/>
      <c r="F60" s="160"/>
      <c r="G60" s="160"/>
      <c r="H60" s="160"/>
      <c r="I60" s="160"/>
      <c r="J60" s="160"/>
    </row>
    <row r="61" spans="1:10" x14ac:dyDescent="0.3">
      <c r="A61" s="160"/>
      <c r="B61" s="160"/>
      <c r="C61" s="160"/>
      <c r="D61" s="160"/>
      <c r="E61" s="160"/>
      <c r="F61" s="160"/>
      <c r="G61" s="160"/>
      <c r="H61" s="160"/>
      <c r="I61" s="160"/>
      <c r="J61" s="160"/>
    </row>
    <row r="62" spans="1:10" x14ac:dyDescent="0.3">
      <c r="A62" s="160"/>
      <c r="B62" s="160"/>
      <c r="C62" s="160"/>
      <c r="D62" s="160"/>
      <c r="E62" s="160"/>
      <c r="F62" s="160"/>
      <c r="G62" s="160"/>
      <c r="H62" s="160"/>
      <c r="I62" s="160"/>
      <c r="J62" s="160"/>
    </row>
    <row r="63" spans="1:10" x14ac:dyDescent="0.3">
      <c r="A63" s="160"/>
      <c r="B63" s="160"/>
      <c r="C63" s="160"/>
      <c r="D63" s="160"/>
      <c r="E63" s="160"/>
      <c r="F63" s="160"/>
      <c r="G63" s="160"/>
      <c r="H63" s="160"/>
      <c r="I63" s="160"/>
      <c r="J63" s="160"/>
    </row>
    <row r="64" spans="1:10" x14ac:dyDescent="0.3">
      <c r="A64" s="160"/>
      <c r="B64" s="160"/>
      <c r="C64" s="160"/>
      <c r="D64" s="160"/>
      <c r="E64" s="160"/>
      <c r="F64" s="160"/>
      <c r="G64" s="160"/>
      <c r="H64" s="160"/>
      <c r="I64" s="160"/>
      <c r="J64" s="160"/>
    </row>
    <row r="65" spans="1:10" x14ac:dyDescent="0.3">
      <c r="A65" s="160"/>
      <c r="B65" s="160"/>
      <c r="C65" s="160"/>
      <c r="D65" s="160"/>
      <c r="E65" s="160"/>
      <c r="F65" s="160"/>
      <c r="G65" s="160"/>
      <c r="H65" s="160"/>
      <c r="I65" s="160"/>
      <c r="J65" s="160"/>
    </row>
  </sheetData>
  <mergeCells count="1">
    <mergeCell ref="A1:J1"/>
  </mergeCells>
  <pageMargins left="0.70866141732283472" right="0.70866141732283472" top="0.74803149606299213" bottom="0.74803149606299213" header="0.31496062992125984" footer="0.31496062992125984"/>
  <pageSetup scale="36" fitToHeight="0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43A2-8C8E-4C1F-B41E-6759A8C7F66A}">
  <sheetPr codeName="Sheet8">
    <pageSetUpPr fitToPage="1"/>
  </sheetPr>
  <dimension ref="A1:AD79"/>
  <sheetViews>
    <sheetView zoomScale="60" zoomScaleNormal="60" zoomScaleSheetLayoutView="32" workbookViewId="0">
      <pane ySplit="1" topLeftCell="A11" activePane="bottomLeft" state="frozen"/>
      <selection pane="bottomLeft" activeCell="A51" sqref="A51"/>
    </sheetView>
  </sheetViews>
  <sheetFormatPr defaultRowHeight="14.4" x14ac:dyDescent="0.3"/>
  <cols>
    <col min="1" max="1" width="18.21875" bestFit="1" customWidth="1"/>
    <col min="2" max="2" width="19.21875" bestFit="1" customWidth="1"/>
    <col min="3" max="3" width="21.21875" bestFit="1" customWidth="1"/>
    <col min="4" max="4" width="16.44140625" bestFit="1" customWidth="1"/>
    <col min="5" max="5" width="34.5546875" bestFit="1" customWidth="1"/>
    <col min="6" max="6" width="25.88671875" customWidth="1"/>
    <col min="7" max="10" width="15.5546875" bestFit="1" customWidth="1"/>
    <col min="11" max="11" width="11" bestFit="1" customWidth="1"/>
  </cols>
  <sheetData>
    <row r="1" spans="1:18" ht="29.4" thickBot="1" x14ac:dyDescent="0.6">
      <c r="A1" s="214" t="s">
        <v>274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6"/>
      <c r="P1" s="264"/>
      <c r="Q1" s="264"/>
      <c r="R1" s="264"/>
    </row>
    <row r="2" spans="1:18" x14ac:dyDescent="0.3">
      <c r="A2" s="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8"/>
      <c r="P2" s="160"/>
      <c r="Q2" s="160"/>
      <c r="R2" s="160"/>
    </row>
    <row r="3" spans="1:18" ht="15" thickBot="1" x14ac:dyDescent="0.35">
      <c r="A3" s="9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8"/>
      <c r="P3" s="160"/>
      <c r="Q3" s="160"/>
      <c r="R3" s="160"/>
    </row>
    <row r="4" spans="1:18" ht="15" thickBot="1" x14ac:dyDescent="0.35">
      <c r="A4" s="176" t="s">
        <v>208</v>
      </c>
      <c r="B4" s="181" t="s">
        <v>241</v>
      </c>
      <c r="C4" s="135" t="s">
        <v>143</v>
      </c>
      <c r="D4" s="136" t="s">
        <v>450</v>
      </c>
      <c r="E4" s="101" t="s">
        <v>459</v>
      </c>
      <c r="F4" s="102" t="s">
        <v>458</v>
      </c>
      <c r="G4" s="160"/>
      <c r="H4" s="160"/>
      <c r="I4" s="160"/>
      <c r="J4" s="160"/>
      <c r="K4" s="160"/>
      <c r="L4" s="160"/>
      <c r="M4" s="160"/>
      <c r="N4" s="160"/>
      <c r="O4" s="8"/>
      <c r="P4" s="160"/>
      <c r="Q4" s="160"/>
      <c r="R4" s="160"/>
    </row>
    <row r="5" spans="1:18" x14ac:dyDescent="0.3">
      <c r="A5" s="177" t="s">
        <v>29</v>
      </c>
      <c r="B5" s="257">
        <v>488510395</v>
      </c>
      <c r="C5" s="222">
        <v>186321.88</v>
      </c>
      <c r="D5" s="223">
        <v>12</v>
      </c>
      <c r="E5" s="259">
        <f>C5/D5</f>
        <v>15526.823333333334</v>
      </c>
      <c r="F5" s="10">
        <f>B5/D5</f>
        <v>40709199.583333336</v>
      </c>
      <c r="G5" s="160"/>
      <c r="H5" s="160"/>
      <c r="I5" s="160"/>
      <c r="J5" s="160"/>
      <c r="K5" s="160"/>
      <c r="L5" s="160"/>
      <c r="M5" s="160"/>
      <c r="N5" s="160"/>
      <c r="O5" s="8"/>
      <c r="P5" s="160"/>
      <c r="Q5" s="160"/>
      <c r="R5" s="160"/>
    </row>
    <row r="6" spans="1:18" x14ac:dyDescent="0.3">
      <c r="A6" s="178" t="s">
        <v>13</v>
      </c>
      <c r="B6" s="258">
        <v>1012375595</v>
      </c>
      <c r="C6" s="220">
        <v>259551.88</v>
      </c>
      <c r="D6" s="86">
        <v>12</v>
      </c>
      <c r="E6" s="259">
        <f t="shared" ref="E6:E15" si="0">C6/D6</f>
        <v>21629.323333333334</v>
      </c>
      <c r="F6" s="10">
        <f t="shared" ref="F6:F15" si="1">B6/D6</f>
        <v>84364632.916666672</v>
      </c>
      <c r="G6" s="160"/>
      <c r="H6" s="160"/>
      <c r="I6" s="160"/>
      <c r="J6" s="160"/>
      <c r="K6" s="160"/>
      <c r="L6" s="160"/>
      <c r="M6" s="160"/>
      <c r="N6" s="160"/>
      <c r="O6" s="8"/>
      <c r="P6" s="160"/>
      <c r="Q6" s="160"/>
      <c r="R6" s="160"/>
    </row>
    <row r="7" spans="1:18" x14ac:dyDescent="0.3">
      <c r="A7" s="178" t="s">
        <v>21</v>
      </c>
      <c r="B7" s="258">
        <v>832634949</v>
      </c>
      <c r="C7" s="220">
        <v>182197.18000000002</v>
      </c>
      <c r="D7" s="86">
        <v>12</v>
      </c>
      <c r="E7" s="259">
        <f t="shared" si="0"/>
        <v>15183.098333333335</v>
      </c>
      <c r="F7" s="10">
        <f t="shared" si="1"/>
        <v>69386245.75</v>
      </c>
      <c r="G7" s="160"/>
      <c r="H7" s="160"/>
      <c r="I7" s="160"/>
      <c r="J7" s="160"/>
      <c r="K7" s="160"/>
      <c r="L7" s="160"/>
      <c r="M7" s="160"/>
      <c r="N7" s="160"/>
      <c r="O7" s="8"/>
      <c r="P7" s="160"/>
      <c r="Q7" s="160"/>
      <c r="R7" s="160"/>
    </row>
    <row r="8" spans="1:18" x14ac:dyDescent="0.3">
      <c r="A8" s="178" t="s">
        <v>48</v>
      </c>
      <c r="B8" s="258">
        <v>453627757</v>
      </c>
      <c r="C8" s="220">
        <v>252102.50000000003</v>
      </c>
      <c r="D8" s="86">
        <v>8</v>
      </c>
      <c r="E8" s="259">
        <f t="shared" si="0"/>
        <v>31512.812500000004</v>
      </c>
      <c r="F8" s="10">
        <f t="shared" si="1"/>
        <v>56703469.625</v>
      </c>
      <c r="G8" s="160"/>
      <c r="H8" s="160"/>
      <c r="I8" s="160"/>
      <c r="J8" s="160"/>
      <c r="K8" s="160"/>
      <c r="L8" s="160"/>
      <c r="M8" s="160"/>
      <c r="N8" s="160"/>
      <c r="O8" s="8"/>
      <c r="P8" s="160"/>
      <c r="Q8" s="160"/>
      <c r="R8" s="160"/>
    </row>
    <row r="9" spans="1:18" x14ac:dyDescent="0.3">
      <c r="A9" s="178" t="s">
        <v>41</v>
      </c>
      <c r="B9" s="258">
        <v>487828759</v>
      </c>
      <c r="C9" s="220">
        <v>127284.88</v>
      </c>
      <c r="D9" s="86">
        <v>7</v>
      </c>
      <c r="E9" s="259">
        <f t="shared" si="0"/>
        <v>18183.554285714286</v>
      </c>
      <c r="F9" s="10">
        <f t="shared" si="1"/>
        <v>69689822.714285716</v>
      </c>
      <c r="G9" s="160"/>
      <c r="H9" s="160"/>
      <c r="I9" s="160"/>
      <c r="J9" s="160"/>
      <c r="K9" s="160"/>
      <c r="L9" s="160"/>
      <c r="M9" s="160"/>
      <c r="N9" s="160"/>
      <c r="O9" s="8"/>
      <c r="P9" s="160"/>
      <c r="Q9" s="160"/>
      <c r="R9" s="160"/>
    </row>
    <row r="10" spans="1:18" x14ac:dyDescent="0.3">
      <c r="A10" s="178" t="s">
        <v>59</v>
      </c>
      <c r="B10" s="258">
        <v>109382356</v>
      </c>
      <c r="C10" s="220">
        <v>52871.880000000005</v>
      </c>
      <c r="D10" s="86">
        <v>4</v>
      </c>
      <c r="E10" s="259">
        <f t="shared" si="0"/>
        <v>13217.970000000001</v>
      </c>
      <c r="F10" s="10">
        <f t="shared" si="1"/>
        <v>27345589</v>
      </c>
      <c r="G10" s="160"/>
      <c r="H10" s="160"/>
      <c r="I10" s="160"/>
      <c r="J10" s="160"/>
      <c r="K10" s="160"/>
      <c r="L10" s="160"/>
      <c r="M10" s="160"/>
      <c r="N10" s="160"/>
      <c r="O10" s="8"/>
      <c r="P10" s="160"/>
      <c r="Q10" s="160"/>
      <c r="R10" s="160"/>
    </row>
    <row r="11" spans="1:18" x14ac:dyDescent="0.3">
      <c r="A11" s="178" t="s">
        <v>17</v>
      </c>
      <c r="B11" s="258">
        <v>877653513</v>
      </c>
      <c r="C11" s="220">
        <v>174435</v>
      </c>
      <c r="D11" s="86">
        <v>11</v>
      </c>
      <c r="E11" s="259">
        <f t="shared" si="0"/>
        <v>15857.727272727272</v>
      </c>
      <c r="F11" s="10">
        <f t="shared" si="1"/>
        <v>79786683</v>
      </c>
      <c r="G11" s="160"/>
      <c r="H11" s="160"/>
      <c r="I11" s="160"/>
      <c r="J11" s="160"/>
      <c r="K11" s="160"/>
      <c r="L11" s="160"/>
      <c r="M11" s="160"/>
      <c r="N11" s="160"/>
      <c r="O11" s="8"/>
      <c r="P11" s="160"/>
      <c r="Q11" s="160"/>
      <c r="R11" s="160"/>
    </row>
    <row r="12" spans="1:18" x14ac:dyDescent="0.3">
      <c r="A12" s="178" t="s">
        <v>52</v>
      </c>
      <c r="B12" s="258">
        <v>336379539</v>
      </c>
      <c r="C12" s="220">
        <v>116336</v>
      </c>
      <c r="D12" s="86">
        <v>6</v>
      </c>
      <c r="E12" s="259">
        <f t="shared" si="0"/>
        <v>19389.333333333332</v>
      </c>
      <c r="F12" s="10">
        <f t="shared" si="1"/>
        <v>56063256.5</v>
      </c>
      <c r="G12" s="160"/>
      <c r="H12" s="160"/>
      <c r="I12" s="160"/>
      <c r="J12" s="160"/>
      <c r="K12" s="160"/>
      <c r="L12" s="160"/>
      <c r="M12" s="160"/>
      <c r="N12" s="160"/>
      <c r="O12" s="8"/>
      <c r="P12" s="160"/>
      <c r="Q12" s="160"/>
      <c r="R12" s="160"/>
    </row>
    <row r="13" spans="1:18" x14ac:dyDescent="0.3">
      <c r="A13" s="178" t="s">
        <v>32</v>
      </c>
      <c r="B13" s="258">
        <v>658312538</v>
      </c>
      <c r="C13" s="220">
        <v>232532.88</v>
      </c>
      <c r="D13" s="86">
        <v>10</v>
      </c>
      <c r="E13" s="259">
        <f t="shared" si="0"/>
        <v>23253.288</v>
      </c>
      <c r="F13" s="10">
        <f t="shared" si="1"/>
        <v>65831253.799999997</v>
      </c>
      <c r="G13" s="160"/>
      <c r="H13" s="160"/>
      <c r="I13" s="160"/>
      <c r="J13" s="160"/>
      <c r="K13" s="160"/>
      <c r="L13" s="160"/>
      <c r="M13" s="160"/>
      <c r="N13" s="160"/>
      <c r="O13" s="8"/>
      <c r="P13" s="160"/>
      <c r="Q13" s="160"/>
      <c r="R13" s="160"/>
    </row>
    <row r="14" spans="1:18" ht="15" thickBot="1" x14ac:dyDescent="0.35">
      <c r="A14" s="179" t="s">
        <v>37</v>
      </c>
      <c r="B14" s="258">
        <v>707857538</v>
      </c>
      <c r="C14" s="220">
        <v>218675.64</v>
      </c>
      <c r="D14" s="86">
        <v>10</v>
      </c>
      <c r="E14" s="259">
        <f t="shared" si="0"/>
        <v>21867.564000000002</v>
      </c>
      <c r="F14" s="10">
        <f t="shared" si="1"/>
        <v>70785753.799999997</v>
      </c>
      <c r="G14" s="160"/>
      <c r="H14" s="160"/>
      <c r="I14" s="160"/>
      <c r="J14" s="160"/>
      <c r="K14" s="160"/>
      <c r="L14" s="160"/>
      <c r="M14" s="160"/>
      <c r="N14" s="160"/>
      <c r="O14" s="8"/>
      <c r="P14" s="160"/>
      <c r="Q14" s="160"/>
      <c r="R14" s="160"/>
    </row>
    <row r="15" spans="1:18" ht="15" thickBot="1" x14ac:dyDescent="0.35">
      <c r="A15" s="180" t="s">
        <v>209</v>
      </c>
      <c r="B15" s="225">
        <v>5964562939</v>
      </c>
      <c r="C15" s="85">
        <v>1802309.7199999993</v>
      </c>
      <c r="D15" s="87">
        <v>92</v>
      </c>
      <c r="E15" s="301">
        <f t="shared" si="0"/>
        <v>19590.323043478253</v>
      </c>
      <c r="F15" s="107">
        <f t="shared" si="1"/>
        <v>64832205.858695649</v>
      </c>
      <c r="G15" s="160"/>
      <c r="H15" s="160"/>
      <c r="I15" s="160"/>
      <c r="J15" s="160"/>
      <c r="K15" s="160"/>
      <c r="L15" s="160"/>
      <c r="M15" s="160"/>
      <c r="N15" s="160"/>
      <c r="O15" s="8"/>
      <c r="P15" s="160"/>
      <c r="Q15" s="160"/>
      <c r="R15" s="160"/>
    </row>
    <row r="16" spans="1:18" x14ac:dyDescent="0.3">
      <c r="A16" s="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8"/>
      <c r="P16" s="160"/>
      <c r="Q16" s="160"/>
      <c r="R16" s="160"/>
    </row>
    <row r="17" spans="1:18" x14ac:dyDescent="0.3">
      <c r="A17" s="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8"/>
      <c r="P17" s="160"/>
      <c r="Q17" s="160"/>
      <c r="R17" s="160"/>
    </row>
    <row r="18" spans="1:18" x14ac:dyDescent="0.3">
      <c r="A18" s="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8"/>
      <c r="P18" s="160"/>
      <c r="Q18" s="160"/>
      <c r="R18" s="160"/>
    </row>
    <row r="19" spans="1:18" x14ac:dyDescent="0.3">
      <c r="A19" s="78" t="s">
        <v>289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8"/>
      <c r="P19" s="160"/>
      <c r="Q19" s="160"/>
      <c r="R19" s="160"/>
    </row>
    <row r="20" spans="1:18" x14ac:dyDescent="0.3">
      <c r="A20" s="78" t="s">
        <v>314</v>
      </c>
      <c r="B20" s="160"/>
      <c r="C20" s="160"/>
      <c r="D20" s="160"/>
      <c r="E20" s="160"/>
      <c r="F20" s="263"/>
      <c r="G20" s="160"/>
      <c r="H20" s="160"/>
      <c r="I20" s="160"/>
      <c r="J20" s="160"/>
      <c r="K20" s="160"/>
      <c r="L20" s="160"/>
      <c r="M20" s="160"/>
      <c r="N20" s="160"/>
      <c r="O20" s="8"/>
      <c r="P20" s="160"/>
      <c r="Q20" s="160"/>
      <c r="R20" s="160"/>
    </row>
    <row r="21" spans="1:18" x14ac:dyDescent="0.3">
      <c r="A21" s="78" t="s">
        <v>310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8"/>
      <c r="P21" s="160"/>
      <c r="Q21" s="160"/>
      <c r="R21" s="160"/>
    </row>
    <row r="22" spans="1:18" x14ac:dyDescent="0.3">
      <c r="A22" s="78" t="s">
        <v>285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8"/>
      <c r="P22" s="160"/>
      <c r="Q22" s="160"/>
      <c r="R22" s="160"/>
    </row>
    <row r="23" spans="1:18" x14ac:dyDescent="0.3">
      <c r="A23" s="78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8"/>
      <c r="P23" s="160"/>
      <c r="Q23" s="160"/>
      <c r="R23" s="160"/>
    </row>
    <row r="24" spans="1:18" x14ac:dyDescent="0.3">
      <c r="A24" s="9"/>
      <c r="B24" s="160"/>
      <c r="C24" s="160"/>
      <c r="D24" s="160"/>
      <c r="E24" s="160"/>
      <c r="F24" s="160"/>
      <c r="G24" s="218"/>
      <c r="H24" s="160"/>
      <c r="I24" s="160"/>
      <c r="J24" s="160"/>
      <c r="K24" s="160"/>
      <c r="L24" s="160"/>
      <c r="M24" s="160"/>
      <c r="N24" s="160"/>
      <c r="O24" s="8"/>
      <c r="P24" s="160"/>
      <c r="Q24" s="160"/>
      <c r="R24" s="160"/>
    </row>
    <row r="25" spans="1:18" x14ac:dyDescent="0.3">
      <c r="A25" s="78" t="s">
        <v>288</v>
      </c>
      <c r="B25" s="164"/>
      <c r="C25" s="164"/>
      <c r="D25" s="164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8"/>
      <c r="P25" s="160"/>
      <c r="Q25" s="160"/>
      <c r="R25" s="160"/>
    </row>
    <row r="26" spans="1:18" x14ac:dyDescent="0.3">
      <c r="A26" s="78" t="s">
        <v>286</v>
      </c>
      <c r="B26" s="164"/>
      <c r="C26" s="164"/>
      <c r="D26" s="164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8"/>
      <c r="P26" s="160"/>
      <c r="Q26" s="160"/>
      <c r="R26" s="160"/>
    </row>
    <row r="27" spans="1:18" x14ac:dyDescent="0.3">
      <c r="A27" s="78" t="s">
        <v>311</v>
      </c>
      <c r="B27" s="164"/>
      <c r="C27" s="164"/>
      <c r="D27" s="164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8"/>
      <c r="P27" s="160"/>
      <c r="Q27" s="160"/>
      <c r="R27" s="160"/>
    </row>
    <row r="28" spans="1:18" x14ac:dyDescent="0.3">
      <c r="A28" s="78" t="s">
        <v>287</v>
      </c>
      <c r="B28" s="164"/>
      <c r="C28" s="164"/>
      <c r="D28" s="164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8"/>
      <c r="P28" s="160"/>
      <c r="Q28" s="160"/>
      <c r="R28" s="160"/>
    </row>
    <row r="29" spans="1:18" ht="15" thickBot="1" x14ac:dyDescent="0.35">
      <c r="A29" s="78"/>
      <c r="B29" s="164"/>
      <c r="C29" s="164"/>
      <c r="D29" s="164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8"/>
      <c r="P29" s="160"/>
      <c r="Q29" s="160"/>
      <c r="R29" s="160"/>
    </row>
    <row r="30" spans="1:18" x14ac:dyDescent="0.3">
      <c r="A30" s="90" t="s">
        <v>276</v>
      </c>
      <c r="B30" s="91" t="s">
        <v>284</v>
      </c>
      <c r="C30" s="91" t="s">
        <v>293</v>
      </c>
      <c r="D30" s="92" t="s">
        <v>277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8"/>
      <c r="P30" s="160"/>
      <c r="Q30" s="160"/>
      <c r="R30" s="160"/>
    </row>
    <row r="31" spans="1:18" x14ac:dyDescent="0.3">
      <c r="A31" s="53" t="s">
        <v>278</v>
      </c>
      <c r="B31" s="29" t="s">
        <v>13</v>
      </c>
      <c r="C31" s="30">
        <v>259551.88</v>
      </c>
      <c r="D31" s="94" t="s">
        <v>279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8"/>
      <c r="P31" s="160"/>
      <c r="Q31" s="160"/>
      <c r="R31" s="160"/>
    </row>
    <row r="32" spans="1:18" x14ac:dyDescent="0.3">
      <c r="A32" s="53" t="s">
        <v>280</v>
      </c>
      <c r="B32" s="29" t="s">
        <v>13</v>
      </c>
      <c r="C32" s="30">
        <v>1012375595</v>
      </c>
      <c r="D32" s="94" t="s">
        <v>281</v>
      </c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8"/>
      <c r="P32" s="160"/>
      <c r="Q32" s="160"/>
      <c r="R32" s="160"/>
    </row>
    <row r="33" spans="1:30" ht="15" thickBot="1" x14ac:dyDescent="0.35">
      <c r="A33" s="56" t="s">
        <v>282</v>
      </c>
      <c r="B33" s="95" t="s">
        <v>48</v>
      </c>
      <c r="C33" s="96">
        <v>31512.812500000004</v>
      </c>
      <c r="D33" s="97" t="s">
        <v>283</v>
      </c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8"/>
      <c r="P33" s="160"/>
      <c r="Q33" s="160"/>
      <c r="R33" s="160"/>
    </row>
    <row r="34" spans="1:30" x14ac:dyDescent="0.3">
      <c r="A34" s="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8"/>
      <c r="P34" s="160"/>
      <c r="Q34" s="160"/>
      <c r="R34" s="160"/>
    </row>
    <row r="35" spans="1:30" x14ac:dyDescent="0.3">
      <c r="A35" s="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8"/>
      <c r="P35" s="160"/>
      <c r="Q35" s="160"/>
      <c r="R35" s="160"/>
    </row>
    <row r="36" spans="1:30" x14ac:dyDescent="0.3">
      <c r="A36" s="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8"/>
      <c r="P36" s="160"/>
      <c r="Q36" s="160"/>
      <c r="R36" s="160"/>
    </row>
    <row r="37" spans="1:30" ht="15" thickBot="1" x14ac:dyDescent="0.35">
      <c r="A37" s="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8"/>
      <c r="P37" s="160"/>
      <c r="Q37" s="160"/>
      <c r="R37" s="160"/>
      <c r="AD37" s="160"/>
    </row>
    <row r="38" spans="1:30" ht="15" thickBot="1" x14ac:dyDescent="0.35">
      <c r="A38" s="176" t="s">
        <v>208</v>
      </c>
      <c r="B38" s="181" t="s">
        <v>241</v>
      </c>
      <c r="C38" s="135" t="s">
        <v>143</v>
      </c>
      <c r="D38" s="136" t="s">
        <v>244</v>
      </c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8"/>
      <c r="P38" s="160"/>
      <c r="Q38" s="160"/>
      <c r="R38" s="160"/>
    </row>
    <row r="39" spans="1:30" x14ac:dyDescent="0.3">
      <c r="A39" s="177" t="s">
        <v>294</v>
      </c>
      <c r="B39" s="221">
        <v>2159198528</v>
      </c>
      <c r="C39" s="222">
        <v>678406.64</v>
      </c>
      <c r="D39" s="223">
        <v>19953.136470588237</v>
      </c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8"/>
      <c r="P39" s="160"/>
      <c r="Q39" s="160"/>
      <c r="R39" s="160"/>
    </row>
    <row r="40" spans="1:30" x14ac:dyDescent="0.3">
      <c r="A40" s="178" t="s">
        <v>295</v>
      </c>
      <c r="B40" s="224">
        <v>707857538</v>
      </c>
      <c r="C40" s="220">
        <v>218675.64</v>
      </c>
      <c r="D40" s="86">
        <v>21867.564000000002</v>
      </c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8"/>
      <c r="P40" s="160"/>
      <c r="Q40" s="160"/>
      <c r="R40" s="160"/>
    </row>
    <row r="41" spans="1:30" x14ac:dyDescent="0.3">
      <c r="A41" s="178" t="s">
        <v>296</v>
      </c>
      <c r="B41" s="224">
        <v>824208298</v>
      </c>
      <c r="C41" s="220">
        <v>243620.88</v>
      </c>
      <c r="D41" s="86">
        <v>18740.067692307694</v>
      </c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8"/>
      <c r="P41" s="160"/>
      <c r="Q41" s="160"/>
      <c r="R41" s="160"/>
    </row>
    <row r="42" spans="1:30" x14ac:dyDescent="0.3">
      <c r="A42" s="178" t="s">
        <v>297</v>
      </c>
      <c r="B42" s="224">
        <v>877653513</v>
      </c>
      <c r="C42" s="220">
        <v>174435</v>
      </c>
      <c r="D42" s="86">
        <v>15857.727272727272</v>
      </c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8"/>
      <c r="P42" s="160"/>
      <c r="Q42" s="160"/>
      <c r="R42" s="160"/>
    </row>
    <row r="43" spans="1:30" x14ac:dyDescent="0.3">
      <c r="A43" s="178" t="s">
        <v>298</v>
      </c>
      <c r="B43" s="224">
        <v>109382356</v>
      </c>
      <c r="C43" s="220">
        <v>52871.880000000005</v>
      </c>
      <c r="D43" s="86">
        <v>13217.970000000001</v>
      </c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8"/>
      <c r="P43" s="160"/>
      <c r="Q43" s="160"/>
      <c r="R43" s="160"/>
    </row>
    <row r="44" spans="1:30" x14ac:dyDescent="0.3">
      <c r="A44" s="178" t="s">
        <v>290</v>
      </c>
      <c r="B44" s="224">
        <v>453627757</v>
      </c>
      <c r="C44" s="220">
        <v>252102.50000000003</v>
      </c>
      <c r="D44" s="86">
        <v>31512.812500000004</v>
      </c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8"/>
      <c r="P44" s="160"/>
      <c r="Q44" s="160"/>
      <c r="R44" s="160"/>
    </row>
    <row r="45" spans="1:30" ht="15" thickBot="1" x14ac:dyDescent="0.35">
      <c r="A45" s="179" t="s">
        <v>299</v>
      </c>
      <c r="B45" s="224">
        <v>832634949</v>
      </c>
      <c r="C45" s="220">
        <v>182197.18000000002</v>
      </c>
      <c r="D45" s="86">
        <v>15183.098333333335</v>
      </c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8"/>
      <c r="P45" s="160"/>
      <c r="Q45" s="160"/>
      <c r="R45" s="160"/>
    </row>
    <row r="46" spans="1:30" ht="15" thickBot="1" x14ac:dyDescent="0.35">
      <c r="A46" s="180" t="s">
        <v>209</v>
      </c>
      <c r="B46" s="225">
        <v>5964562939</v>
      </c>
      <c r="C46" s="85">
        <v>1802309.7200000002</v>
      </c>
      <c r="D46" s="87">
        <v>19590.323043478264</v>
      </c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8"/>
      <c r="P46" s="160"/>
      <c r="Q46" s="160"/>
      <c r="R46" s="160"/>
    </row>
    <row r="47" spans="1:30" x14ac:dyDescent="0.3">
      <c r="A47" s="9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8"/>
      <c r="P47" s="160"/>
      <c r="Q47" s="160"/>
      <c r="R47" s="160"/>
    </row>
    <row r="48" spans="1:30" x14ac:dyDescent="0.3">
      <c r="A48" s="9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8"/>
      <c r="P48" s="160"/>
      <c r="Q48" s="160"/>
      <c r="R48" s="160"/>
    </row>
    <row r="49" spans="1:18" x14ac:dyDescent="0.3">
      <c r="A49" s="78" t="s">
        <v>289</v>
      </c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8"/>
      <c r="P49" s="160"/>
      <c r="Q49" s="160"/>
      <c r="R49" s="160"/>
    </row>
    <row r="50" spans="1:18" x14ac:dyDescent="0.3">
      <c r="A50" s="78" t="s">
        <v>315</v>
      </c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8"/>
      <c r="P50" s="160"/>
      <c r="Q50" s="160"/>
      <c r="R50" s="160"/>
    </row>
    <row r="51" spans="1:18" x14ac:dyDescent="0.3">
      <c r="A51" s="78" t="s">
        <v>316</v>
      </c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8"/>
      <c r="P51" s="160"/>
      <c r="Q51" s="160"/>
      <c r="R51" s="160"/>
    </row>
    <row r="52" spans="1:18" x14ac:dyDescent="0.3">
      <c r="A52" s="9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8"/>
      <c r="P52" s="160"/>
      <c r="Q52" s="160"/>
      <c r="R52" s="160"/>
    </row>
    <row r="53" spans="1:18" ht="15" thickBot="1" x14ac:dyDescent="0.35">
      <c r="A53" s="9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8"/>
      <c r="P53" s="160"/>
      <c r="Q53" s="160"/>
      <c r="R53" s="160"/>
    </row>
    <row r="54" spans="1:18" ht="15" thickBot="1" x14ac:dyDescent="0.35">
      <c r="A54" s="176" t="s">
        <v>208</v>
      </c>
      <c r="B54" s="181" t="s">
        <v>317</v>
      </c>
      <c r="C54" s="135" t="s">
        <v>329</v>
      </c>
      <c r="D54" s="135" t="s">
        <v>330</v>
      </c>
      <c r="E54" s="136" t="s">
        <v>243</v>
      </c>
      <c r="F54" s="102" t="s">
        <v>331</v>
      </c>
      <c r="G54" s="160"/>
      <c r="H54" s="160"/>
      <c r="I54" s="160"/>
      <c r="J54" s="160"/>
      <c r="K54" s="160"/>
      <c r="L54" s="160"/>
      <c r="M54" s="160"/>
      <c r="N54" s="160"/>
      <c r="O54" s="8"/>
      <c r="P54" s="160"/>
      <c r="Q54" s="160"/>
      <c r="R54" s="160"/>
    </row>
    <row r="55" spans="1:18" x14ac:dyDescent="0.3">
      <c r="A55" s="177" t="s">
        <v>327</v>
      </c>
      <c r="B55" s="221">
        <v>29</v>
      </c>
      <c r="C55" s="222">
        <v>478689.93999999994</v>
      </c>
      <c r="D55" s="222">
        <v>1766225603</v>
      </c>
      <c r="E55" s="223">
        <v>3223.4074773139746</v>
      </c>
      <c r="F55" s="10">
        <f>D55/C55</f>
        <v>3689.7069593733268</v>
      </c>
      <c r="G55" s="160"/>
      <c r="H55" s="160"/>
      <c r="I55" s="160"/>
      <c r="J55" s="160"/>
      <c r="K55" s="160"/>
      <c r="L55" s="160"/>
      <c r="M55" s="160"/>
      <c r="N55" s="160"/>
      <c r="O55" s="8"/>
      <c r="P55" s="160"/>
      <c r="Q55" s="160"/>
      <c r="R55" s="160"/>
    </row>
    <row r="56" spans="1:18" ht="15" thickBot="1" x14ac:dyDescent="0.35">
      <c r="A56" s="179" t="s">
        <v>228</v>
      </c>
      <c r="B56" s="224">
        <v>63</v>
      </c>
      <c r="C56" s="220">
        <v>1323619.78</v>
      </c>
      <c r="D56" s="220">
        <v>4198337336</v>
      </c>
      <c r="E56" s="86">
        <v>2771.8563742690058</v>
      </c>
      <c r="F56" s="10">
        <f>D56/C56</f>
        <v>3171.8605293130327</v>
      </c>
      <c r="G56" s="160"/>
      <c r="H56" s="160"/>
      <c r="I56" s="160"/>
      <c r="J56" s="160"/>
      <c r="K56" s="160"/>
      <c r="L56" s="160"/>
      <c r="M56" s="160"/>
      <c r="N56" s="160"/>
      <c r="O56" s="8"/>
      <c r="P56" s="160"/>
      <c r="Q56" s="160"/>
      <c r="R56" s="160"/>
    </row>
    <row r="57" spans="1:18" ht="15" thickBot="1" x14ac:dyDescent="0.35">
      <c r="A57" s="180" t="s">
        <v>209</v>
      </c>
      <c r="B57" s="225">
        <v>92</v>
      </c>
      <c r="C57" s="85">
        <v>1802309.72</v>
      </c>
      <c r="D57" s="85">
        <v>5964562939</v>
      </c>
      <c r="E57" s="87">
        <v>2914.1931350114419</v>
      </c>
      <c r="F57" s="107">
        <f>F56+F55</f>
        <v>6861.5674886863599</v>
      </c>
      <c r="G57" s="160"/>
      <c r="H57" s="160"/>
      <c r="I57" s="160"/>
      <c r="J57" s="160"/>
      <c r="K57" s="160"/>
      <c r="L57" s="160"/>
      <c r="M57" s="160"/>
      <c r="N57" s="160"/>
      <c r="O57" s="8"/>
      <c r="P57" s="160"/>
      <c r="Q57" s="160"/>
      <c r="R57" s="160"/>
    </row>
    <row r="58" spans="1:18" ht="15" thickBot="1" x14ac:dyDescent="0.35">
      <c r="A58" s="9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8"/>
      <c r="P58" s="160"/>
      <c r="Q58" s="160"/>
      <c r="R58" s="160"/>
    </row>
    <row r="59" spans="1:18" x14ac:dyDescent="0.3">
      <c r="A59" s="90" t="s">
        <v>332</v>
      </c>
      <c r="B59" s="91" t="s">
        <v>229</v>
      </c>
      <c r="C59" s="92" t="s">
        <v>228</v>
      </c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8"/>
      <c r="P59" s="160"/>
      <c r="Q59" s="160"/>
      <c r="R59" s="160"/>
    </row>
    <row r="60" spans="1:18" x14ac:dyDescent="0.3">
      <c r="A60" s="88" t="s">
        <v>333</v>
      </c>
      <c r="B60" s="5">
        <f>F55</f>
        <v>3689.7069593733268</v>
      </c>
      <c r="C60" s="10">
        <f>F56</f>
        <v>3171.8605293130327</v>
      </c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8"/>
      <c r="P60" s="160"/>
      <c r="Q60" s="160"/>
      <c r="R60" s="160"/>
    </row>
    <row r="61" spans="1:18" ht="15" thickBot="1" x14ac:dyDescent="0.35">
      <c r="A61" s="93" t="s">
        <v>334</v>
      </c>
      <c r="B61" s="61">
        <f>GETPIVOTDATA("Average of Ticket_Price(Rs)",$A$54,"International &amp; Local Artists","International  ")</f>
        <v>3223.4074773139746</v>
      </c>
      <c r="C61" s="62">
        <f>GETPIVOTDATA("Average of Ticket_Price(Rs)",$A$54,"International &amp; Local Artists","Local Artist")</f>
        <v>2771.8563742690058</v>
      </c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8"/>
      <c r="P61" s="160"/>
      <c r="Q61" s="160"/>
      <c r="R61" s="160"/>
    </row>
    <row r="62" spans="1:18" x14ac:dyDescent="0.3">
      <c r="A62" s="9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8"/>
      <c r="P62" s="160"/>
      <c r="Q62" s="160"/>
      <c r="R62" s="160"/>
    </row>
    <row r="63" spans="1:18" x14ac:dyDescent="0.3">
      <c r="A63" s="9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8"/>
      <c r="P63" s="160"/>
      <c r="Q63" s="160"/>
      <c r="R63" s="160"/>
    </row>
    <row r="64" spans="1:18" x14ac:dyDescent="0.3">
      <c r="A64" s="78" t="s">
        <v>318</v>
      </c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8"/>
      <c r="P64" s="160"/>
      <c r="Q64" s="160"/>
      <c r="R64" s="160"/>
    </row>
    <row r="65" spans="1:18" x14ac:dyDescent="0.3">
      <c r="A65" s="78" t="s">
        <v>336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8"/>
      <c r="P65" s="160"/>
      <c r="Q65" s="160"/>
      <c r="R65" s="160"/>
    </row>
    <row r="66" spans="1:18" x14ac:dyDescent="0.3">
      <c r="A66" s="78" t="s">
        <v>335</v>
      </c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8"/>
      <c r="P66" s="160"/>
      <c r="Q66" s="160"/>
      <c r="R66" s="160"/>
    </row>
    <row r="67" spans="1:18" x14ac:dyDescent="0.3">
      <c r="A67" s="9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8"/>
      <c r="P67" s="160"/>
      <c r="Q67" s="160"/>
      <c r="R67" s="160"/>
    </row>
    <row r="68" spans="1:18" x14ac:dyDescent="0.3">
      <c r="A68" s="78" t="s">
        <v>319</v>
      </c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8"/>
      <c r="P68" s="160"/>
      <c r="Q68" s="160"/>
      <c r="R68" s="160"/>
    </row>
    <row r="69" spans="1:18" x14ac:dyDescent="0.3">
      <c r="A69" s="78" t="s">
        <v>337</v>
      </c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8"/>
      <c r="P69" s="160"/>
      <c r="Q69" s="160"/>
      <c r="R69" s="160"/>
    </row>
    <row r="70" spans="1:18" x14ac:dyDescent="0.3">
      <c r="A70" s="78" t="s">
        <v>338</v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8"/>
      <c r="P70" s="160"/>
      <c r="Q70" s="160"/>
      <c r="R70" s="160"/>
    </row>
    <row r="71" spans="1:18" x14ac:dyDescent="0.3">
      <c r="A71" s="9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8"/>
      <c r="P71" s="160"/>
      <c r="Q71" s="160"/>
      <c r="R71" s="160"/>
    </row>
    <row r="72" spans="1:18" x14ac:dyDescent="0.3">
      <c r="A72" s="78" t="s">
        <v>320</v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8"/>
      <c r="P72" s="160"/>
      <c r="Q72" s="160"/>
      <c r="R72" s="160"/>
    </row>
    <row r="73" spans="1:18" x14ac:dyDescent="0.3">
      <c r="A73" s="78" t="s">
        <v>321</v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8"/>
      <c r="P73" s="160"/>
      <c r="Q73" s="160"/>
      <c r="R73" s="160"/>
    </row>
    <row r="74" spans="1:18" x14ac:dyDescent="0.3">
      <c r="A74" s="78" t="s">
        <v>322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8"/>
      <c r="P74" s="160"/>
      <c r="Q74" s="160"/>
      <c r="R74" s="160"/>
    </row>
    <row r="75" spans="1:18" x14ac:dyDescent="0.3">
      <c r="A75" s="9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8"/>
      <c r="P75" s="160"/>
      <c r="Q75" s="160"/>
      <c r="R75" s="160"/>
    </row>
    <row r="76" spans="1:18" x14ac:dyDescent="0.3">
      <c r="A76" s="9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8"/>
      <c r="P76" s="160"/>
      <c r="Q76" s="160"/>
      <c r="R76" s="160"/>
    </row>
    <row r="77" spans="1:18" x14ac:dyDescent="0.3">
      <c r="A77" s="89" t="s">
        <v>344</v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8"/>
      <c r="P77" s="160"/>
      <c r="Q77" s="160"/>
      <c r="R77" s="160"/>
    </row>
    <row r="78" spans="1:18" ht="15" thickBot="1" x14ac:dyDescent="0.35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4"/>
      <c r="P78" s="160"/>
      <c r="Q78" s="160"/>
      <c r="R78" s="160"/>
    </row>
    <row r="79" spans="1:18" x14ac:dyDescent="0.3">
      <c r="P79" s="160"/>
      <c r="Q79" s="160"/>
      <c r="R79" s="160"/>
    </row>
  </sheetData>
  <mergeCells count="1">
    <mergeCell ref="A1:O1"/>
  </mergeCells>
  <pageMargins left="0.23622047244094491" right="0.23622047244094491" top="0.74803149606299213" bottom="0.74803149606299213" header="0.31496062992125984" footer="0.31496062992125984"/>
  <pageSetup scale="41" fitToHeight="0" orientation="portrait" r:id="rId4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94F0-EC12-46A1-8085-6416A83208F7}">
  <sheetPr codeName="Sheet9">
    <pageSetUpPr fitToPage="1"/>
  </sheetPr>
  <dimension ref="A1:T91"/>
  <sheetViews>
    <sheetView topLeftCell="A56" zoomScale="58" zoomScaleNormal="50" workbookViewId="0">
      <selection activeCell="J81" sqref="J81"/>
    </sheetView>
  </sheetViews>
  <sheetFormatPr defaultRowHeight="14.4" x14ac:dyDescent="0.3"/>
  <cols>
    <col min="2" max="2" width="28.21875" bestFit="1" customWidth="1"/>
    <col min="3" max="3" width="35.77734375" bestFit="1" customWidth="1"/>
    <col min="4" max="4" width="29.44140625" bestFit="1" customWidth="1"/>
    <col min="5" max="5" width="36.5546875" bestFit="1" customWidth="1"/>
    <col min="6" max="6" width="23.33203125" bestFit="1" customWidth="1"/>
    <col min="7" max="7" width="30.88671875" customWidth="1"/>
    <col min="8" max="8" width="26" customWidth="1"/>
    <col min="9" max="9" width="33.6640625" bestFit="1" customWidth="1"/>
    <col min="10" max="11" width="13.33203125" bestFit="1" customWidth="1"/>
  </cols>
  <sheetData>
    <row r="1" spans="1:20" ht="29.4" thickBot="1" x14ac:dyDescent="0.6">
      <c r="A1" s="214" t="s">
        <v>339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6"/>
    </row>
    <row r="2" spans="1:20" x14ac:dyDescent="0.3">
      <c r="A2" s="9"/>
      <c r="T2" s="8"/>
    </row>
    <row r="3" spans="1:20" ht="15" thickBot="1" x14ac:dyDescent="0.35">
      <c r="A3" s="9"/>
      <c r="T3" s="8"/>
    </row>
    <row r="4" spans="1:20" ht="15" thickBot="1" x14ac:dyDescent="0.35">
      <c r="A4" s="9"/>
      <c r="B4" s="176" t="s">
        <v>208</v>
      </c>
      <c r="C4" s="181" t="s">
        <v>372</v>
      </c>
      <c r="D4" s="135" t="s">
        <v>371</v>
      </c>
      <c r="E4" s="136" t="s">
        <v>370</v>
      </c>
      <c r="F4" s="234" t="s">
        <v>341</v>
      </c>
      <c r="G4" s="237" t="s">
        <v>345</v>
      </c>
      <c r="H4" s="102" t="s">
        <v>452</v>
      </c>
      <c r="T4" s="8"/>
    </row>
    <row r="5" spans="1:20" x14ac:dyDescent="0.3">
      <c r="A5" s="9"/>
      <c r="B5" s="177" t="s">
        <v>36</v>
      </c>
      <c r="C5" s="172">
        <v>24890409</v>
      </c>
      <c r="D5" s="310">
        <v>70150425</v>
      </c>
      <c r="E5" s="173">
        <v>808366341</v>
      </c>
      <c r="F5" s="235">
        <f>$C5/$E5</f>
        <v>3.0791001229973282E-2</v>
      </c>
      <c r="G5" s="238">
        <f>$D5/$E5</f>
        <v>8.6780487313733903E-2</v>
      </c>
      <c r="H5" s="48">
        <f>G5+F5</f>
        <v>0.11757148854370719</v>
      </c>
      <c r="T5" s="8"/>
    </row>
    <row r="6" spans="1:20" x14ac:dyDescent="0.3">
      <c r="A6" s="9"/>
      <c r="B6" s="178" t="s">
        <v>67</v>
      </c>
      <c r="C6" s="174">
        <v>13640304</v>
      </c>
      <c r="D6" s="168">
        <v>34422086</v>
      </c>
      <c r="E6" s="169">
        <v>262562788</v>
      </c>
      <c r="F6" s="235">
        <f t="shared" ref="F6:F15" si="0">$C6/$E6</f>
        <v>5.1950636660668001E-2</v>
      </c>
      <c r="G6" s="238">
        <f t="shared" ref="G6:G15" si="1">$D6/$E6</f>
        <v>0.13110039797414094</v>
      </c>
      <c r="H6" s="48">
        <f t="shared" ref="H6:H15" si="2">G6+F6</f>
        <v>0.18305103463480893</v>
      </c>
      <c r="T6" s="8"/>
    </row>
    <row r="7" spans="1:20" x14ac:dyDescent="0.3">
      <c r="A7" s="9"/>
      <c r="B7" s="178" t="s">
        <v>26</v>
      </c>
      <c r="C7" s="174">
        <v>25729666</v>
      </c>
      <c r="D7" s="168">
        <v>53220652</v>
      </c>
      <c r="E7" s="169">
        <v>693593924</v>
      </c>
      <c r="F7" s="235">
        <f t="shared" si="0"/>
        <v>3.7096152532039774E-2</v>
      </c>
      <c r="G7" s="238">
        <f t="shared" si="1"/>
        <v>7.6731716006208844E-2</v>
      </c>
      <c r="H7" s="48">
        <f t="shared" si="2"/>
        <v>0.11382786853824861</v>
      </c>
      <c r="T7" s="8"/>
    </row>
    <row r="8" spans="1:20" x14ac:dyDescent="0.3">
      <c r="A8" s="9"/>
      <c r="B8" s="178" t="s">
        <v>39</v>
      </c>
      <c r="C8" s="174">
        <v>27249754</v>
      </c>
      <c r="D8" s="168">
        <v>44591246</v>
      </c>
      <c r="E8" s="169">
        <v>573358526</v>
      </c>
      <c r="F8" s="235">
        <f t="shared" si="0"/>
        <v>4.7526552347806193E-2</v>
      </c>
      <c r="G8" s="238">
        <f t="shared" si="1"/>
        <v>7.7772011713313216E-2</v>
      </c>
      <c r="H8" s="48">
        <f t="shared" si="2"/>
        <v>0.12529856406111942</v>
      </c>
      <c r="T8" s="8"/>
    </row>
    <row r="9" spans="1:20" x14ac:dyDescent="0.3">
      <c r="A9" s="9"/>
      <c r="B9" s="178" t="s">
        <v>50</v>
      </c>
      <c r="C9" s="174">
        <v>20962429</v>
      </c>
      <c r="D9" s="168">
        <v>44144035</v>
      </c>
      <c r="E9" s="169">
        <v>417295881</v>
      </c>
      <c r="F9" s="235">
        <f t="shared" si="0"/>
        <v>5.0233970557691653E-2</v>
      </c>
      <c r="G9" s="238">
        <f t="shared" si="1"/>
        <v>0.10578593513603361</v>
      </c>
      <c r="H9" s="48">
        <f t="shared" si="2"/>
        <v>0.15601990569372526</v>
      </c>
      <c r="T9" s="8"/>
    </row>
    <row r="10" spans="1:20" x14ac:dyDescent="0.3">
      <c r="A10" s="9"/>
      <c r="B10" s="178" t="s">
        <v>11</v>
      </c>
      <c r="C10" s="174">
        <v>22154036</v>
      </c>
      <c r="D10" s="168">
        <v>67169601</v>
      </c>
      <c r="E10" s="169">
        <v>515929887</v>
      </c>
      <c r="F10" s="235">
        <f t="shared" si="0"/>
        <v>4.2940012893651187E-2</v>
      </c>
      <c r="G10" s="238">
        <f t="shared" si="1"/>
        <v>0.13019133547500805</v>
      </c>
      <c r="H10" s="48">
        <f t="shared" si="2"/>
        <v>0.17313134836865923</v>
      </c>
      <c r="T10" s="8"/>
    </row>
    <row r="11" spans="1:20" x14ac:dyDescent="0.3">
      <c r="A11" s="9"/>
      <c r="B11" s="178" t="s">
        <v>43</v>
      </c>
      <c r="C11" s="174">
        <v>37397648</v>
      </c>
      <c r="D11" s="168">
        <v>64852790</v>
      </c>
      <c r="E11" s="169">
        <v>695292216</v>
      </c>
      <c r="F11" s="235">
        <f t="shared" si="0"/>
        <v>5.3786950492769506E-2</v>
      </c>
      <c r="G11" s="238">
        <f t="shared" si="1"/>
        <v>9.3274149354204763E-2</v>
      </c>
      <c r="H11" s="48">
        <f t="shared" si="2"/>
        <v>0.14706109984697427</v>
      </c>
      <c r="T11" s="8"/>
    </row>
    <row r="12" spans="1:20" x14ac:dyDescent="0.3">
      <c r="A12" s="9"/>
      <c r="B12" s="178" t="s">
        <v>45</v>
      </c>
      <c r="C12" s="174">
        <v>34776787</v>
      </c>
      <c r="D12" s="168">
        <v>33903753</v>
      </c>
      <c r="E12" s="169">
        <v>468868182</v>
      </c>
      <c r="F12" s="235">
        <f t="shared" si="0"/>
        <v>7.4171778625831339E-2</v>
      </c>
      <c r="G12" s="238">
        <f t="shared" si="1"/>
        <v>7.2309775543694277E-2</v>
      </c>
      <c r="H12" s="48">
        <f t="shared" si="2"/>
        <v>0.14648155416952563</v>
      </c>
      <c r="T12" s="8"/>
    </row>
    <row r="13" spans="1:20" x14ac:dyDescent="0.3">
      <c r="A13" s="9"/>
      <c r="B13" s="178" t="s">
        <v>23</v>
      </c>
      <c r="C13" s="174">
        <v>26610746</v>
      </c>
      <c r="D13" s="168">
        <v>33620520</v>
      </c>
      <c r="E13" s="169">
        <v>459482479</v>
      </c>
      <c r="F13" s="235">
        <f t="shared" si="0"/>
        <v>5.7914604399964507E-2</v>
      </c>
      <c r="G13" s="238">
        <f t="shared" si="1"/>
        <v>7.3170407004790272E-2</v>
      </c>
      <c r="H13" s="48">
        <f t="shared" si="2"/>
        <v>0.13108501140475479</v>
      </c>
      <c r="T13" s="8"/>
    </row>
    <row r="14" spans="1:20" ht="15" thickBot="1" x14ac:dyDescent="0.35">
      <c r="A14" s="9"/>
      <c r="B14" s="179" t="s">
        <v>15</v>
      </c>
      <c r="C14" s="174">
        <v>35162471</v>
      </c>
      <c r="D14" s="168">
        <v>74651155</v>
      </c>
      <c r="E14" s="169">
        <v>1069812715</v>
      </c>
      <c r="F14" s="235">
        <f t="shared" si="0"/>
        <v>3.2867875383216026E-2</v>
      </c>
      <c r="G14" s="238">
        <f t="shared" si="1"/>
        <v>6.9779648300403688E-2</v>
      </c>
      <c r="H14" s="48">
        <f t="shared" si="2"/>
        <v>0.10264752368361971</v>
      </c>
      <c r="T14" s="8"/>
    </row>
    <row r="15" spans="1:20" ht="15" thickBot="1" x14ac:dyDescent="0.35">
      <c r="A15" s="9"/>
      <c r="B15" s="180" t="s">
        <v>209</v>
      </c>
      <c r="C15" s="175">
        <v>268574250</v>
      </c>
      <c r="D15" s="170">
        <v>520726263</v>
      </c>
      <c r="E15" s="171">
        <v>5964562939</v>
      </c>
      <c r="F15" s="236">
        <f t="shared" si="0"/>
        <v>4.5028320221737542E-2</v>
      </c>
      <c r="G15" s="239">
        <f t="shared" si="1"/>
        <v>8.7303339460997179E-2</v>
      </c>
      <c r="H15" s="110">
        <f t="shared" si="2"/>
        <v>0.13233165968273472</v>
      </c>
      <c r="T15" s="8"/>
    </row>
    <row r="16" spans="1:20" x14ac:dyDescent="0.3">
      <c r="A16" s="9"/>
      <c r="T16" s="8"/>
    </row>
    <row r="17" spans="1:20" x14ac:dyDescent="0.3">
      <c r="A17" s="9"/>
      <c r="B17" s="150" t="s">
        <v>349</v>
      </c>
      <c r="C17" s="150"/>
      <c r="D17" s="150"/>
      <c r="T17" s="8"/>
    </row>
    <row r="18" spans="1:20" x14ac:dyDescent="0.3">
      <c r="A18" s="9"/>
      <c r="B18" s="38" t="s">
        <v>348</v>
      </c>
      <c r="C18" s="29"/>
      <c r="D18" s="43">
        <f>F15</f>
        <v>4.5028320221737542E-2</v>
      </c>
      <c r="T18" s="8"/>
    </row>
    <row r="19" spans="1:20" x14ac:dyDescent="0.3">
      <c r="A19" s="9"/>
      <c r="B19" s="38" t="s">
        <v>346</v>
      </c>
      <c r="C19" s="29" t="str">
        <f>INDEX(B5:B14,MATCH(MAX(F5:F14),Stage5!F5:F14,0))</f>
        <v>Supersonic Bengaluru</v>
      </c>
      <c r="D19" s="43">
        <f>INDEX(F5:F14,MATCH(C19,B5:B14,0))</f>
        <v>7.4171778625831339E-2</v>
      </c>
      <c r="T19" s="8"/>
    </row>
    <row r="20" spans="1:20" x14ac:dyDescent="0.3">
      <c r="A20" s="9"/>
      <c r="B20" s="38" t="s">
        <v>347</v>
      </c>
      <c r="C20" s="29" t="str">
        <f>INDEX(B5:B14,MATCH(MIN(F5:F14),F5:F14,0))</f>
        <v>Bollywood Music Project</v>
      </c>
      <c r="D20" s="43">
        <f>INDEX(F5:F14,MATCH(C20,B5:B14,0))</f>
        <v>3.0791001229973282E-2</v>
      </c>
      <c r="T20" s="8"/>
    </row>
    <row r="21" spans="1:20" x14ac:dyDescent="0.3">
      <c r="A21" s="9"/>
      <c r="T21" s="8"/>
    </row>
    <row r="22" spans="1:20" x14ac:dyDescent="0.3">
      <c r="A22" s="9"/>
      <c r="T22" s="8"/>
    </row>
    <row r="23" spans="1:20" x14ac:dyDescent="0.3">
      <c r="A23" s="9"/>
      <c r="T23" s="8"/>
    </row>
    <row r="24" spans="1:20" ht="15" thickBot="1" x14ac:dyDescent="0.35">
      <c r="A24" s="9"/>
      <c r="T24" s="8"/>
    </row>
    <row r="25" spans="1:20" ht="15" thickBot="1" x14ac:dyDescent="0.35">
      <c r="A25" s="9"/>
      <c r="B25" s="176" t="s">
        <v>208</v>
      </c>
      <c r="C25" s="181" t="s">
        <v>243</v>
      </c>
      <c r="D25" s="135" t="s">
        <v>353</v>
      </c>
      <c r="E25" s="135" t="s">
        <v>354</v>
      </c>
      <c r="F25" s="136" t="s">
        <v>355</v>
      </c>
      <c r="G25" s="101" t="s">
        <v>356</v>
      </c>
      <c r="H25" s="102" t="s">
        <v>352</v>
      </c>
      <c r="T25" s="8"/>
    </row>
    <row r="26" spans="1:20" x14ac:dyDescent="0.3">
      <c r="A26" s="9"/>
      <c r="B26" s="177" t="s">
        <v>36</v>
      </c>
      <c r="C26" s="256">
        <v>3273.6514035087716</v>
      </c>
      <c r="D26" s="312">
        <v>12</v>
      </c>
      <c r="E26" s="312">
        <v>24890409</v>
      </c>
      <c r="F26" s="313">
        <v>241064.86000000002</v>
      </c>
      <c r="G26" s="33">
        <f>E26/F26</f>
        <v>103.25191734705754</v>
      </c>
      <c r="H26" s="10" t="str">
        <f>IF($C26&gt;$C$36,"Premium Tier", "General Tier")</f>
        <v>Premium Tier</v>
      </c>
      <c r="T26" s="8"/>
    </row>
    <row r="27" spans="1:20" x14ac:dyDescent="0.3">
      <c r="A27" s="9"/>
      <c r="B27" s="178" t="s">
        <v>67</v>
      </c>
      <c r="C27" s="314">
        <v>2723.8433684210527</v>
      </c>
      <c r="D27" s="218">
        <v>5</v>
      </c>
      <c r="E27" s="218">
        <v>13640304</v>
      </c>
      <c r="F27" s="217">
        <v>78395.100000000006</v>
      </c>
      <c r="G27" s="33">
        <f t="shared" ref="G27:G36" si="3">E27/F27</f>
        <v>173.99434403425724</v>
      </c>
      <c r="H27" s="10" t="str">
        <f t="shared" ref="H27:H36" si="4">IF($C27&gt;$C$36,"Premium Tier", "General Tier")</f>
        <v>General Tier</v>
      </c>
      <c r="T27" s="8"/>
    </row>
    <row r="28" spans="1:20" x14ac:dyDescent="0.3">
      <c r="A28" s="9"/>
      <c r="B28" s="178" t="s">
        <v>26</v>
      </c>
      <c r="C28" s="314">
        <v>3627.1292105263155</v>
      </c>
      <c r="D28" s="218">
        <v>8</v>
      </c>
      <c r="E28" s="218">
        <v>25729666</v>
      </c>
      <c r="F28" s="217">
        <v>177893.1</v>
      </c>
      <c r="G28" s="33">
        <f t="shared" si="3"/>
        <v>144.63554797797104</v>
      </c>
      <c r="H28" s="10" t="str">
        <f t="shared" si="4"/>
        <v>Premium Tier</v>
      </c>
      <c r="T28" s="8"/>
    </row>
    <row r="29" spans="1:20" x14ac:dyDescent="0.3">
      <c r="A29" s="9"/>
      <c r="B29" s="178" t="s">
        <v>39</v>
      </c>
      <c r="C29" s="314">
        <v>3106.5271052631579</v>
      </c>
      <c r="D29" s="218">
        <v>8</v>
      </c>
      <c r="E29" s="218">
        <v>27249754</v>
      </c>
      <c r="F29" s="217">
        <v>162704.20000000001</v>
      </c>
      <c r="G29" s="33">
        <f t="shared" si="3"/>
        <v>167.48033547996917</v>
      </c>
      <c r="H29" s="10" t="str">
        <f t="shared" si="4"/>
        <v>Premium Tier</v>
      </c>
      <c r="T29" s="8"/>
    </row>
    <row r="30" spans="1:20" x14ac:dyDescent="0.3">
      <c r="A30" s="9"/>
      <c r="B30" s="178" t="s">
        <v>50</v>
      </c>
      <c r="C30" s="314">
        <v>2491.4024060150373</v>
      </c>
      <c r="D30" s="218">
        <v>7</v>
      </c>
      <c r="E30" s="218">
        <v>20962429</v>
      </c>
      <c r="F30" s="217">
        <v>129417.18000000001</v>
      </c>
      <c r="G30" s="33">
        <f t="shared" si="3"/>
        <v>161.97562796531341</v>
      </c>
      <c r="H30" s="10" t="str">
        <f t="shared" si="4"/>
        <v>General Tier</v>
      </c>
      <c r="T30" s="8"/>
    </row>
    <row r="31" spans="1:20" x14ac:dyDescent="0.3">
      <c r="A31" s="9"/>
      <c r="B31" s="178" t="s">
        <v>11</v>
      </c>
      <c r="C31" s="314">
        <v>2563.7777777777774</v>
      </c>
      <c r="D31" s="218">
        <v>9</v>
      </c>
      <c r="E31" s="218">
        <v>22154036</v>
      </c>
      <c r="F31" s="217">
        <v>191933.9</v>
      </c>
      <c r="G31" s="33">
        <f t="shared" si="3"/>
        <v>115.4253417452571</v>
      </c>
      <c r="H31" s="10" t="str">
        <f t="shared" si="4"/>
        <v>General Tier</v>
      </c>
      <c r="T31" s="8"/>
    </row>
    <row r="32" spans="1:20" x14ac:dyDescent="0.3">
      <c r="A32" s="9"/>
      <c r="B32" s="178" t="s">
        <v>43</v>
      </c>
      <c r="C32" s="314">
        <v>2921.0166801619439</v>
      </c>
      <c r="D32" s="218">
        <v>13</v>
      </c>
      <c r="E32" s="218">
        <v>37397648</v>
      </c>
      <c r="F32" s="217">
        <v>248284.94000000003</v>
      </c>
      <c r="G32" s="33">
        <f t="shared" si="3"/>
        <v>150.62390815971358</v>
      </c>
      <c r="H32" s="10" t="str">
        <f t="shared" si="4"/>
        <v>Premium Tier</v>
      </c>
      <c r="T32" s="8"/>
    </row>
    <row r="33" spans="1:20" x14ac:dyDescent="0.3">
      <c r="A33" s="9"/>
      <c r="B33" s="178" t="s">
        <v>45</v>
      </c>
      <c r="C33" s="314">
        <v>2358.9800000000005</v>
      </c>
      <c r="D33" s="218">
        <v>10</v>
      </c>
      <c r="E33" s="218">
        <v>34776787</v>
      </c>
      <c r="F33" s="217">
        <v>201201.86000000002</v>
      </c>
      <c r="G33" s="33">
        <f t="shared" si="3"/>
        <v>172.84525600310056</v>
      </c>
      <c r="H33" s="10" t="str">
        <f t="shared" si="4"/>
        <v>General Tier</v>
      </c>
      <c r="T33" s="8"/>
    </row>
    <row r="34" spans="1:20" x14ac:dyDescent="0.3">
      <c r="A34" s="9"/>
      <c r="B34" s="178" t="s">
        <v>23</v>
      </c>
      <c r="C34" s="314">
        <v>3410.3249999999998</v>
      </c>
      <c r="D34" s="218">
        <v>8</v>
      </c>
      <c r="E34" s="218">
        <v>26610746</v>
      </c>
      <c r="F34" s="217">
        <v>112776.8</v>
      </c>
      <c r="G34" s="33">
        <f t="shared" si="3"/>
        <v>235.95939945095091</v>
      </c>
      <c r="H34" s="10" t="str">
        <f t="shared" si="4"/>
        <v>Premium Tier</v>
      </c>
      <c r="T34" s="8"/>
    </row>
    <row r="35" spans="1:20" ht="15" thickBot="1" x14ac:dyDescent="0.35">
      <c r="A35" s="9"/>
      <c r="B35" s="179" t="s">
        <v>15</v>
      </c>
      <c r="C35" s="314">
        <v>2664.504210526316</v>
      </c>
      <c r="D35" s="218">
        <v>12</v>
      </c>
      <c r="E35" s="218">
        <v>35162471</v>
      </c>
      <c r="F35" s="217">
        <v>258637.78</v>
      </c>
      <c r="G35" s="33">
        <f t="shared" si="3"/>
        <v>135.95257042493947</v>
      </c>
      <c r="H35" s="10" t="str">
        <f t="shared" si="4"/>
        <v>General Tier</v>
      </c>
      <c r="T35" s="8"/>
    </row>
    <row r="36" spans="1:20" ht="15" thickBot="1" x14ac:dyDescent="0.35">
      <c r="A36" s="9"/>
      <c r="B36" s="180" t="s">
        <v>209</v>
      </c>
      <c r="C36" s="315">
        <v>2914.1931350114419</v>
      </c>
      <c r="D36" s="99">
        <v>92</v>
      </c>
      <c r="E36" s="99">
        <v>268574250</v>
      </c>
      <c r="F36" s="311">
        <v>1802309.7199999995</v>
      </c>
      <c r="G36" s="106">
        <f t="shared" si="3"/>
        <v>149.0167017464679</v>
      </c>
      <c r="H36" s="107" t="str">
        <f t="shared" si="4"/>
        <v>General Tier</v>
      </c>
      <c r="T36" s="8"/>
    </row>
    <row r="37" spans="1:20" x14ac:dyDescent="0.3">
      <c r="A37" s="9"/>
      <c r="T37" s="8"/>
    </row>
    <row r="38" spans="1:20" x14ac:dyDescent="0.3">
      <c r="A38" s="9"/>
      <c r="B38" s="39" t="s">
        <v>350</v>
      </c>
      <c r="T38" s="8"/>
    </row>
    <row r="39" spans="1:20" x14ac:dyDescent="0.3">
      <c r="A39" s="9"/>
      <c r="B39" s="39" t="s">
        <v>351</v>
      </c>
      <c r="T39" s="8"/>
    </row>
    <row r="40" spans="1:20" ht="15" thickBot="1" x14ac:dyDescent="0.35">
      <c r="A40" s="9"/>
      <c r="T40" s="8"/>
    </row>
    <row r="41" spans="1:20" x14ac:dyDescent="0.3">
      <c r="A41" s="9"/>
      <c r="B41" s="152" t="s">
        <v>357</v>
      </c>
      <c r="C41" s="153"/>
      <c r="D41" s="153"/>
      <c r="E41" s="153"/>
      <c r="F41" s="154"/>
      <c r="I41" s="19"/>
      <c r="J41" s="19"/>
      <c r="K41" s="19"/>
      <c r="T41" s="8"/>
    </row>
    <row r="42" spans="1:20" x14ac:dyDescent="0.3">
      <c r="A42" s="9"/>
      <c r="B42" s="53"/>
      <c r="C42" s="29" t="s">
        <v>317</v>
      </c>
      <c r="D42" s="29" t="s">
        <v>360</v>
      </c>
      <c r="E42" s="29" t="s">
        <v>363</v>
      </c>
      <c r="F42" s="94" t="s">
        <v>361</v>
      </c>
      <c r="I42" s="19"/>
      <c r="J42" s="19"/>
      <c r="K42" s="19"/>
      <c r="T42" s="8"/>
    </row>
    <row r="43" spans="1:20" x14ac:dyDescent="0.3">
      <c r="A43" s="9"/>
      <c r="B43" s="53" t="s">
        <v>358</v>
      </c>
      <c r="C43" s="29">
        <f>SUMIF($H$26:$H$35,"Premium Tier",$D$26:$D$35)</f>
        <v>49</v>
      </c>
      <c r="D43" s="41">
        <f>SUMIF($H$26:$H$35,"Premium Tier",$E$26:$E$35)</f>
        <v>141878223</v>
      </c>
      <c r="E43" s="42">
        <f>D43/C43</f>
        <v>2895473.9387755101</v>
      </c>
      <c r="F43" s="111">
        <f>AVERAGEIF($H$26:$H$35,"Premium Tier",$G$26:$G$35)</f>
        <v>160.39022168313244</v>
      </c>
      <c r="I43" s="19"/>
      <c r="J43" s="44"/>
      <c r="K43" s="44"/>
      <c r="T43" s="8"/>
    </row>
    <row r="44" spans="1:20" ht="15" thickBot="1" x14ac:dyDescent="0.35">
      <c r="A44" s="9"/>
      <c r="B44" s="56" t="s">
        <v>359</v>
      </c>
      <c r="C44" s="95">
        <f>SUMIF($H$26:$H$35,"General Tier",$D$26:$D$35)</f>
        <v>43</v>
      </c>
      <c r="D44" s="112">
        <f>SUMIF($H$26:$H$35,"General Tier",$E$26:$E$35)</f>
        <v>126696027</v>
      </c>
      <c r="E44" s="113">
        <f>D44/C44</f>
        <v>2946419.2325581396</v>
      </c>
      <c r="F44" s="114">
        <f>AVERAGEIF($H$26:$H$35,"General Tier",$G$26:$G$35)</f>
        <v>152.03862803457355</v>
      </c>
      <c r="I44" s="19"/>
      <c r="J44" s="45"/>
      <c r="K44" s="45"/>
      <c r="T44" s="8"/>
    </row>
    <row r="45" spans="1:20" ht="15" thickBot="1" x14ac:dyDescent="0.35">
      <c r="A45" s="9"/>
      <c r="I45" s="19"/>
      <c r="J45" s="45"/>
      <c r="K45" s="45"/>
      <c r="T45" s="8"/>
    </row>
    <row r="46" spans="1:20" x14ac:dyDescent="0.3">
      <c r="A46" s="9"/>
      <c r="B46" s="90" t="s">
        <v>362</v>
      </c>
      <c r="C46" s="92"/>
      <c r="T46" s="8"/>
    </row>
    <row r="47" spans="1:20" ht="28.8" x14ac:dyDescent="0.3">
      <c r="A47" s="9"/>
      <c r="B47" s="116" t="s">
        <v>364</v>
      </c>
      <c r="C47" s="111">
        <f>E43</f>
        <v>2895473.9387755101</v>
      </c>
      <c r="T47" s="8"/>
    </row>
    <row r="48" spans="1:20" ht="28.8" x14ac:dyDescent="0.3">
      <c r="A48" s="9"/>
      <c r="B48" s="116" t="s">
        <v>365</v>
      </c>
      <c r="C48" s="111">
        <f>E44</f>
        <v>2946419.2325581396</v>
      </c>
      <c r="T48" s="8"/>
    </row>
    <row r="49" spans="1:20" x14ac:dyDescent="0.3">
      <c r="A49" s="9"/>
      <c r="B49" s="53" t="s">
        <v>366</v>
      </c>
      <c r="C49" s="111">
        <f>C47-C48</f>
        <v>-50945.293782629538</v>
      </c>
      <c r="T49" s="8"/>
    </row>
    <row r="50" spans="1:20" x14ac:dyDescent="0.3">
      <c r="A50" s="9"/>
      <c r="B50" s="53" t="s">
        <v>367</v>
      </c>
      <c r="C50" s="94" t="str">
        <f>IF(E43&gt;E44,"Premium Tier", "General Tier")</f>
        <v>General Tier</v>
      </c>
      <c r="T50" s="8"/>
    </row>
    <row r="51" spans="1:20" ht="15" thickBot="1" x14ac:dyDescent="0.35">
      <c r="A51" s="9"/>
      <c r="B51" s="56" t="s">
        <v>368</v>
      </c>
      <c r="C51" s="114">
        <f>C48-C47</f>
        <v>50945.293782629538</v>
      </c>
      <c r="T51" s="8"/>
    </row>
    <row r="52" spans="1:20" x14ac:dyDescent="0.3">
      <c r="A52" s="9"/>
      <c r="T52" s="8"/>
    </row>
    <row r="53" spans="1:20" x14ac:dyDescent="0.3">
      <c r="A53" s="9"/>
      <c r="B53" s="19" t="s">
        <v>373</v>
      </c>
      <c r="T53" s="8"/>
    </row>
    <row r="54" spans="1:20" x14ac:dyDescent="0.3">
      <c r="A54" s="9"/>
      <c r="B54" s="19" t="s">
        <v>374</v>
      </c>
      <c r="T54" s="8"/>
    </row>
    <row r="55" spans="1:20" x14ac:dyDescent="0.3">
      <c r="A55" s="9"/>
      <c r="T55" s="8"/>
    </row>
    <row r="56" spans="1:20" x14ac:dyDescent="0.3">
      <c r="A56" s="9"/>
      <c r="T56" s="8"/>
    </row>
    <row r="57" spans="1:20" ht="15" thickBot="1" x14ac:dyDescent="0.35">
      <c r="A57" s="9"/>
      <c r="T57" s="8"/>
    </row>
    <row r="58" spans="1:20" ht="15" thickBot="1" x14ac:dyDescent="0.35">
      <c r="A58" s="9"/>
      <c r="B58" s="176" t="s">
        <v>208</v>
      </c>
      <c r="C58" s="181" t="s">
        <v>353</v>
      </c>
      <c r="D58" s="135" t="s">
        <v>377</v>
      </c>
      <c r="E58" s="135" t="s">
        <v>370</v>
      </c>
      <c r="F58" s="136" t="s">
        <v>355</v>
      </c>
      <c r="G58" s="101" t="s">
        <v>375</v>
      </c>
      <c r="H58" s="101" t="s">
        <v>376</v>
      </c>
      <c r="I58" s="102" t="s">
        <v>342</v>
      </c>
      <c r="T58" s="8"/>
    </row>
    <row r="59" spans="1:20" x14ac:dyDescent="0.3">
      <c r="A59" s="9"/>
      <c r="B59" s="177" t="s">
        <v>36</v>
      </c>
      <c r="C59" s="256">
        <v>12</v>
      </c>
      <c r="D59" s="312">
        <v>70150425</v>
      </c>
      <c r="E59" s="312">
        <v>808366341</v>
      </c>
      <c r="F59" s="313">
        <v>241064.86000000002</v>
      </c>
      <c r="G59" s="33">
        <f>$D59/$F59</f>
        <v>291.00228461336087</v>
      </c>
      <c r="H59" s="28">
        <f>$D59/$C59</f>
        <v>5845868.75</v>
      </c>
      <c r="I59" s="48">
        <f>D59/E59</f>
        <v>8.6780487313733903E-2</v>
      </c>
      <c r="T59" s="8"/>
    </row>
    <row r="60" spans="1:20" x14ac:dyDescent="0.3">
      <c r="A60" s="9"/>
      <c r="B60" s="178" t="s">
        <v>67</v>
      </c>
      <c r="C60" s="314">
        <v>5</v>
      </c>
      <c r="D60" s="218">
        <v>34422086</v>
      </c>
      <c r="E60" s="218">
        <v>262562788</v>
      </c>
      <c r="F60" s="217">
        <v>78395.100000000006</v>
      </c>
      <c r="G60" s="33">
        <f t="shared" ref="G60:G69" si="5">$D60/$F60</f>
        <v>439.08466217914128</v>
      </c>
      <c r="H60" s="28">
        <f t="shared" ref="H60:H69" si="6">$D60/$C60</f>
        <v>6884417.2000000002</v>
      </c>
      <c r="I60" s="48">
        <f t="shared" ref="I60:I69" si="7">D60/E60</f>
        <v>0.13110039797414094</v>
      </c>
      <c r="T60" s="8"/>
    </row>
    <row r="61" spans="1:20" x14ac:dyDescent="0.3">
      <c r="A61" s="9"/>
      <c r="B61" s="178" t="s">
        <v>26</v>
      </c>
      <c r="C61" s="314">
        <v>8</v>
      </c>
      <c r="D61" s="218">
        <v>53220652</v>
      </c>
      <c r="E61" s="218">
        <v>693593924</v>
      </c>
      <c r="F61" s="217">
        <v>177893.1</v>
      </c>
      <c r="G61" s="33">
        <f t="shared" si="5"/>
        <v>299.17209829948433</v>
      </c>
      <c r="H61" s="28">
        <f t="shared" si="6"/>
        <v>6652581.5</v>
      </c>
      <c r="I61" s="48">
        <f t="shared" si="7"/>
        <v>7.6731716006208844E-2</v>
      </c>
      <c r="T61" s="8"/>
    </row>
    <row r="62" spans="1:20" x14ac:dyDescent="0.3">
      <c r="A62" s="9"/>
      <c r="B62" s="178" t="s">
        <v>39</v>
      </c>
      <c r="C62" s="314">
        <v>8</v>
      </c>
      <c r="D62" s="218">
        <v>44591246</v>
      </c>
      <c r="E62" s="218">
        <v>573358526</v>
      </c>
      <c r="F62" s="217">
        <v>162704.20000000001</v>
      </c>
      <c r="G62" s="33">
        <f t="shared" si="5"/>
        <v>274.063275563876</v>
      </c>
      <c r="H62" s="28">
        <f t="shared" si="6"/>
        <v>5573905.75</v>
      </c>
      <c r="I62" s="48">
        <f t="shared" si="7"/>
        <v>7.7772011713313216E-2</v>
      </c>
      <c r="T62" s="8"/>
    </row>
    <row r="63" spans="1:20" x14ac:dyDescent="0.3">
      <c r="A63" s="9"/>
      <c r="B63" s="178" t="s">
        <v>50</v>
      </c>
      <c r="C63" s="314">
        <v>7</v>
      </c>
      <c r="D63" s="218">
        <v>44144035</v>
      </c>
      <c r="E63" s="218">
        <v>417295881</v>
      </c>
      <c r="F63" s="217">
        <v>129417.18000000001</v>
      </c>
      <c r="G63" s="33">
        <f t="shared" si="5"/>
        <v>341.09872429610965</v>
      </c>
      <c r="H63" s="28">
        <f t="shared" si="6"/>
        <v>6306290.7142857146</v>
      </c>
      <c r="I63" s="48">
        <f t="shared" si="7"/>
        <v>0.10578593513603361</v>
      </c>
      <c r="T63" s="8"/>
    </row>
    <row r="64" spans="1:20" x14ac:dyDescent="0.3">
      <c r="A64" s="9"/>
      <c r="B64" s="178" t="s">
        <v>11</v>
      </c>
      <c r="C64" s="314">
        <v>9</v>
      </c>
      <c r="D64" s="218">
        <v>67169601</v>
      </c>
      <c r="E64" s="218">
        <v>515929887</v>
      </c>
      <c r="F64" s="217">
        <v>191933.9</v>
      </c>
      <c r="G64" s="33">
        <f t="shared" si="5"/>
        <v>349.96215363726782</v>
      </c>
      <c r="H64" s="28">
        <f t="shared" si="6"/>
        <v>7463289</v>
      </c>
      <c r="I64" s="48">
        <f t="shared" si="7"/>
        <v>0.13019133547500805</v>
      </c>
      <c r="T64" s="8"/>
    </row>
    <row r="65" spans="1:20" x14ac:dyDescent="0.3">
      <c r="A65" s="9"/>
      <c r="B65" s="178" t="s">
        <v>43</v>
      </c>
      <c r="C65" s="314">
        <v>13</v>
      </c>
      <c r="D65" s="218">
        <v>64852790</v>
      </c>
      <c r="E65" s="218">
        <v>695292216</v>
      </c>
      <c r="F65" s="217">
        <v>248284.94000000003</v>
      </c>
      <c r="G65" s="33">
        <f t="shared" si="5"/>
        <v>261.20307578864828</v>
      </c>
      <c r="H65" s="28">
        <f t="shared" si="6"/>
        <v>4988676.153846154</v>
      </c>
      <c r="I65" s="48">
        <f t="shared" si="7"/>
        <v>9.3274149354204763E-2</v>
      </c>
      <c r="T65" s="8"/>
    </row>
    <row r="66" spans="1:20" x14ac:dyDescent="0.3">
      <c r="A66" s="9"/>
      <c r="B66" s="178" t="s">
        <v>45</v>
      </c>
      <c r="C66" s="314">
        <v>10</v>
      </c>
      <c r="D66" s="218">
        <v>33903753</v>
      </c>
      <c r="E66" s="218">
        <v>468868182</v>
      </c>
      <c r="F66" s="217">
        <v>201201.86000000002</v>
      </c>
      <c r="G66" s="33">
        <f t="shared" si="5"/>
        <v>168.50616092714051</v>
      </c>
      <c r="H66" s="28">
        <f t="shared" si="6"/>
        <v>3390375.3</v>
      </c>
      <c r="I66" s="48">
        <f t="shared" si="7"/>
        <v>7.2309775543694277E-2</v>
      </c>
      <c r="T66" s="8"/>
    </row>
    <row r="67" spans="1:20" x14ac:dyDescent="0.3">
      <c r="A67" s="9"/>
      <c r="B67" s="178" t="s">
        <v>23</v>
      </c>
      <c r="C67" s="314">
        <v>8</v>
      </c>
      <c r="D67" s="218">
        <v>33620520</v>
      </c>
      <c r="E67" s="218">
        <v>459482479</v>
      </c>
      <c r="F67" s="217">
        <v>112776.8</v>
      </c>
      <c r="G67" s="33">
        <f t="shared" si="5"/>
        <v>298.11556986898012</v>
      </c>
      <c r="H67" s="28">
        <f t="shared" si="6"/>
        <v>4202565</v>
      </c>
      <c r="I67" s="48">
        <f t="shared" si="7"/>
        <v>7.3170407004790272E-2</v>
      </c>
      <c r="T67" s="8"/>
    </row>
    <row r="68" spans="1:20" ht="15" thickBot="1" x14ac:dyDescent="0.35">
      <c r="A68" s="9"/>
      <c r="B68" s="179" t="s">
        <v>15</v>
      </c>
      <c r="C68" s="314">
        <v>12</v>
      </c>
      <c r="D68" s="218">
        <v>74651155</v>
      </c>
      <c r="E68" s="218">
        <v>1069812715</v>
      </c>
      <c r="F68" s="217">
        <v>258637.78</v>
      </c>
      <c r="G68" s="33">
        <f t="shared" si="5"/>
        <v>288.63205909051646</v>
      </c>
      <c r="H68" s="28">
        <f t="shared" si="6"/>
        <v>6220929.583333333</v>
      </c>
      <c r="I68" s="48">
        <f t="shared" si="7"/>
        <v>6.9779648300403688E-2</v>
      </c>
      <c r="T68" s="8"/>
    </row>
    <row r="69" spans="1:20" ht="15" thickBot="1" x14ac:dyDescent="0.35">
      <c r="A69" s="9"/>
      <c r="B69" s="180" t="s">
        <v>209</v>
      </c>
      <c r="C69" s="315">
        <v>92</v>
      </c>
      <c r="D69" s="99">
        <v>520726263</v>
      </c>
      <c r="E69" s="99">
        <v>5964562939</v>
      </c>
      <c r="F69" s="311">
        <v>1802309.7199999995</v>
      </c>
      <c r="G69" s="106">
        <f t="shared" si="5"/>
        <v>288.92163051753397</v>
      </c>
      <c r="H69" s="115">
        <f t="shared" si="6"/>
        <v>5660068.0760869561</v>
      </c>
      <c r="I69" s="110">
        <f t="shared" si="7"/>
        <v>8.7303339460997179E-2</v>
      </c>
      <c r="T69" s="8"/>
    </row>
    <row r="70" spans="1:20" x14ac:dyDescent="0.3">
      <c r="A70" s="9"/>
      <c r="T70" s="8"/>
    </row>
    <row r="71" spans="1:20" ht="15" thickBot="1" x14ac:dyDescent="0.35">
      <c r="A71" s="9"/>
      <c r="T71" s="8"/>
    </row>
    <row r="72" spans="1:20" x14ac:dyDescent="0.3">
      <c r="A72" s="9"/>
      <c r="B72" s="117" t="s">
        <v>380</v>
      </c>
      <c r="C72" s="82"/>
      <c r="D72" s="83"/>
      <c r="T72" s="8"/>
    </row>
    <row r="73" spans="1:20" x14ac:dyDescent="0.3">
      <c r="A73" s="9"/>
      <c r="B73" s="149" t="s">
        <v>381</v>
      </c>
      <c r="C73" s="150"/>
      <c r="D73" s="151"/>
      <c r="T73" s="8"/>
    </row>
    <row r="74" spans="1:20" x14ac:dyDescent="0.3">
      <c r="A74" s="9"/>
      <c r="B74" s="118" t="s">
        <v>382</v>
      </c>
      <c r="C74" s="29"/>
      <c r="D74" s="119">
        <f>G15</f>
        <v>8.7303339460997179E-2</v>
      </c>
      <c r="T74" s="8"/>
    </row>
    <row r="75" spans="1:20" x14ac:dyDescent="0.3">
      <c r="A75" s="9"/>
      <c r="B75" s="118" t="s">
        <v>378</v>
      </c>
      <c r="C75" s="29" t="str">
        <f>INDEX(B59:B68,MATCH(MAX(G59:G68),Stage5!G59:G68,0))</f>
        <v>Goa Tribal Festival</v>
      </c>
      <c r="D75" s="120">
        <f>INDEX(I59:I68,MATCH(C75,B59:B68,0))</f>
        <v>0.13110039797414094</v>
      </c>
      <c r="T75" s="8"/>
    </row>
    <row r="76" spans="1:20" x14ac:dyDescent="0.3">
      <c r="A76" s="9"/>
      <c r="B76" s="118" t="s">
        <v>379</v>
      </c>
      <c r="C76" s="29" t="str">
        <f>INDEX(B59:B68,MATCH(MIN(G59:G68),G59:G68,0))</f>
        <v>Supersonic Bengaluru</v>
      </c>
      <c r="D76" s="120">
        <f>INDEX(I59:I68,MATCH(C76,B59:B68,0))</f>
        <v>7.2309775543694277E-2</v>
      </c>
      <c r="T76" s="8"/>
    </row>
    <row r="77" spans="1:20" ht="15" thickBot="1" x14ac:dyDescent="0.35">
      <c r="A77" s="9"/>
      <c r="B77" s="121" t="s">
        <v>369</v>
      </c>
      <c r="C77" s="61"/>
      <c r="D77" s="122">
        <f>GETPIVOTDATA("Total Merchandise(Rs)",$B$58)</f>
        <v>520726263</v>
      </c>
      <c r="T77" s="8"/>
    </row>
    <row r="78" spans="1:20" x14ac:dyDescent="0.3">
      <c r="A78" s="9"/>
      <c r="T78" s="8"/>
    </row>
    <row r="79" spans="1:20" x14ac:dyDescent="0.3">
      <c r="A79" s="9"/>
      <c r="B79" s="39" t="s">
        <v>383</v>
      </c>
      <c r="T79" s="8"/>
    </row>
    <row r="80" spans="1:20" x14ac:dyDescent="0.3">
      <c r="A80" s="9"/>
      <c r="B80" s="39" t="s">
        <v>384</v>
      </c>
      <c r="T80" s="8"/>
    </row>
    <row r="81" spans="1:20" x14ac:dyDescent="0.3">
      <c r="A81" s="9"/>
      <c r="T81" s="8"/>
    </row>
    <row r="82" spans="1:20" ht="15" thickBot="1" x14ac:dyDescent="0.35">
      <c r="A82" s="9"/>
      <c r="T82" s="8"/>
    </row>
    <row r="83" spans="1:20" ht="15" thickBot="1" x14ac:dyDescent="0.35">
      <c r="A83" s="9"/>
      <c r="B83" s="141" t="s">
        <v>385</v>
      </c>
      <c r="C83" s="142"/>
      <c r="D83" s="143"/>
      <c r="T83" s="8"/>
    </row>
    <row r="84" spans="1:20" x14ac:dyDescent="0.3">
      <c r="A84" s="9"/>
      <c r="B84" s="50" t="s">
        <v>241</v>
      </c>
      <c r="C84" s="51">
        <f>GETPIVOTDATA("Total Revenue(Rs)",$B$4)</f>
        <v>5964562939</v>
      </c>
      <c r="D84" s="52">
        <v>1</v>
      </c>
      <c r="T84" s="8"/>
    </row>
    <row r="85" spans="1:20" x14ac:dyDescent="0.3">
      <c r="A85" s="9"/>
      <c r="B85" s="53" t="s">
        <v>343</v>
      </c>
      <c r="C85" s="54">
        <f>GETPIVOTDATA("Total Sponsorship Revenue(Rs)",$B$4)</f>
        <v>268574250</v>
      </c>
      <c r="D85" s="55">
        <f>C85/C84</f>
        <v>4.5028320221737542E-2</v>
      </c>
      <c r="T85" s="8"/>
    </row>
    <row r="86" spans="1:20" x14ac:dyDescent="0.3">
      <c r="A86" s="9"/>
      <c r="B86" s="53" t="s">
        <v>386</v>
      </c>
      <c r="C86" s="54">
        <f>GETPIVOTDATA("Total Merchandise Revenue(Rs)",$B$4)</f>
        <v>520726263</v>
      </c>
      <c r="D86" s="55">
        <f>C86/C84</f>
        <v>8.7303339460997179E-2</v>
      </c>
      <c r="T86" s="8"/>
    </row>
    <row r="87" spans="1:20" x14ac:dyDescent="0.3">
      <c r="A87" s="9"/>
      <c r="B87" s="53" t="s">
        <v>387</v>
      </c>
      <c r="C87" s="54">
        <f>C86+C85</f>
        <v>789300513</v>
      </c>
      <c r="D87" s="55">
        <f>D86+D85</f>
        <v>0.13233165968273472</v>
      </c>
      <c r="T87" s="8"/>
    </row>
    <row r="88" spans="1:20" ht="15" thickBot="1" x14ac:dyDescent="0.35">
      <c r="A88" s="9"/>
      <c r="B88" s="56" t="s">
        <v>388</v>
      </c>
      <c r="C88" s="57">
        <f>C84-(C85+C86)</f>
        <v>5175262426</v>
      </c>
      <c r="D88" s="58">
        <f>D84-D87</f>
        <v>0.86766834031726525</v>
      </c>
      <c r="T88" s="8"/>
    </row>
    <row r="89" spans="1:20" x14ac:dyDescent="0.3">
      <c r="A89" s="9"/>
      <c r="T89" s="8"/>
    </row>
    <row r="90" spans="1:20" x14ac:dyDescent="0.3">
      <c r="A90" s="9"/>
      <c r="E90" t="s">
        <v>389</v>
      </c>
      <c r="T90" s="8"/>
    </row>
    <row r="91" spans="1:20" ht="15" thickBot="1" x14ac:dyDescent="0.35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4"/>
    </row>
  </sheetData>
  <mergeCells count="5">
    <mergeCell ref="B73:D73"/>
    <mergeCell ref="B83:D83"/>
    <mergeCell ref="A1:T1"/>
    <mergeCell ref="B17:D17"/>
    <mergeCell ref="B41:F41"/>
  </mergeCells>
  <pageMargins left="0.70866141732283472" right="0.70866141732283472" top="0.74803149606299213" bottom="0.74803149606299213" header="0.31496062992125984" footer="0.31496062992125984"/>
  <pageSetup scale="25" fitToHeight="0" orientation="portrait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313-56FC-4108-9F27-8F4E3CBB0F47}">
  <sheetPr codeName="Sheet10">
    <pageSetUpPr fitToPage="1"/>
  </sheetPr>
  <dimension ref="A1:V96"/>
  <sheetViews>
    <sheetView zoomScale="61" zoomScaleNormal="47" workbookViewId="0">
      <selection activeCell="F30" sqref="F30"/>
    </sheetView>
  </sheetViews>
  <sheetFormatPr defaultRowHeight="14.4" x14ac:dyDescent="0.3"/>
  <cols>
    <col min="2" max="2" width="13.6640625" bestFit="1" customWidth="1"/>
    <col min="3" max="3" width="16.5546875" bestFit="1" customWidth="1"/>
    <col min="4" max="4" width="18.6640625" bestFit="1" customWidth="1"/>
    <col min="5" max="5" width="11.5546875" customWidth="1"/>
    <col min="6" max="6" width="8.88671875" bestFit="1" customWidth="1"/>
    <col min="7" max="7" width="15.6640625" bestFit="1" customWidth="1"/>
    <col min="8" max="8" width="8.88671875" bestFit="1" customWidth="1"/>
    <col min="9" max="9" width="8.44140625" bestFit="1" customWidth="1"/>
    <col min="10" max="10" width="11" bestFit="1" customWidth="1"/>
    <col min="11" max="11" width="17.6640625" bestFit="1" customWidth="1"/>
    <col min="12" max="12" width="20" bestFit="1" customWidth="1"/>
    <col min="13" max="13" width="11" bestFit="1" customWidth="1"/>
    <col min="14" max="14" width="11.5546875" bestFit="1" customWidth="1"/>
    <col min="15" max="15" width="19" bestFit="1" customWidth="1"/>
    <col min="16" max="16" width="20" bestFit="1" customWidth="1"/>
    <col min="17" max="17" width="13.77734375" bestFit="1" customWidth="1"/>
    <col min="18" max="18" width="21.44140625" bestFit="1" customWidth="1"/>
    <col min="19" max="19" width="18.88671875" bestFit="1" customWidth="1"/>
    <col min="20" max="20" width="9.109375" bestFit="1" customWidth="1"/>
    <col min="21" max="21" width="11.5546875" bestFit="1" customWidth="1"/>
    <col min="22" max="22" width="19.109375" bestFit="1" customWidth="1"/>
    <col min="23" max="23" width="19" bestFit="1" customWidth="1"/>
    <col min="24" max="24" width="15" bestFit="1" customWidth="1"/>
    <col min="25" max="25" width="21.44140625" bestFit="1" customWidth="1"/>
    <col min="26" max="26" width="16.44140625" bestFit="1" customWidth="1"/>
    <col min="27" max="27" width="23.21875" bestFit="1" customWidth="1"/>
    <col min="28" max="28" width="18.88671875" bestFit="1" customWidth="1"/>
    <col min="29" max="29" width="9.109375" bestFit="1" customWidth="1"/>
    <col min="30" max="30" width="11.5546875" bestFit="1" customWidth="1"/>
    <col min="31" max="31" width="19.109375" bestFit="1" customWidth="1"/>
    <col min="32" max="32" width="20" bestFit="1" customWidth="1"/>
    <col min="33" max="33" width="10" bestFit="1" customWidth="1"/>
    <col min="34" max="34" width="21.44140625" bestFit="1" customWidth="1"/>
    <col min="35" max="35" width="16.44140625" bestFit="1" customWidth="1"/>
    <col min="36" max="36" width="22.88671875" bestFit="1" customWidth="1"/>
    <col min="37" max="37" width="9.109375" bestFit="1" customWidth="1"/>
    <col min="38" max="38" width="11.5546875" bestFit="1" customWidth="1"/>
    <col min="39" max="39" width="19.109375" bestFit="1" customWidth="1"/>
    <col min="40" max="40" width="19" bestFit="1" customWidth="1"/>
    <col min="41" max="41" width="20" bestFit="1" customWidth="1"/>
    <col min="42" max="42" width="10" bestFit="1" customWidth="1"/>
    <col min="43" max="43" width="21.44140625" bestFit="1" customWidth="1"/>
    <col min="44" max="44" width="23.21875" bestFit="1" customWidth="1"/>
    <col min="45" max="45" width="18.88671875" bestFit="1" customWidth="1"/>
    <col min="46" max="46" width="11.5546875" bestFit="1" customWidth="1"/>
    <col min="47" max="47" width="19.109375" bestFit="1" customWidth="1"/>
    <col min="48" max="48" width="20" bestFit="1" customWidth="1"/>
    <col min="49" max="49" width="10.44140625" bestFit="1" customWidth="1"/>
    <col min="50" max="50" width="21.44140625" bestFit="1" customWidth="1"/>
    <col min="51" max="51" width="16.44140625" bestFit="1" customWidth="1"/>
    <col min="52" max="52" width="18.88671875" bestFit="1" customWidth="1"/>
    <col min="53" max="53" width="22.88671875" bestFit="1" customWidth="1"/>
    <col min="54" max="54" width="9.109375" bestFit="1" customWidth="1"/>
    <col min="55" max="55" width="19" bestFit="1" customWidth="1"/>
    <col min="56" max="56" width="11.77734375" bestFit="1" customWidth="1"/>
    <col min="57" max="57" width="21.44140625" bestFit="1" customWidth="1"/>
    <col min="58" max="58" width="22.88671875" bestFit="1" customWidth="1"/>
    <col min="59" max="59" width="20" bestFit="1" customWidth="1"/>
    <col min="60" max="60" width="12.21875" bestFit="1" customWidth="1"/>
    <col min="61" max="61" width="21.44140625" bestFit="1" customWidth="1"/>
    <col min="62" max="62" width="23.21875" bestFit="1" customWidth="1"/>
    <col min="63" max="63" width="22.88671875" bestFit="1" customWidth="1"/>
    <col min="64" max="64" width="9.109375" bestFit="1" customWidth="1"/>
    <col min="65" max="65" width="11.5546875" bestFit="1" customWidth="1"/>
    <col min="66" max="66" width="19.109375" bestFit="1" customWidth="1"/>
    <col min="67" max="67" width="19" bestFit="1" customWidth="1"/>
    <col min="68" max="68" width="20" bestFit="1" customWidth="1"/>
    <col min="69" max="69" width="11.44140625" bestFit="1" customWidth="1"/>
    <col min="70" max="70" width="23.21875" bestFit="1" customWidth="1"/>
    <col min="71" max="71" width="22.88671875" bestFit="1" customWidth="1"/>
    <col min="72" max="72" width="11.5546875" bestFit="1" customWidth="1"/>
    <col min="73" max="73" width="19.109375" bestFit="1" customWidth="1"/>
    <col min="74" max="74" width="20" bestFit="1" customWidth="1"/>
    <col min="75" max="75" width="10" bestFit="1" customWidth="1"/>
    <col min="76" max="76" width="11" bestFit="1" customWidth="1"/>
  </cols>
  <sheetData>
    <row r="1" spans="1:22" ht="28.8" x14ac:dyDescent="0.55000000000000004">
      <c r="A1" s="296" t="s">
        <v>390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8"/>
    </row>
    <row r="2" spans="1:22" ht="15" thickBot="1" x14ac:dyDescent="0.35">
      <c r="A2" s="9"/>
      <c r="V2" s="8"/>
    </row>
    <row r="3" spans="1:22" ht="15" thickBot="1" x14ac:dyDescent="0.35">
      <c r="A3" s="9"/>
      <c r="B3" s="176" t="s">
        <v>391</v>
      </c>
      <c r="C3" s="176" t="s">
        <v>392</v>
      </c>
      <c r="D3" s="181"/>
      <c r="E3" s="135"/>
      <c r="F3" s="135"/>
      <c r="G3" s="135"/>
      <c r="H3" s="135"/>
      <c r="I3" s="135"/>
      <c r="J3" s="136"/>
      <c r="K3" s="302"/>
      <c r="V3" s="8"/>
    </row>
    <row r="4" spans="1:22" ht="15" thickBot="1" x14ac:dyDescent="0.35">
      <c r="A4" s="9"/>
      <c r="B4" s="176" t="s">
        <v>208</v>
      </c>
      <c r="C4" s="181" t="s">
        <v>294</v>
      </c>
      <c r="D4" s="135" t="s">
        <v>295</v>
      </c>
      <c r="E4" s="135" t="s">
        <v>296</v>
      </c>
      <c r="F4" s="135" t="s">
        <v>297</v>
      </c>
      <c r="G4" s="135" t="s">
        <v>298</v>
      </c>
      <c r="H4" s="135" t="s">
        <v>290</v>
      </c>
      <c r="I4" s="136" t="s">
        <v>299</v>
      </c>
      <c r="J4" s="226" t="s">
        <v>317</v>
      </c>
      <c r="K4" s="10" t="s">
        <v>393</v>
      </c>
      <c r="V4" s="8"/>
    </row>
    <row r="5" spans="1:22" x14ac:dyDescent="0.3">
      <c r="A5" s="9"/>
      <c r="B5" s="177" t="s">
        <v>54</v>
      </c>
      <c r="C5" s="172">
        <v>1</v>
      </c>
      <c r="D5" s="310">
        <v>1</v>
      </c>
      <c r="E5" s="310"/>
      <c r="F5" s="310">
        <v>1</v>
      </c>
      <c r="G5" s="310">
        <v>1</v>
      </c>
      <c r="H5" s="310"/>
      <c r="I5" s="310">
        <v>2</v>
      </c>
      <c r="J5" s="173">
        <v>6</v>
      </c>
      <c r="K5" s="10" t="str">
        <f>INDEX($C$4:$I$4,MATCH(MAX(C5:I5),C5:I5,0))</f>
        <v>Rock</v>
      </c>
      <c r="V5" s="8"/>
    </row>
    <row r="6" spans="1:22" x14ac:dyDescent="0.3">
      <c r="A6" s="9"/>
      <c r="B6" s="178" t="s">
        <v>19</v>
      </c>
      <c r="C6" s="174">
        <v>4</v>
      </c>
      <c r="D6" s="168">
        <v>1</v>
      </c>
      <c r="E6" s="168">
        <v>1</v>
      </c>
      <c r="F6" s="168">
        <v>1</v>
      </c>
      <c r="G6" s="168">
        <v>1</v>
      </c>
      <c r="H6" s="168">
        <v>1</v>
      </c>
      <c r="I6" s="168">
        <v>1</v>
      </c>
      <c r="J6" s="169">
        <v>10</v>
      </c>
      <c r="K6" s="10" t="str">
        <f t="shared" ref="K6:K14" si="0">INDEX($C$4:$I$4,MATCH(MAX(C6:I6),C6:I6,0))</f>
        <v>Bollywood</v>
      </c>
      <c r="V6" s="8"/>
    </row>
    <row r="7" spans="1:22" x14ac:dyDescent="0.3">
      <c r="A7" s="9"/>
      <c r="B7" s="178" t="s">
        <v>65</v>
      </c>
      <c r="C7" s="174">
        <v>2</v>
      </c>
      <c r="D7" s="168">
        <v>1</v>
      </c>
      <c r="E7" s="168">
        <v>2</v>
      </c>
      <c r="F7" s="168">
        <v>1</v>
      </c>
      <c r="G7" s="168">
        <v>1</v>
      </c>
      <c r="H7" s="168">
        <v>1</v>
      </c>
      <c r="I7" s="168"/>
      <c r="J7" s="169">
        <v>8</v>
      </c>
      <c r="K7" s="10" t="str">
        <f t="shared" si="0"/>
        <v>Bollywood</v>
      </c>
      <c r="V7" s="8"/>
    </row>
    <row r="8" spans="1:22" x14ac:dyDescent="0.3">
      <c r="A8" s="9"/>
      <c r="B8" s="178" t="s">
        <v>16</v>
      </c>
      <c r="C8" s="174">
        <v>3</v>
      </c>
      <c r="D8" s="168">
        <v>3</v>
      </c>
      <c r="E8" s="168">
        <v>1</v>
      </c>
      <c r="F8" s="168"/>
      <c r="G8" s="168"/>
      <c r="H8" s="168">
        <v>1</v>
      </c>
      <c r="I8" s="168">
        <v>2</v>
      </c>
      <c r="J8" s="169">
        <v>10</v>
      </c>
      <c r="K8" s="10" t="str">
        <f t="shared" si="0"/>
        <v>Bollywood</v>
      </c>
      <c r="V8" s="8"/>
    </row>
    <row r="9" spans="1:22" x14ac:dyDescent="0.3">
      <c r="A9" s="9"/>
      <c r="B9" s="178" t="s">
        <v>24</v>
      </c>
      <c r="C9" s="174">
        <v>6</v>
      </c>
      <c r="D9" s="168">
        <v>2</v>
      </c>
      <c r="E9" s="168">
        <v>2</v>
      </c>
      <c r="F9" s="168">
        <v>2</v>
      </c>
      <c r="G9" s="168"/>
      <c r="H9" s="168">
        <v>1</v>
      </c>
      <c r="I9" s="168">
        <v>2</v>
      </c>
      <c r="J9" s="169">
        <v>15</v>
      </c>
      <c r="K9" s="10" t="str">
        <f t="shared" si="0"/>
        <v>Bollywood</v>
      </c>
      <c r="V9" s="8"/>
    </row>
    <row r="10" spans="1:22" x14ac:dyDescent="0.3">
      <c r="A10" s="9"/>
      <c r="B10" s="178" t="s">
        <v>31</v>
      </c>
      <c r="C10" s="174">
        <v>4</v>
      </c>
      <c r="D10" s="168">
        <v>1</v>
      </c>
      <c r="E10" s="168">
        <v>4</v>
      </c>
      <c r="F10" s="168">
        <v>1</v>
      </c>
      <c r="G10" s="168"/>
      <c r="H10" s="168">
        <v>1</v>
      </c>
      <c r="I10" s="168"/>
      <c r="J10" s="169">
        <v>11</v>
      </c>
      <c r="K10" s="10" t="str">
        <f t="shared" si="0"/>
        <v>Bollywood</v>
      </c>
      <c r="V10" s="8"/>
    </row>
    <row r="11" spans="1:22" x14ac:dyDescent="0.3">
      <c r="A11" s="9"/>
      <c r="B11" s="178" t="s">
        <v>12</v>
      </c>
      <c r="C11" s="174">
        <v>4</v>
      </c>
      <c r="D11" s="168"/>
      <c r="E11" s="168"/>
      <c r="F11" s="168">
        <v>2</v>
      </c>
      <c r="G11" s="168"/>
      <c r="H11" s="168">
        <v>1</v>
      </c>
      <c r="I11" s="168">
        <v>1</v>
      </c>
      <c r="J11" s="169">
        <v>8</v>
      </c>
      <c r="K11" s="10" t="str">
        <f t="shared" si="0"/>
        <v>Bollywood</v>
      </c>
      <c r="V11" s="8"/>
    </row>
    <row r="12" spans="1:22" x14ac:dyDescent="0.3">
      <c r="A12" s="9"/>
      <c r="B12" s="178" t="s">
        <v>51</v>
      </c>
      <c r="C12" s="174">
        <v>3</v>
      </c>
      <c r="D12" s="168"/>
      <c r="E12" s="168">
        <v>1</v>
      </c>
      <c r="F12" s="168"/>
      <c r="G12" s="168"/>
      <c r="H12" s="168">
        <v>1</v>
      </c>
      <c r="I12" s="168"/>
      <c r="J12" s="169">
        <v>5</v>
      </c>
      <c r="K12" s="10" t="str">
        <f t="shared" si="0"/>
        <v>Bollywood</v>
      </c>
      <c r="V12" s="8"/>
    </row>
    <row r="13" spans="1:22" x14ac:dyDescent="0.3">
      <c r="A13" s="9"/>
      <c r="B13" s="178" t="s">
        <v>27</v>
      </c>
      <c r="C13" s="174">
        <v>5</v>
      </c>
      <c r="D13" s="168"/>
      <c r="E13" s="168">
        <v>2</v>
      </c>
      <c r="F13" s="168">
        <v>2</v>
      </c>
      <c r="G13" s="168"/>
      <c r="H13" s="168"/>
      <c r="I13" s="168">
        <v>3</v>
      </c>
      <c r="J13" s="169">
        <v>12</v>
      </c>
      <c r="K13" s="10" t="str">
        <f t="shared" si="0"/>
        <v>Bollywood</v>
      </c>
      <c r="V13" s="8"/>
    </row>
    <row r="14" spans="1:22" ht="15" thickBot="1" x14ac:dyDescent="0.35">
      <c r="A14" s="9"/>
      <c r="B14" s="179" t="s">
        <v>46</v>
      </c>
      <c r="C14" s="174">
        <v>2</v>
      </c>
      <c r="D14" s="168">
        <v>1</v>
      </c>
      <c r="E14" s="168"/>
      <c r="F14" s="168">
        <v>1</v>
      </c>
      <c r="G14" s="168">
        <v>1</v>
      </c>
      <c r="H14" s="168">
        <v>1</v>
      </c>
      <c r="I14" s="168">
        <v>1</v>
      </c>
      <c r="J14" s="169">
        <v>7</v>
      </c>
      <c r="K14" s="10" t="str">
        <f t="shared" si="0"/>
        <v>Bollywood</v>
      </c>
      <c r="V14" s="8"/>
    </row>
    <row r="15" spans="1:22" ht="15" thickBot="1" x14ac:dyDescent="0.35">
      <c r="A15" s="9"/>
      <c r="B15" s="180" t="s">
        <v>317</v>
      </c>
      <c r="C15" s="175">
        <v>34</v>
      </c>
      <c r="D15" s="170">
        <v>10</v>
      </c>
      <c r="E15" s="170">
        <v>13</v>
      </c>
      <c r="F15" s="170">
        <v>11</v>
      </c>
      <c r="G15" s="170">
        <v>4</v>
      </c>
      <c r="H15" s="170">
        <v>8</v>
      </c>
      <c r="I15" s="170">
        <v>12</v>
      </c>
      <c r="J15" s="171">
        <v>92</v>
      </c>
      <c r="K15" s="62"/>
      <c r="V15" s="8"/>
    </row>
    <row r="16" spans="1:22" x14ac:dyDescent="0.3">
      <c r="A16" s="9"/>
      <c r="V16" s="8"/>
    </row>
    <row r="17" spans="1:22" x14ac:dyDescent="0.3">
      <c r="A17" s="9"/>
      <c r="V17" s="8"/>
    </row>
    <row r="18" spans="1:22" x14ac:dyDescent="0.3">
      <c r="A18" s="9"/>
      <c r="V18" s="8"/>
    </row>
    <row r="19" spans="1:22" ht="15" thickBot="1" x14ac:dyDescent="0.35">
      <c r="A19" s="9"/>
      <c r="V19" s="8"/>
    </row>
    <row r="20" spans="1:22" ht="15" thickBot="1" x14ac:dyDescent="0.35">
      <c r="A20" s="9"/>
      <c r="B20" s="176" t="s">
        <v>225</v>
      </c>
      <c r="C20" s="176" t="s">
        <v>392</v>
      </c>
      <c r="D20" s="181"/>
      <c r="E20" s="135"/>
      <c r="F20" s="135"/>
      <c r="G20" s="135"/>
      <c r="H20" s="135"/>
      <c r="I20" s="135"/>
      <c r="J20" s="136"/>
      <c r="K20" s="83"/>
      <c r="V20" s="8"/>
    </row>
    <row r="21" spans="1:22" ht="15" thickBot="1" x14ac:dyDescent="0.35">
      <c r="A21" s="9"/>
      <c r="B21" s="176" t="s">
        <v>208</v>
      </c>
      <c r="C21" s="181" t="s">
        <v>294</v>
      </c>
      <c r="D21" s="135" t="s">
        <v>295</v>
      </c>
      <c r="E21" s="135" t="s">
        <v>296</v>
      </c>
      <c r="F21" s="135" t="s">
        <v>297</v>
      </c>
      <c r="G21" s="135" t="s">
        <v>298</v>
      </c>
      <c r="H21" s="135" t="s">
        <v>290</v>
      </c>
      <c r="I21" s="136" t="s">
        <v>299</v>
      </c>
      <c r="J21" s="226" t="s">
        <v>143</v>
      </c>
      <c r="K21" s="10" t="s">
        <v>393</v>
      </c>
      <c r="V21" s="8"/>
    </row>
    <row r="22" spans="1:22" x14ac:dyDescent="0.3">
      <c r="A22" s="9"/>
      <c r="B22" s="177" t="s">
        <v>54</v>
      </c>
      <c r="C22" s="172">
        <v>25243</v>
      </c>
      <c r="D22" s="310">
        <v>20603</v>
      </c>
      <c r="E22" s="310"/>
      <c r="F22" s="310">
        <v>9316</v>
      </c>
      <c r="G22" s="310">
        <v>20798.88</v>
      </c>
      <c r="H22" s="310"/>
      <c r="I22" s="312">
        <v>39819.979999999996</v>
      </c>
      <c r="J22" s="313">
        <v>115780.86</v>
      </c>
      <c r="K22" s="10" t="str">
        <f>INDEX($C$21:$I$21,MATCH(MAX(C22:I22),C22:I22,0))</f>
        <v>Rock</v>
      </c>
      <c r="V22" s="8"/>
    </row>
    <row r="23" spans="1:22" x14ac:dyDescent="0.3">
      <c r="A23" s="9"/>
      <c r="B23" s="178" t="s">
        <v>19</v>
      </c>
      <c r="C23" s="174">
        <v>54368</v>
      </c>
      <c r="D23" s="168">
        <v>8214</v>
      </c>
      <c r="E23" s="168">
        <v>31745</v>
      </c>
      <c r="F23" s="168">
        <v>16737</v>
      </c>
      <c r="G23" s="168">
        <v>14283</v>
      </c>
      <c r="H23" s="218">
        <v>7559.5</v>
      </c>
      <c r="I23" s="218">
        <v>17889.900000000001</v>
      </c>
      <c r="J23" s="217">
        <v>150796.4</v>
      </c>
      <c r="K23" s="10" t="str">
        <f t="shared" ref="K23:K31" si="1">INDEX($C$21:$I$21,MATCH(MAX(C23:I23),C23:I23,0))</f>
        <v>Bollywood</v>
      </c>
      <c r="V23" s="8"/>
    </row>
    <row r="24" spans="1:22" x14ac:dyDescent="0.3">
      <c r="A24" s="9"/>
      <c r="B24" s="178" t="s">
        <v>65</v>
      </c>
      <c r="C24" s="174">
        <v>42305</v>
      </c>
      <c r="D24" s="168">
        <v>35304</v>
      </c>
      <c r="E24" s="168">
        <v>23590</v>
      </c>
      <c r="F24" s="168">
        <v>13994</v>
      </c>
      <c r="G24" s="168">
        <v>6000</v>
      </c>
      <c r="H24" s="218">
        <v>34043.1</v>
      </c>
      <c r="I24" s="218"/>
      <c r="J24" s="217">
        <v>155236.1</v>
      </c>
      <c r="K24" s="10" t="str">
        <f t="shared" si="1"/>
        <v>Bollywood</v>
      </c>
      <c r="V24" s="8"/>
    </row>
    <row r="25" spans="1:22" x14ac:dyDescent="0.3">
      <c r="A25" s="9"/>
      <c r="B25" s="178" t="s">
        <v>16</v>
      </c>
      <c r="C25" s="174">
        <v>53402.880000000005</v>
      </c>
      <c r="D25" s="218">
        <v>57915.880000000005</v>
      </c>
      <c r="E25" s="168">
        <v>17172</v>
      </c>
      <c r="F25" s="168"/>
      <c r="G25" s="168"/>
      <c r="H25" s="218">
        <v>14456</v>
      </c>
      <c r="I25" s="218">
        <v>30839.199999999997</v>
      </c>
      <c r="J25" s="217">
        <v>173785.96000000002</v>
      </c>
      <c r="K25" s="10" t="str">
        <f t="shared" si="1"/>
        <v>Classical/Bollywood</v>
      </c>
      <c r="V25" s="8"/>
    </row>
    <row r="26" spans="1:22" x14ac:dyDescent="0.3">
      <c r="A26" s="9"/>
      <c r="B26" s="178" t="s">
        <v>24</v>
      </c>
      <c r="C26" s="174">
        <v>172325</v>
      </c>
      <c r="D26" s="218">
        <v>44819.880000000005</v>
      </c>
      <c r="E26" s="168">
        <v>34524</v>
      </c>
      <c r="F26" s="168">
        <v>24248</v>
      </c>
      <c r="G26" s="168"/>
      <c r="H26" s="218">
        <v>56160</v>
      </c>
      <c r="I26" s="218">
        <v>36988.699999999997</v>
      </c>
      <c r="J26" s="217">
        <v>369065.58</v>
      </c>
      <c r="K26" s="10" t="str">
        <f t="shared" si="1"/>
        <v>Bollywood</v>
      </c>
      <c r="V26" s="8"/>
    </row>
    <row r="27" spans="1:22" x14ac:dyDescent="0.3">
      <c r="A27" s="9"/>
      <c r="B27" s="178" t="s">
        <v>31</v>
      </c>
      <c r="C27" s="314">
        <v>76528.88</v>
      </c>
      <c r="D27" s="168">
        <v>31020</v>
      </c>
      <c r="E27" s="168">
        <v>80922</v>
      </c>
      <c r="F27" s="168">
        <v>13539</v>
      </c>
      <c r="G27" s="168"/>
      <c r="H27" s="218">
        <v>32925.1</v>
      </c>
      <c r="I27" s="218"/>
      <c r="J27" s="217">
        <v>234934.98</v>
      </c>
      <c r="K27" s="10" t="str">
        <f t="shared" si="1"/>
        <v>EDM</v>
      </c>
      <c r="V27" s="8"/>
    </row>
    <row r="28" spans="1:22" x14ac:dyDescent="0.3">
      <c r="A28" s="9"/>
      <c r="B28" s="178" t="s">
        <v>12</v>
      </c>
      <c r="C28" s="174">
        <v>57679</v>
      </c>
      <c r="D28" s="168"/>
      <c r="E28" s="168"/>
      <c r="F28" s="168">
        <v>32354</v>
      </c>
      <c r="G28" s="168"/>
      <c r="H28" s="218">
        <v>45372.6</v>
      </c>
      <c r="I28" s="218">
        <v>9504.6</v>
      </c>
      <c r="J28" s="217">
        <v>144910.20000000001</v>
      </c>
      <c r="K28" s="10" t="str">
        <f t="shared" si="1"/>
        <v>Bollywood</v>
      </c>
      <c r="V28" s="8"/>
    </row>
    <row r="29" spans="1:22" x14ac:dyDescent="0.3">
      <c r="A29" s="9"/>
      <c r="B29" s="178" t="s">
        <v>51</v>
      </c>
      <c r="C29" s="174">
        <v>30915</v>
      </c>
      <c r="D29" s="168"/>
      <c r="E29" s="168">
        <v>19867</v>
      </c>
      <c r="F29" s="168"/>
      <c r="G29" s="168"/>
      <c r="H29" s="218">
        <v>28345.200000000001</v>
      </c>
      <c r="I29" s="218"/>
      <c r="J29" s="217">
        <v>79127.199999999997</v>
      </c>
      <c r="K29" s="10" t="str">
        <f t="shared" si="1"/>
        <v>Bollywood</v>
      </c>
      <c r="V29" s="8"/>
    </row>
    <row r="30" spans="1:22" x14ac:dyDescent="0.3">
      <c r="A30" s="9"/>
      <c r="B30" s="178" t="s">
        <v>27</v>
      </c>
      <c r="C30" s="314">
        <v>124937.88</v>
      </c>
      <c r="D30" s="168"/>
      <c r="E30" s="218">
        <v>35800.880000000005</v>
      </c>
      <c r="F30" s="168">
        <v>31347</v>
      </c>
      <c r="G30" s="168"/>
      <c r="H30" s="218"/>
      <c r="I30" s="218">
        <v>35788.199999999997</v>
      </c>
      <c r="J30" s="217">
        <v>227873.96000000002</v>
      </c>
      <c r="K30" s="10" t="str">
        <f t="shared" si="1"/>
        <v>Bollywood</v>
      </c>
      <c r="V30" s="8"/>
    </row>
    <row r="31" spans="1:22" ht="15" thickBot="1" x14ac:dyDescent="0.35">
      <c r="A31" s="9"/>
      <c r="B31" s="179" t="s">
        <v>46</v>
      </c>
      <c r="C31" s="174">
        <v>40702</v>
      </c>
      <c r="D31" s="218">
        <v>20798.88</v>
      </c>
      <c r="E31" s="168"/>
      <c r="F31" s="168">
        <v>32900</v>
      </c>
      <c r="G31" s="168">
        <v>11790</v>
      </c>
      <c r="H31" s="218">
        <v>33241</v>
      </c>
      <c r="I31" s="218">
        <v>11366.6</v>
      </c>
      <c r="J31" s="217">
        <v>150798.48000000001</v>
      </c>
      <c r="K31" s="10" t="str">
        <f t="shared" si="1"/>
        <v>Bollywood</v>
      </c>
      <c r="V31" s="8"/>
    </row>
    <row r="32" spans="1:22" ht="15" thickBot="1" x14ac:dyDescent="0.35">
      <c r="A32" s="9"/>
      <c r="B32" s="180" t="s">
        <v>143</v>
      </c>
      <c r="C32" s="315">
        <v>678406.64</v>
      </c>
      <c r="D32" s="99">
        <v>218675.64</v>
      </c>
      <c r="E32" s="99">
        <v>243620.88</v>
      </c>
      <c r="F32" s="99">
        <v>174435</v>
      </c>
      <c r="G32" s="99">
        <v>52871.880000000005</v>
      </c>
      <c r="H32" s="99">
        <v>252102.50000000003</v>
      </c>
      <c r="I32" s="99">
        <v>182197.17999999996</v>
      </c>
      <c r="J32" s="311">
        <v>1802309.72</v>
      </c>
      <c r="K32" s="62"/>
      <c r="V32" s="8"/>
    </row>
    <row r="33" spans="1:22" x14ac:dyDescent="0.3">
      <c r="A33" s="9"/>
      <c r="V33" s="8"/>
    </row>
    <row r="34" spans="1:22" x14ac:dyDescent="0.3">
      <c r="A34" s="9"/>
      <c r="V34" s="8"/>
    </row>
    <row r="35" spans="1:22" x14ac:dyDescent="0.3">
      <c r="A35" s="9"/>
      <c r="V35" s="8"/>
    </row>
    <row r="36" spans="1:22" x14ac:dyDescent="0.3">
      <c r="A36" s="9"/>
      <c r="V36" s="8"/>
    </row>
    <row r="37" spans="1:22" ht="15" thickBot="1" x14ac:dyDescent="0.35">
      <c r="A37" s="9"/>
      <c r="V37" s="8"/>
    </row>
    <row r="38" spans="1:22" x14ac:dyDescent="0.3">
      <c r="A38" s="9"/>
      <c r="B38" s="100" t="s">
        <v>1</v>
      </c>
      <c r="C38" s="101" t="s">
        <v>394</v>
      </c>
      <c r="D38" s="101" t="s">
        <v>395</v>
      </c>
      <c r="E38" s="101" t="s">
        <v>399</v>
      </c>
      <c r="F38" s="102" t="s">
        <v>400</v>
      </c>
      <c r="V38" s="8"/>
    </row>
    <row r="39" spans="1:22" x14ac:dyDescent="0.3">
      <c r="A39" s="9"/>
      <c r="B39" s="88" t="s">
        <v>54</v>
      </c>
      <c r="C39" s="5" t="str">
        <f>K5</f>
        <v>Rock</v>
      </c>
      <c r="D39" s="5" t="str">
        <f>K22</f>
        <v>Rock</v>
      </c>
      <c r="E39" s="28">
        <f>J22/J5</f>
        <v>19296.810000000001</v>
      </c>
      <c r="F39" s="10" t="str">
        <f>IF(D39=C39, "Aligned","Not Aligned")</f>
        <v>Aligned</v>
      </c>
      <c r="V39" s="8"/>
    </row>
    <row r="40" spans="1:22" x14ac:dyDescent="0.3">
      <c r="A40" s="9"/>
      <c r="B40" s="88" t="s">
        <v>19</v>
      </c>
      <c r="C40" s="5" t="str">
        <f t="shared" ref="C40:C48" si="2">K6</f>
        <v>Bollywood</v>
      </c>
      <c r="D40" s="5" t="str">
        <f t="shared" ref="D40:D48" si="3">K23</f>
        <v>Bollywood</v>
      </c>
      <c r="E40" s="28">
        <f t="shared" ref="E40:E48" si="4">J23/J6</f>
        <v>15079.64</v>
      </c>
      <c r="F40" s="10" t="str">
        <f t="shared" ref="F40:F48" si="5">IF(D40=C40, "Aligned","Not Aligned")</f>
        <v>Aligned</v>
      </c>
      <c r="V40" s="8"/>
    </row>
    <row r="41" spans="1:22" x14ac:dyDescent="0.3">
      <c r="A41" s="9"/>
      <c r="B41" s="88" t="s">
        <v>65</v>
      </c>
      <c r="C41" s="5" t="str">
        <f t="shared" si="2"/>
        <v>Bollywood</v>
      </c>
      <c r="D41" s="5" t="str">
        <f t="shared" si="3"/>
        <v>Bollywood</v>
      </c>
      <c r="E41" s="28">
        <f t="shared" si="4"/>
        <v>19404.512500000001</v>
      </c>
      <c r="F41" s="10" t="str">
        <f t="shared" si="5"/>
        <v>Aligned</v>
      </c>
      <c r="V41" s="8"/>
    </row>
    <row r="42" spans="1:22" x14ac:dyDescent="0.3">
      <c r="A42" s="9"/>
      <c r="B42" s="88" t="s">
        <v>16</v>
      </c>
      <c r="C42" s="5" t="str">
        <f t="shared" si="2"/>
        <v>Bollywood</v>
      </c>
      <c r="D42" s="5" t="str">
        <f t="shared" si="3"/>
        <v>Classical/Bollywood</v>
      </c>
      <c r="E42" s="28">
        <f t="shared" si="4"/>
        <v>17378.596000000001</v>
      </c>
      <c r="F42" s="10" t="str">
        <f t="shared" si="5"/>
        <v>Not Aligned</v>
      </c>
      <c r="V42" s="8"/>
    </row>
    <row r="43" spans="1:22" x14ac:dyDescent="0.3">
      <c r="A43" s="9"/>
      <c r="B43" s="88" t="s">
        <v>24</v>
      </c>
      <c r="C43" s="5" t="str">
        <f t="shared" si="2"/>
        <v>Bollywood</v>
      </c>
      <c r="D43" s="5" t="str">
        <f t="shared" si="3"/>
        <v>Bollywood</v>
      </c>
      <c r="E43" s="28">
        <f t="shared" si="4"/>
        <v>24604.371999999999</v>
      </c>
      <c r="F43" s="10" t="str">
        <f t="shared" si="5"/>
        <v>Aligned</v>
      </c>
      <c r="V43" s="8"/>
    </row>
    <row r="44" spans="1:22" x14ac:dyDescent="0.3">
      <c r="A44" s="9"/>
      <c r="B44" s="88" t="s">
        <v>31</v>
      </c>
      <c r="C44" s="5" t="str">
        <f t="shared" si="2"/>
        <v>Bollywood</v>
      </c>
      <c r="D44" s="5" t="str">
        <f t="shared" si="3"/>
        <v>EDM</v>
      </c>
      <c r="E44" s="28">
        <f t="shared" si="4"/>
        <v>21357.725454545456</v>
      </c>
      <c r="F44" s="10" t="str">
        <f t="shared" si="5"/>
        <v>Not Aligned</v>
      </c>
      <c r="V44" s="8"/>
    </row>
    <row r="45" spans="1:22" x14ac:dyDescent="0.3">
      <c r="A45" s="9"/>
      <c r="B45" s="88" t="s">
        <v>12</v>
      </c>
      <c r="C45" s="5" t="str">
        <f t="shared" si="2"/>
        <v>Bollywood</v>
      </c>
      <c r="D45" s="5" t="str">
        <f t="shared" si="3"/>
        <v>Bollywood</v>
      </c>
      <c r="E45" s="28">
        <f t="shared" si="4"/>
        <v>18113.775000000001</v>
      </c>
      <c r="F45" s="10" t="str">
        <f t="shared" si="5"/>
        <v>Aligned</v>
      </c>
      <c r="V45" s="8"/>
    </row>
    <row r="46" spans="1:22" x14ac:dyDescent="0.3">
      <c r="A46" s="9"/>
      <c r="B46" s="88" t="s">
        <v>51</v>
      </c>
      <c r="C46" s="5" t="str">
        <f t="shared" si="2"/>
        <v>Bollywood</v>
      </c>
      <c r="D46" s="5" t="str">
        <f t="shared" si="3"/>
        <v>Bollywood</v>
      </c>
      <c r="E46" s="28">
        <f t="shared" si="4"/>
        <v>15825.439999999999</v>
      </c>
      <c r="F46" s="10" t="str">
        <f t="shared" si="5"/>
        <v>Aligned</v>
      </c>
      <c r="V46" s="8"/>
    </row>
    <row r="47" spans="1:22" x14ac:dyDescent="0.3">
      <c r="A47" s="9"/>
      <c r="B47" s="88" t="s">
        <v>27</v>
      </c>
      <c r="C47" s="5" t="str">
        <f t="shared" si="2"/>
        <v>Bollywood</v>
      </c>
      <c r="D47" s="5" t="str">
        <f t="shared" si="3"/>
        <v>Bollywood</v>
      </c>
      <c r="E47" s="28">
        <f t="shared" si="4"/>
        <v>18989.49666666667</v>
      </c>
      <c r="F47" s="10" t="str">
        <f t="shared" si="5"/>
        <v>Aligned</v>
      </c>
      <c r="V47" s="8"/>
    </row>
    <row r="48" spans="1:22" ht="15" thickBot="1" x14ac:dyDescent="0.35">
      <c r="A48" s="9"/>
      <c r="B48" s="93" t="s">
        <v>46</v>
      </c>
      <c r="C48" s="61" t="str">
        <f t="shared" si="2"/>
        <v>Bollywood</v>
      </c>
      <c r="D48" s="61" t="str">
        <f t="shared" si="3"/>
        <v>Bollywood</v>
      </c>
      <c r="E48" s="103">
        <f t="shared" si="4"/>
        <v>21542.640000000003</v>
      </c>
      <c r="F48" s="62" t="str">
        <f t="shared" si="5"/>
        <v>Aligned</v>
      </c>
      <c r="H48" s="77"/>
      <c r="V48" s="8"/>
    </row>
    <row r="49" spans="1:22" x14ac:dyDescent="0.3">
      <c r="A49" s="9"/>
      <c r="V49" s="8"/>
    </row>
    <row r="50" spans="1:22" x14ac:dyDescent="0.3">
      <c r="A50" s="9"/>
      <c r="V50" s="8"/>
    </row>
    <row r="51" spans="1:22" x14ac:dyDescent="0.3">
      <c r="A51" s="9"/>
      <c r="B51" s="39" t="s">
        <v>401</v>
      </c>
      <c r="V51" s="8"/>
    </row>
    <row r="52" spans="1:22" x14ac:dyDescent="0.3">
      <c r="A52" s="9"/>
      <c r="B52" s="39" t="s">
        <v>402</v>
      </c>
      <c r="V52" s="8"/>
    </row>
    <row r="53" spans="1:22" x14ac:dyDescent="0.3">
      <c r="A53" s="9"/>
      <c r="B53" s="39" t="s">
        <v>403</v>
      </c>
      <c r="V53" s="8"/>
    </row>
    <row r="54" spans="1:22" x14ac:dyDescent="0.3">
      <c r="A54" s="9"/>
      <c r="V54" s="8"/>
    </row>
    <row r="55" spans="1:22" x14ac:dyDescent="0.3">
      <c r="A55" s="9"/>
      <c r="V55" s="8"/>
    </row>
    <row r="56" spans="1:22" x14ac:dyDescent="0.3">
      <c r="A56" s="9"/>
      <c r="B56" s="98" t="s">
        <v>404</v>
      </c>
      <c r="V56" s="8"/>
    </row>
    <row r="57" spans="1:22" ht="15" thickBot="1" x14ac:dyDescent="0.35">
      <c r="A57" s="9"/>
      <c r="V57" s="8"/>
    </row>
    <row r="58" spans="1:22" x14ac:dyDescent="0.3">
      <c r="A58" s="9"/>
      <c r="B58" s="90" t="s">
        <v>1</v>
      </c>
      <c r="C58" s="91" t="s">
        <v>317</v>
      </c>
      <c r="D58" s="91" t="s">
        <v>241</v>
      </c>
      <c r="E58" s="91" t="s">
        <v>143</v>
      </c>
      <c r="F58" s="91" t="s">
        <v>396</v>
      </c>
      <c r="G58" s="91" t="s">
        <v>405</v>
      </c>
      <c r="H58" s="92" t="s">
        <v>397</v>
      </c>
      <c r="V58" s="8"/>
    </row>
    <row r="59" spans="1:22" x14ac:dyDescent="0.3">
      <c r="A59" s="9"/>
      <c r="B59" s="88" t="s">
        <v>54</v>
      </c>
      <c r="C59" s="5">
        <f>J5</f>
        <v>6</v>
      </c>
      <c r="D59" s="40">
        <f>SUMIF('Cleaned Data'!B2:B93,B59,'Cleaned Data'!M2:M93)</f>
        <v>342669864</v>
      </c>
      <c r="E59" s="28">
        <f>SUMIF('Cleaned Data'!B2:B93,Stage6!B59,'Cleaned Data'!I2:I93)</f>
        <v>115780.86000000002</v>
      </c>
      <c r="F59" s="36">
        <f>D59/C59</f>
        <v>57111644</v>
      </c>
      <c r="G59" s="36">
        <f>D59/E59</f>
        <v>2959.6417231656419</v>
      </c>
      <c r="H59" s="10" t="str">
        <f>IF(G59&gt;AVERAGE(G59:G68),"High Performer","Standard")</f>
        <v>Standard</v>
      </c>
      <c r="V59" s="8"/>
    </row>
    <row r="60" spans="1:22" x14ac:dyDescent="0.3">
      <c r="A60" s="9"/>
      <c r="B60" s="88" t="s">
        <v>19</v>
      </c>
      <c r="C60" s="5">
        <f t="shared" ref="C60:C68" si="6">J6</f>
        <v>10</v>
      </c>
      <c r="D60" s="40">
        <f>SUMIF('Cleaned Data'!B3:B94,B60,'Cleaned Data'!M3:M94)</f>
        <v>633786616</v>
      </c>
      <c r="E60" s="28">
        <f>SUMIF('Cleaned Data'!B3:B94,Stage6!B60,'Cleaned Data'!I3:I94)</f>
        <v>150796.4</v>
      </c>
      <c r="F60" s="36">
        <f t="shared" ref="F60:F68" si="7">D60/C60</f>
        <v>63378661.600000001</v>
      </c>
      <c r="G60" s="36">
        <f t="shared" ref="G60:G68" si="8">D60/E60</f>
        <v>4202.9293537511503</v>
      </c>
      <c r="H60" s="10" t="str">
        <f t="shared" ref="H60:H68" si="9">IF(G60&gt;AVERAGE(G60:G69),"High Performer","Standard")</f>
        <v>High Performer</v>
      </c>
      <c r="V60" s="8"/>
    </row>
    <row r="61" spans="1:22" x14ac:dyDescent="0.3">
      <c r="A61" s="9"/>
      <c r="B61" s="88" t="s">
        <v>65</v>
      </c>
      <c r="C61" s="5">
        <f t="shared" si="6"/>
        <v>8</v>
      </c>
      <c r="D61" s="40">
        <f>SUMIF('Cleaned Data'!B4:B95,B61,'Cleaned Data'!M4:M95)</f>
        <v>340514615</v>
      </c>
      <c r="E61" s="28">
        <f>SUMIF('Cleaned Data'!B4:B95,Stage6!B61,'Cleaned Data'!I4:I95)</f>
        <v>155236.1</v>
      </c>
      <c r="F61" s="36">
        <f t="shared" si="7"/>
        <v>42564326.875</v>
      </c>
      <c r="G61" s="36">
        <f t="shared" si="8"/>
        <v>2193.52724656185</v>
      </c>
      <c r="H61" s="10" t="str">
        <f t="shared" si="9"/>
        <v>Standard</v>
      </c>
      <c r="V61" s="8"/>
    </row>
    <row r="62" spans="1:22" x14ac:dyDescent="0.3">
      <c r="A62" s="9"/>
      <c r="B62" s="88" t="s">
        <v>16</v>
      </c>
      <c r="C62" s="5">
        <f t="shared" si="6"/>
        <v>10</v>
      </c>
      <c r="D62" s="40">
        <f>SUMIF('Cleaned Data'!B5:B96,B62,'Cleaned Data'!M5:M96)</f>
        <v>744828479</v>
      </c>
      <c r="E62" s="28">
        <f>SUMIF('Cleaned Data'!B5:B96,Stage6!B62,'Cleaned Data'!I5:I96)</f>
        <v>173785.96000000002</v>
      </c>
      <c r="F62" s="36">
        <f t="shared" si="7"/>
        <v>74482847.900000006</v>
      </c>
      <c r="G62" s="36">
        <f t="shared" si="8"/>
        <v>4285.8955867320919</v>
      </c>
      <c r="H62" s="10" t="str">
        <f t="shared" si="9"/>
        <v>High Performer</v>
      </c>
      <c r="V62" s="8"/>
    </row>
    <row r="63" spans="1:22" x14ac:dyDescent="0.3">
      <c r="A63" s="9"/>
      <c r="B63" s="88" t="s">
        <v>24</v>
      </c>
      <c r="C63" s="5">
        <f t="shared" si="6"/>
        <v>15</v>
      </c>
      <c r="D63" s="40">
        <f>SUMIF('Cleaned Data'!B6:B97,B63,'Cleaned Data'!M6:M97)</f>
        <v>1036587718</v>
      </c>
      <c r="E63" s="28">
        <f>SUMIF('Cleaned Data'!B6:B97,Stage6!B63,'Cleaned Data'!I6:I97)</f>
        <v>354377.58</v>
      </c>
      <c r="F63" s="36">
        <f t="shared" si="7"/>
        <v>69105847.86666666</v>
      </c>
      <c r="G63" s="36">
        <f t="shared" si="8"/>
        <v>2925.0939576933733</v>
      </c>
      <c r="H63" s="10" t="str">
        <f t="shared" si="9"/>
        <v>Standard</v>
      </c>
      <c r="V63" s="8"/>
    </row>
    <row r="64" spans="1:22" x14ac:dyDescent="0.3">
      <c r="A64" s="9"/>
      <c r="B64" s="88" t="s">
        <v>31</v>
      </c>
      <c r="C64" s="5">
        <f t="shared" si="6"/>
        <v>11</v>
      </c>
      <c r="D64" s="40">
        <f>SUMIF('Cleaned Data'!B7:B98,B64,'Cleaned Data'!M7:M98)</f>
        <v>694118334</v>
      </c>
      <c r="E64" s="28">
        <f>SUMIF('Cleaned Data'!B7:B98,Stage6!B64,'Cleaned Data'!I7:I98)</f>
        <v>214136.1</v>
      </c>
      <c r="F64" s="36">
        <f t="shared" si="7"/>
        <v>63101666.727272727</v>
      </c>
      <c r="G64" s="36">
        <f t="shared" si="8"/>
        <v>3241.4820947985882</v>
      </c>
      <c r="H64" s="10" t="str">
        <f t="shared" si="9"/>
        <v>Standard</v>
      </c>
      <c r="V64" s="8"/>
    </row>
    <row r="65" spans="1:22" x14ac:dyDescent="0.3">
      <c r="A65" s="9"/>
      <c r="B65" s="88" t="s">
        <v>12</v>
      </c>
      <c r="C65" s="5">
        <f t="shared" si="6"/>
        <v>8</v>
      </c>
      <c r="D65" s="40">
        <f>SUMIF('Cleaned Data'!B8:B99,B65,'Cleaned Data'!M8:M99)</f>
        <v>580660842</v>
      </c>
      <c r="E65" s="28">
        <f>SUMIF('Cleaned Data'!B8:B99,Stage6!B65,'Cleaned Data'!I8:I99)</f>
        <v>138744.20000000001</v>
      </c>
      <c r="F65" s="36">
        <f t="shared" si="7"/>
        <v>72582605.25</v>
      </c>
      <c r="G65" s="36">
        <f t="shared" si="8"/>
        <v>4185.1179508765044</v>
      </c>
      <c r="H65" s="10" t="str">
        <f t="shared" si="9"/>
        <v>High Performer</v>
      </c>
      <c r="V65" s="8"/>
    </row>
    <row r="66" spans="1:22" x14ac:dyDescent="0.3">
      <c r="A66" s="9"/>
      <c r="B66" s="88" t="s">
        <v>51</v>
      </c>
      <c r="C66" s="5">
        <f t="shared" si="6"/>
        <v>5</v>
      </c>
      <c r="D66" s="40">
        <f>SUMIF('Cleaned Data'!B9:B100,B66,'Cleaned Data'!M9:M100)</f>
        <v>171830232</v>
      </c>
      <c r="E66" s="28">
        <f>SUMIF('Cleaned Data'!B9:B100,Stage6!B66,'Cleaned Data'!I9:I100)</f>
        <v>79127.199999999997</v>
      </c>
      <c r="F66" s="36">
        <f t="shared" si="7"/>
        <v>34366046.399999999</v>
      </c>
      <c r="G66" s="36">
        <f t="shared" si="8"/>
        <v>2171.5697257074685</v>
      </c>
      <c r="H66" s="10" t="str">
        <f t="shared" si="9"/>
        <v>Standard</v>
      </c>
      <c r="V66" s="8"/>
    </row>
    <row r="67" spans="1:22" x14ac:dyDescent="0.3">
      <c r="A67" s="9"/>
      <c r="B67" s="88" t="s">
        <v>27</v>
      </c>
      <c r="C67" s="5">
        <f t="shared" si="6"/>
        <v>12</v>
      </c>
      <c r="D67" s="40">
        <f>SUMIF('Cleaned Data'!B10:B101,B67,'Cleaned Data'!M10:M101)</f>
        <v>716408170</v>
      </c>
      <c r="E67" s="28">
        <f>SUMIF('Cleaned Data'!B10:B101,Stage6!B67,'Cleaned Data'!I10:I101)</f>
        <v>159094.96000000002</v>
      </c>
      <c r="F67" s="36">
        <f t="shared" si="7"/>
        <v>59700680.833333336</v>
      </c>
      <c r="G67" s="36">
        <f t="shared" si="8"/>
        <v>4503.0224087551223</v>
      </c>
      <c r="H67" s="10" t="str">
        <f t="shared" si="9"/>
        <v>High Performer</v>
      </c>
      <c r="V67" s="8"/>
    </row>
    <row r="68" spans="1:22" ht="15" thickBot="1" x14ac:dyDescent="0.35">
      <c r="A68" s="9"/>
      <c r="B68" s="93" t="s">
        <v>46</v>
      </c>
      <c r="C68" s="61">
        <f t="shared" si="6"/>
        <v>7</v>
      </c>
      <c r="D68" s="104">
        <f>SUMIF('Cleaned Data'!B11:B102,B68,'Cleaned Data'!M11:M102)</f>
        <v>479288314</v>
      </c>
      <c r="E68" s="103">
        <f>SUMIF('Cleaned Data'!B11:B102,Stage6!B68,'Cleaned Data'!I11:I102)</f>
        <v>150798.48000000001</v>
      </c>
      <c r="F68" s="105">
        <f t="shared" si="7"/>
        <v>68469759.142857149</v>
      </c>
      <c r="G68" s="105">
        <f t="shared" si="8"/>
        <v>3178.3365057791029</v>
      </c>
      <c r="H68" s="62" t="str">
        <f t="shared" si="9"/>
        <v>Standard</v>
      </c>
      <c r="V68" s="8"/>
    </row>
    <row r="69" spans="1:22" x14ac:dyDescent="0.3">
      <c r="A69" s="9"/>
      <c r="V69" s="8"/>
    </row>
    <row r="70" spans="1:22" x14ac:dyDescent="0.3">
      <c r="A70" s="9"/>
      <c r="V70" s="8"/>
    </row>
    <row r="71" spans="1:22" x14ac:dyDescent="0.3">
      <c r="A71" s="9"/>
      <c r="B71" s="39" t="s">
        <v>406</v>
      </c>
      <c r="C71" s="19"/>
      <c r="D71" s="19"/>
      <c r="E71" s="19">
        <f>CORREL(D59:D68,E59:E68)</f>
        <v>0.85943128358164134</v>
      </c>
      <c r="F71" s="19" t="s">
        <v>407</v>
      </c>
      <c r="V71" s="8"/>
    </row>
    <row r="72" spans="1:22" x14ac:dyDescent="0.3">
      <c r="A72" s="9"/>
      <c r="V72" s="8"/>
    </row>
    <row r="73" spans="1:22" ht="15" thickBot="1" x14ac:dyDescent="0.35">
      <c r="A73" s="9"/>
      <c r="V73" s="8"/>
    </row>
    <row r="74" spans="1:22" ht="15" thickBot="1" x14ac:dyDescent="0.35">
      <c r="A74" s="9"/>
      <c r="B74" s="156" t="s">
        <v>408</v>
      </c>
      <c r="C74" s="157"/>
      <c r="D74" s="158"/>
      <c r="F74" s="156" t="s">
        <v>410</v>
      </c>
      <c r="G74" s="157"/>
      <c r="H74" s="158"/>
      <c r="V74" s="8"/>
    </row>
    <row r="75" spans="1:22" x14ac:dyDescent="0.3">
      <c r="A75" s="9"/>
      <c r="B75" s="49" t="s">
        <v>398</v>
      </c>
      <c r="C75" s="46" t="s">
        <v>1</v>
      </c>
      <c r="D75" s="59" t="s">
        <v>409</v>
      </c>
      <c r="F75" s="49" t="s">
        <v>398</v>
      </c>
      <c r="G75" s="46" t="s">
        <v>1</v>
      </c>
      <c r="H75" s="59" t="s">
        <v>241</v>
      </c>
      <c r="V75" s="8"/>
    </row>
    <row r="76" spans="1:22" x14ac:dyDescent="0.3">
      <c r="A76" s="9"/>
      <c r="B76" s="47">
        <v>1</v>
      </c>
      <c r="C76" s="5" t="str">
        <f>INDEX($B$59:$B$68,MATCH(LARGE($G$59:$G$68,1),$G$59:$G$68,0))</f>
        <v>Nagpur</v>
      </c>
      <c r="D76" s="64">
        <f>LARGE(G59:G68,1)</f>
        <v>4503.0224087551223</v>
      </c>
      <c r="F76" s="47">
        <v>1</v>
      </c>
      <c r="G76" s="5" t="str">
        <f>INDEX($B$59:$B$68,MATCH(LARGE($D$59:$D$68,1),$D$59:$D$68,0))</f>
        <v>Goa</v>
      </c>
      <c r="H76" s="67">
        <f>LARGE($D$59:$D$68,1)</f>
        <v>1036587718</v>
      </c>
      <c r="V76" s="8"/>
    </row>
    <row r="77" spans="1:22" x14ac:dyDescent="0.3">
      <c r="A77" s="9"/>
      <c r="B77" s="47">
        <v>2</v>
      </c>
      <c r="C77" s="5" t="str">
        <f>INDEX($B$59:$B$68,MATCH(LARGE($G$59:$G$68,2),$G$59:$G$68,0))</f>
        <v>Delhi</v>
      </c>
      <c r="D77" s="64">
        <f>LARGE(G60:G69,2)</f>
        <v>4285.8955867320919</v>
      </c>
      <c r="F77" s="47">
        <v>2</v>
      </c>
      <c r="G77" s="5" t="str">
        <f>INDEX($B$59:$B$68,MATCH(LARGE($D$59:$D$68,2),$D$59:$D$68,0))</f>
        <v>Delhi</v>
      </c>
      <c r="H77" s="67">
        <f>LARGE($D$59:$D$68,2)</f>
        <v>744828479</v>
      </c>
      <c r="V77" s="8"/>
    </row>
    <row r="78" spans="1:22" x14ac:dyDescent="0.3">
      <c r="A78" s="9"/>
      <c r="B78" s="47">
        <v>3</v>
      </c>
      <c r="C78" s="5" t="str">
        <f>INDEX($B$59:$B$68,MATCH(LARGE($G$59:$G$68,3),$G$59:$G$68,0))</f>
        <v>Bengaluru</v>
      </c>
      <c r="D78" s="64">
        <f>LARGE(G61:G70,3)</f>
        <v>4185.1179508765044</v>
      </c>
      <c r="F78" s="47">
        <v>3</v>
      </c>
      <c r="G78" s="5" t="str">
        <f>INDEX($B$59:$B$68,MATCH(LARGE($D$59:$D$68,3),$D$59:$D$68,0))</f>
        <v>Nagpur</v>
      </c>
      <c r="H78" s="67">
        <f>LARGE($D$59:$D$68,3)</f>
        <v>716408170</v>
      </c>
      <c r="V78" s="8"/>
    </row>
    <row r="79" spans="1:22" x14ac:dyDescent="0.3">
      <c r="A79" s="9"/>
      <c r="B79" s="47">
        <v>4</v>
      </c>
      <c r="C79" s="5" t="str">
        <f>INDEX($B$59:$B$68,MATCH(LARGE($G$59:$G$68,4),$G$59:$G$68,0))</f>
        <v>Kolkata</v>
      </c>
      <c r="D79" s="64">
        <f>LARGE(G62:G71,4)</f>
        <v>3241.4820947985882</v>
      </c>
      <c r="F79" s="47">
        <v>4</v>
      </c>
      <c r="G79" s="5" t="str">
        <f>INDEX($B$59:$B$68,MATCH(LARGE($D$59:$D$68,4),$D$59:$D$68,0))</f>
        <v>Jaipur</v>
      </c>
      <c r="H79" s="67">
        <f>LARGE($D$59:$D$68,4)</f>
        <v>694118334</v>
      </c>
      <c r="V79" s="8"/>
    </row>
    <row r="80" spans="1:22" ht="15" thickBot="1" x14ac:dyDescent="0.35">
      <c r="A80" s="9"/>
      <c r="B80" s="60">
        <v>5</v>
      </c>
      <c r="C80" s="61" t="str">
        <f>INDEX($B$59:$B$68,MATCH(LARGE($G$59:$G$68,5),$G$59:$G$68,0))</f>
        <v>Jaipur</v>
      </c>
      <c r="D80" s="65">
        <f>LARGE(G63:G72,5)</f>
        <v>2925.0939576933733</v>
      </c>
      <c r="F80" s="60">
        <v>5</v>
      </c>
      <c r="G80" s="61" t="str">
        <f>INDEX($B$59:$B$68,MATCH(LARGE($D$59:$D$68,5),$D$59:$D$68,0))</f>
        <v>Bengaluru</v>
      </c>
      <c r="H80" s="68">
        <f>LARGE($D$59:$D$68,5)</f>
        <v>633786616</v>
      </c>
      <c r="V80" s="8"/>
    </row>
    <row r="81" spans="1:22" x14ac:dyDescent="0.3">
      <c r="A81" s="9"/>
      <c r="V81" s="8"/>
    </row>
    <row r="82" spans="1:22" ht="15" thickBot="1" x14ac:dyDescent="0.35">
      <c r="A82" s="9"/>
      <c r="V82" s="8"/>
    </row>
    <row r="83" spans="1:22" ht="15" thickBot="1" x14ac:dyDescent="0.35">
      <c r="A83" s="9"/>
      <c r="D83" s="156" t="s">
        <v>411</v>
      </c>
      <c r="E83" s="157"/>
      <c r="F83" s="158"/>
      <c r="V83" s="8"/>
    </row>
    <row r="84" spans="1:22" x14ac:dyDescent="0.3">
      <c r="A84" s="9"/>
      <c r="D84" s="49" t="s">
        <v>398</v>
      </c>
      <c r="E84" s="46" t="s">
        <v>1</v>
      </c>
      <c r="F84" s="59" t="s">
        <v>143</v>
      </c>
      <c r="V84" s="8"/>
    </row>
    <row r="85" spans="1:22" x14ac:dyDescent="0.3">
      <c r="A85" s="9"/>
      <c r="D85" s="47">
        <v>1</v>
      </c>
      <c r="E85" s="5" t="str">
        <f>INDEX($B$59:$B$68,MATCH(LARGE($E$59:$E$68,1),$E$59:$E$68,0))</f>
        <v>Goa</v>
      </c>
      <c r="F85" s="69">
        <f>LARGE($E$59:$E$68,1)</f>
        <v>354377.58</v>
      </c>
      <c r="V85" s="8"/>
    </row>
    <row r="86" spans="1:22" x14ac:dyDescent="0.3">
      <c r="A86" s="9"/>
      <c r="D86" s="47">
        <v>2</v>
      </c>
      <c r="E86" s="5" t="str">
        <f>INDEX($B$59:$B$68,MATCH(LARGE($E$59:$E$68,2),$E$59:$E$68,0))</f>
        <v>Jaipur</v>
      </c>
      <c r="F86" s="69">
        <f>LARGE($E$59:$E$68,2)</f>
        <v>214136.1</v>
      </c>
      <c r="V86" s="8"/>
    </row>
    <row r="87" spans="1:22" x14ac:dyDescent="0.3">
      <c r="A87" s="9"/>
      <c r="D87" s="47">
        <v>3</v>
      </c>
      <c r="E87" s="5" t="str">
        <f>INDEX($B$59:$B$68,MATCH(LARGE($E$59:$E$68,3),$E$59:$E$68,0))</f>
        <v>Delhi</v>
      </c>
      <c r="F87" s="69">
        <f>LARGE($E$59:$E$68,3)</f>
        <v>173785.96000000002</v>
      </c>
      <c r="V87" s="8"/>
    </row>
    <row r="88" spans="1:22" x14ac:dyDescent="0.3">
      <c r="A88" s="9"/>
      <c r="D88" s="47">
        <v>4</v>
      </c>
      <c r="E88" s="5" t="str">
        <f>INDEX($B$59:$B$68,MATCH(LARGE($E$59:$E$68,4),$E$59:$E$68,0))</f>
        <v>Nagpur</v>
      </c>
      <c r="F88" s="69">
        <f>LARGE($E$59:$E$68,4)</f>
        <v>159094.96000000002</v>
      </c>
      <c r="V88" s="8"/>
    </row>
    <row r="89" spans="1:22" ht="15" thickBot="1" x14ac:dyDescent="0.35">
      <c r="A89" s="9"/>
      <c r="D89" s="60">
        <v>5</v>
      </c>
      <c r="E89" s="61" t="str">
        <f>INDEX($B$59:$B$68,MATCH(LARGE($E$59:$E$68,5),$E$59:$E$68,0))</f>
        <v>Chandigarh</v>
      </c>
      <c r="F89" s="70">
        <f>LARGE($E$59:$E$68,5)</f>
        <v>155236.1</v>
      </c>
      <c r="V89" s="8"/>
    </row>
    <row r="90" spans="1:22" x14ac:dyDescent="0.3">
      <c r="A90" s="9"/>
      <c r="V90" s="8"/>
    </row>
    <row r="91" spans="1:22" x14ac:dyDescent="0.3">
      <c r="A91" s="9"/>
      <c r="V91" s="8"/>
    </row>
    <row r="92" spans="1:22" x14ac:dyDescent="0.3">
      <c r="A92" s="9"/>
      <c r="B92" s="19" t="s">
        <v>415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V92" s="8"/>
    </row>
    <row r="93" spans="1:22" x14ac:dyDescent="0.3">
      <c r="A93" s="9"/>
      <c r="B93" s="155" t="s">
        <v>412</v>
      </c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V93" s="8"/>
    </row>
    <row r="94" spans="1:22" x14ac:dyDescent="0.3">
      <c r="A94" s="9"/>
      <c r="B94" s="155" t="s">
        <v>413</v>
      </c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V94" s="8"/>
    </row>
    <row r="95" spans="1:22" x14ac:dyDescent="0.3">
      <c r="A95" s="9"/>
      <c r="B95" s="155" t="s">
        <v>414</v>
      </c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V95" s="8"/>
    </row>
    <row r="96" spans="1:22" ht="15" thickBot="1" x14ac:dyDescent="0.35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4"/>
    </row>
  </sheetData>
  <dataConsolidate function="count">
    <dataRefs count="1">
      <dataRef ref="B58:H68" sheet="Stage6"/>
    </dataRefs>
  </dataConsolidate>
  <mergeCells count="7">
    <mergeCell ref="B95:M95"/>
    <mergeCell ref="A1:V1"/>
    <mergeCell ref="B74:D74"/>
    <mergeCell ref="F74:H74"/>
    <mergeCell ref="D83:F83"/>
    <mergeCell ref="B93:M93"/>
    <mergeCell ref="B94:M94"/>
  </mergeCells>
  <pageMargins left="0.70866141732283472" right="0.70866141732283472" top="0.74803149606299213" bottom="0.74803149606299213" header="0.31496062992125984" footer="0.31496062992125984"/>
  <pageSetup scale="28" fitToHeight="0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ED6A-1350-4068-B419-D349BB7FEDBA}">
  <sheetPr>
    <pageSetUpPr fitToPage="1"/>
  </sheetPr>
  <dimension ref="A1:X41"/>
  <sheetViews>
    <sheetView showGridLines="0" zoomScale="57" zoomScaleNormal="57" workbookViewId="0">
      <pane ySplit="1" topLeftCell="A2" activePane="bottomLeft" state="frozen"/>
      <selection pane="bottomLeft" sqref="A1:S1"/>
    </sheetView>
  </sheetViews>
  <sheetFormatPr defaultRowHeight="14.4" x14ac:dyDescent="0.3"/>
  <cols>
    <col min="1" max="1" width="27.77734375" customWidth="1"/>
    <col min="2" max="2" width="26.109375" customWidth="1"/>
    <col min="3" max="3" width="26.44140625" customWidth="1"/>
    <col min="4" max="4" width="24.6640625" customWidth="1"/>
    <col min="5" max="5" width="2.77734375" customWidth="1"/>
    <col min="6" max="6" width="23.109375" customWidth="1"/>
    <col min="7" max="7" width="18.5546875" customWidth="1"/>
    <col min="8" max="8" width="13.88671875" customWidth="1"/>
    <col min="9" max="9" width="33.21875" bestFit="1" customWidth="1"/>
    <col min="10" max="12" width="9.21875" customWidth="1"/>
  </cols>
  <sheetData>
    <row r="1" spans="1:21" ht="40.049999999999997" customHeight="1" thickBot="1" x14ac:dyDescent="0.6">
      <c r="A1" s="211" t="s">
        <v>443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3"/>
      <c r="T1" s="204"/>
      <c r="U1" s="204"/>
    </row>
    <row r="2" spans="1:21" ht="15" thickBot="1" x14ac:dyDescent="0.35">
      <c r="A2" s="9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8"/>
    </row>
    <row r="3" spans="1:21" ht="18" x14ac:dyDescent="0.35">
      <c r="A3" s="182" t="s">
        <v>432</v>
      </c>
      <c r="B3" s="183"/>
      <c r="C3" s="183"/>
      <c r="D3" s="184"/>
      <c r="E3" s="160"/>
      <c r="F3" s="197" t="s">
        <v>453</v>
      </c>
      <c r="G3" s="198"/>
      <c r="H3" s="198"/>
      <c r="I3" s="199"/>
      <c r="J3" s="160"/>
      <c r="K3" s="160"/>
      <c r="L3" s="160"/>
      <c r="M3" s="160"/>
      <c r="N3" s="160"/>
      <c r="O3" s="160"/>
      <c r="P3" s="160"/>
      <c r="Q3" s="160"/>
      <c r="R3" s="160"/>
      <c r="S3" s="8"/>
    </row>
    <row r="4" spans="1:21" x14ac:dyDescent="0.3">
      <c r="A4" s="185" t="s">
        <v>241</v>
      </c>
      <c r="B4" s="159" t="s">
        <v>143</v>
      </c>
      <c r="C4" s="159" t="s">
        <v>317</v>
      </c>
      <c r="D4" s="186" t="s">
        <v>416</v>
      </c>
      <c r="E4" s="160"/>
      <c r="F4" s="200" t="s">
        <v>170</v>
      </c>
      <c r="G4" s="227" t="s">
        <v>426</v>
      </c>
      <c r="H4" s="227" t="s">
        <v>427</v>
      </c>
      <c r="I4" s="228" t="s">
        <v>451</v>
      </c>
      <c r="J4" s="160"/>
      <c r="K4" s="160"/>
      <c r="L4" s="160"/>
      <c r="M4" s="160"/>
      <c r="N4" s="160"/>
      <c r="O4" s="160"/>
      <c r="P4" s="160"/>
      <c r="Q4" s="160"/>
      <c r="R4" s="160"/>
      <c r="S4" s="8"/>
    </row>
    <row r="5" spans="1:21" ht="18.600000000000001" thickBot="1" x14ac:dyDescent="0.4">
      <c r="A5" s="187">
        <f>Stage2!B16</f>
        <v>5964562939</v>
      </c>
      <c r="B5" s="188">
        <f>Stage2!C39</f>
        <v>1802309.7200000002</v>
      </c>
      <c r="C5" s="189">
        <f>Stage4!B57</f>
        <v>92</v>
      </c>
      <c r="D5" s="190">
        <f>Stage3!B14</f>
        <v>2914.1931350114414</v>
      </c>
      <c r="E5" s="160"/>
      <c r="F5" s="9" t="s">
        <v>45</v>
      </c>
      <c r="G5" s="163">
        <f>Stage5!F12</f>
        <v>7.4171778625831339E-2</v>
      </c>
      <c r="H5" s="163">
        <f>Stage5!G12</f>
        <v>7.2309775543694277E-2</v>
      </c>
      <c r="I5" s="195">
        <f>Stage5!E12</f>
        <v>468868182</v>
      </c>
      <c r="J5" s="160"/>
      <c r="K5" s="160"/>
      <c r="L5" s="160"/>
      <c r="M5" s="160"/>
      <c r="N5" s="160"/>
      <c r="O5" s="160"/>
      <c r="P5" s="160"/>
      <c r="Q5" s="160"/>
      <c r="R5" s="160"/>
      <c r="S5" s="8"/>
    </row>
    <row r="6" spans="1:21" ht="15" thickBot="1" x14ac:dyDescent="0.35">
      <c r="A6" s="9"/>
      <c r="B6" s="160"/>
      <c r="C6" s="160"/>
      <c r="D6" s="160"/>
      <c r="E6" s="160"/>
      <c r="F6" s="9" t="s">
        <v>428</v>
      </c>
      <c r="G6" s="163">
        <f>Stage5!F14</f>
        <v>3.2867875383216026E-2</v>
      </c>
      <c r="H6" s="163">
        <f>Stage5!G14</f>
        <v>6.9779648300403688E-2</v>
      </c>
      <c r="I6" s="195">
        <f>Stage5!E14</f>
        <v>1069812715</v>
      </c>
      <c r="J6" s="160"/>
      <c r="K6" s="160"/>
      <c r="L6" s="160"/>
      <c r="M6" s="160"/>
      <c r="N6" s="160"/>
      <c r="O6" s="160"/>
      <c r="P6" s="160"/>
      <c r="Q6" s="160"/>
      <c r="R6" s="160"/>
      <c r="S6" s="8"/>
    </row>
    <row r="7" spans="1:21" ht="15.6" x14ac:dyDescent="0.3">
      <c r="A7" s="191" t="s">
        <v>433</v>
      </c>
      <c r="B7" s="192"/>
      <c r="C7" s="192"/>
      <c r="D7" s="193"/>
      <c r="E7" s="160"/>
      <c r="F7" s="9" t="s">
        <v>43</v>
      </c>
      <c r="G7" s="163">
        <f>Stage5!F11</f>
        <v>5.3786950492769506E-2</v>
      </c>
      <c r="H7" s="163">
        <f>Stage5!G11</f>
        <v>9.3274149354204763E-2</v>
      </c>
      <c r="I7" s="195">
        <f>Stage5!E11</f>
        <v>695292216</v>
      </c>
      <c r="J7" s="160"/>
      <c r="K7" s="160"/>
      <c r="L7" s="160"/>
      <c r="M7" s="160"/>
      <c r="N7" s="160"/>
      <c r="O7" s="160"/>
      <c r="P7" s="160"/>
      <c r="Q7" s="160"/>
      <c r="R7" s="160"/>
      <c r="S7" s="8"/>
    </row>
    <row r="8" spans="1:21" x14ac:dyDescent="0.3">
      <c r="A8" s="194" t="s">
        <v>417</v>
      </c>
      <c r="B8" s="232" t="s">
        <v>418</v>
      </c>
      <c r="C8" s="232" t="s">
        <v>419</v>
      </c>
      <c r="D8" s="233" t="s">
        <v>420</v>
      </c>
      <c r="E8" s="160"/>
      <c r="F8" s="9" t="s">
        <v>23</v>
      </c>
      <c r="G8" s="163">
        <f>Stage5!F13</f>
        <v>5.7914604399964507E-2</v>
      </c>
      <c r="H8" s="163">
        <f>Stage5!G13</f>
        <v>7.3170407004790272E-2</v>
      </c>
      <c r="I8" s="195">
        <f>Stage5!E13</f>
        <v>459482479</v>
      </c>
      <c r="J8" s="160"/>
      <c r="K8" s="160"/>
      <c r="L8" s="160"/>
      <c r="M8" s="160"/>
      <c r="N8" s="160"/>
      <c r="O8" s="160"/>
      <c r="P8" s="160"/>
      <c r="Q8" s="160"/>
      <c r="R8" s="160"/>
      <c r="S8" s="8"/>
    </row>
    <row r="9" spans="1:21" x14ac:dyDescent="0.3">
      <c r="A9" s="9" t="s">
        <v>421</v>
      </c>
      <c r="B9" s="161">
        <f>Stage2!B15</f>
        <v>865042389</v>
      </c>
      <c r="C9" s="162">
        <f>Stage2!C38</f>
        <v>261064.58000000002</v>
      </c>
      <c r="D9" s="84">
        <f>Stage2!C15</f>
        <v>0.14503030613422119</v>
      </c>
      <c r="E9" s="160"/>
      <c r="F9" s="9" t="s">
        <v>429</v>
      </c>
      <c r="G9" s="163">
        <f>Stage5!F9</f>
        <v>5.0233970557691653E-2</v>
      </c>
      <c r="H9" s="163">
        <f>Stage5!G9</f>
        <v>0.10578593513603361</v>
      </c>
      <c r="I9" s="195">
        <f>Stage5!E9</f>
        <v>417295881</v>
      </c>
      <c r="J9" s="160"/>
      <c r="K9" s="160"/>
      <c r="L9" s="160"/>
      <c r="M9" s="160"/>
      <c r="N9" s="160"/>
      <c r="O9" s="160"/>
      <c r="P9" s="160"/>
      <c r="Q9" s="160"/>
      <c r="R9" s="160"/>
      <c r="S9" s="8"/>
    </row>
    <row r="10" spans="1:21" x14ac:dyDescent="0.3">
      <c r="A10" s="9" t="s">
        <v>422</v>
      </c>
      <c r="B10" s="161">
        <f>Stage2!B11</f>
        <v>848183953</v>
      </c>
      <c r="C10" s="162">
        <f>Stage2!C34</f>
        <v>256917.18000000002</v>
      </c>
      <c r="D10" s="84">
        <f>Stage2!C11</f>
        <v>0.14220387338928875</v>
      </c>
      <c r="E10" s="160"/>
      <c r="F10" s="78" t="s">
        <v>430</v>
      </c>
      <c r="G10" s="196">
        <f>Stage5!D18</f>
        <v>4.5028320221737542E-2</v>
      </c>
      <c r="H10" s="196">
        <f>Stage5!G15</f>
        <v>8.7303339460997179E-2</v>
      </c>
      <c r="I10" s="255"/>
      <c r="J10" s="160"/>
      <c r="K10" s="160"/>
      <c r="L10" s="160"/>
      <c r="M10" s="160"/>
      <c r="N10" s="160"/>
      <c r="O10" s="160"/>
      <c r="P10" s="160"/>
      <c r="Q10" s="160"/>
      <c r="R10" s="160"/>
      <c r="S10" s="8"/>
    </row>
    <row r="11" spans="1:21" ht="15" thickBot="1" x14ac:dyDescent="0.35">
      <c r="A11" s="9" t="s">
        <v>423</v>
      </c>
      <c r="B11" s="161">
        <f>Stage2!B12</f>
        <v>695359429</v>
      </c>
      <c r="C11" s="162">
        <f>Stage2!C35</f>
        <v>142573</v>
      </c>
      <c r="D11" s="84">
        <f>Stage2!C12</f>
        <v>0.11658179083890793</v>
      </c>
      <c r="E11" s="160"/>
      <c r="F11" s="265" t="s">
        <v>439</v>
      </c>
      <c r="G11" s="266"/>
      <c r="H11" s="266"/>
      <c r="I11" s="267"/>
      <c r="J11" s="160"/>
      <c r="K11" s="160"/>
      <c r="L11" s="160"/>
      <c r="M11" s="160"/>
      <c r="N11" s="160"/>
      <c r="O11" s="160"/>
      <c r="P11" s="160"/>
      <c r="Q11" s="160"/>
      <c r="R11" s="160"/>
      <c r="S11" s="8"/>
    </row>
    <row r="12" spans="1:21" ht="16.2" thickBot="1" x14ac:dyDescent="0.35">
      <c r="A12" s="201" t="s">
        <v>437</v>
      </c>
      <c r="B12" s="202"/>
      <c r="C12" s="202"/>
      <c r="D12" s="203"/>
      <c r="E12" s="160"/>
      <c r="F12" s="274" t="s">
        <v>435</v>
      </c>
      <c r="G12" s="275"/>
      <c r="H12" s="275"/>
      <c r="I12" s="276"/>
      <c r="J12" s="160"/>
      <c r="K12" s="160"/>
      <c r="L12" s="160"/>
      <c r="M12" s="160"/>
      <c r="N12" s="160"/>
      <c r="O12" s="160"/>
      <c r="P12" s="160"/>
      <c r="Q12" s="160"/>
      <c r="R12" s="160"/>
      <c r="S12" s="8"/>
    </row>
    <row r="13" spans="1:21" ht="15" thickBot="1" x14ac:dyDescent="0.35">
      <c r="A13" s="9"/>
      <c r="B13" s="160"/>
      <c r="C13" s="160"/>
      <c r="D13" s="160"/>
      <c r="E13" s="160"/>
      <c r="F13" s="277" t="s">
        <v>445</v>
      </c>
      <c r="G13" s="268"/>
      <c r="H13" s="268"/>
      <c r="I13" s="278"/>
      <c r="J13" s="160"/>
      <c r="K13" s="160"/>
      <c r="L13" s="160"/>
      <c r="M13" s="160"/>
      <c r="N13" s="160"/>
      <c r="O13" s="160"/>
      <c r="P13" s="160"/>
      <c r="Q13" s="160"/>
      <c r="R13" s="160"/>
      <c r="S13" s="8"/>
    </row>
    <row r="14" spans="1:21" ht="15.6" x14ac:dyDescent="0.3">
      <c r="A14" s="240" t="s">
        <v>455</v>
      </c>
      <c r="B14" s="241"/>
      <c r="C14" s="241"/>
      <c r="D14" s="242"/>
      <c r="E14" s="160"/>
      <c r="F14" s="279" t="s">
        <v>446</v>
      </c>
      <c r="G14" s="269"/>
      <c r="H14" s="269"/>
      <c r="I14" s="280"/>
      <c r="J14" s="160"/>
      <c r="K14" s="160"/>
      <c r="L14" s="160"/>
      <c r="M14" s="160"/>
      <c r="N14" s="160"/>
      <c r="O14" s="160"/>
      <c r="P14" s="160"/>
      <c r="Q14" s="160"/>
      <c r="R14" s="160"/>
      <c r="S14" s="8"/>
    </row>
    <row r="15" spans="1:21" x14ac:dyDescent="0.3">
      <c r="A15" s="243" t="s">
        <v>1</v>
      </c>
      <c r="B15" s="244" t="s">
        <v>418</v>
      </c>
      <c r="C15" s="244" t="s">
        <v>461</v>
      </c>
      <c r="D15" s="245" t="s">
        <v>398</v>
      </c>
      <c r="E15" s="160"/>
      <c r="F15" s="281" t="s">
        <v>447</v>
      </c>
      <c r="G15" s="270"/>
      <c r="H15" s="270"/>
      <c r="I15" s="282"/>
      <c r="J15" s="160"/>
      <c r="K15" s="160"/>
      <c r="L15" s="160"/>
      <c r="M15" s="160"/>
      <c r="N15" s="160"/>
      <c r="O15" s="160"/>
      <c r="P15" s="160"/>
      <c r="Q15" s="160"/>
      <c r="R15" s="160"/>
      <c r="S15" s="8"/>
    </row>
    <row r="16" spans="1:21" x14ac:dyDescent="0.3">
      <c r="A16" s="9" t="s">
        <v>24</v>
      </c>
      <c r="B16" s="165">
        <f>Stage2!B55</f>
        <v>1073141556</v>
      </c>
      <c r="C16" s="253">
        <f>Stage2!C55</f>
        <v>369065.58</v>
      </c>
      <c r="D16" s="229">
        <v>1</v>
      </c>
      <c r="E16" s="160"/>
      <c r="F16" s="283" t="s">
        <v>448</v>
      </c>
      <c r="G16" s="271"/>
      <c r="H16" s="271"/>
      <c r="I16" s="284"/>
      <c r="J16" s="160"/>
      <c r="K16" s="160"/>
      <c r="L16" s="160"/>
      <c r="M16" s="160"/>
      <c r="N16" s="160"/>
      <c r="O16" s="160"/>
      <c r="P16" s="160"/>
      <c r="Q16" s="160"/>
      <c r="R16" s="160"/>
      <c r="S16" s="8"/>
    </row>
    <row r="17" spans="1:24" x14ac:dyDescent="0.3">
      <c r="A17" s="9" t="s">
        <v>31</v>
      </c>
      <c r="B17" s="165">
        <f>Stage2!B54</f>
        <v>752723987</v>
      </c>
      <c r="C17" s="253">
        <f>Stage2!C54</f>
        <v>234934.98</v>
      </c>
      <c r="D17" s="229">
        <v>2</v>
      </c>
      <c r="E17" s="160"/>
      <c r="F17" s="285" t="s">
        <v>457</v>
      </c>
      <c r="G17" s="272"/>
      <c r="H17" s="272"/>
      <c r="I17" s="286"/>
      <c r="J17" s="160"/>
      <c r="K17" s="160"/>
      <c r="L17" s="160"/>
      <c r="M17" s="160"/>
      <c r="N17" s="160"/>
      <c r="O17" s="160"/>
      <c r="P17" s="160"/>
      <c r="Q17" s="160"/>
      <c r="R17" s="160"/>
      <c r="S17" s="8"/>
    </row>
    <row r="18" spans="1:24" x14ac:dyDescent="0.3">
      <c r="A18" s="9" t="s">
        <v>27</v>
      </c>
      <c r="B18" s="165">
        <f>Stage2!B51</f>
        <v>831769738</v>
      </c>
      <c r="C18" s="253">
        <f>Stage2!C51</f>
        <v>227873.96</v>
      </c>
      <c r="D18" s="229">
        <v>3</v>
      </c>
      <c r="E18" s="160"/>
      <c r="F18" s="287" t="s">
        <v>449</v>
      </c>
      <c r="G18" s="273"/>
      <c r="H18" s="273"/>
      <c r="I18" s="288"/>
      <c r="J18" s="160"/>
      <c r="K18" s="160"/>
      <c r="L18" s="160"/>
      <c r="M18" s="160"/>
      <c r="N18" s="160"/>
      <c r="O18" s="160"/>
      <c r="P18" s="160"/>
      <c r="Q18" s="160"/>
      <c r="R18" s="160"/>
      <c r="S18" s="8"/>
    </row>
    <row r="19" spans="1:24" ht="15" thickBot="1" x14ac:dyDescent="0.35">
      <c r="A19" s="9" t="s">
        <v>16</v>
      </c>
      <c r="B19" s="165">
        <f>Stage2!B56</f>
        <v>744828479</v>
      </c>
      <c r="C19" s="253">
        <f>Stage2!C56</f>
        <v>173785.96000000002</v>
      </c>
      <c r="D19" s="229">
        <v>4</v>
      </c>
      <c r="E19" s="160"/>
      <c r="F19" s="289" t="s">
        <v>460</v>
      </c>
      <c r="G19" s="290"/>
      <c r="H19" s="290"/>
      <c r="I19" s="291"/>
      <c r="J19" s="160"/>
      <c r="K19" s="160"/>
      <c r="L19" s="160"/>
      <c r="M19" s="160"/>
      <c r="N19" s="160"/>
      <c r="O19" s="160"/>
      <c r="P19" s="160"/>
      <c r="Q19" s="160"/>
      <c r="R19" s="160"/>
      <c r="S19" s="8"/>
    </row>
    <row r="20" spans="1:24" x14ac:dyDescent="0.3">
      <c r="A20" s="9" t="s">
        <v>65</v>
      </c>
      <c r="B20" s="165">
        <f>Stage2!B57</f>
        <v>340514615</v>
      </c>
      <c r="C20" s="253">
        <f>Stage2!C57</f>
        <v>155236.1</v>
      </c>
      <c r="D20" s="229">
        <v>5</v>
      </c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8"/>
    </row>
    <row r="21" spans="1:24" ht="15" thickBot="1" x14ac:dyDescent="0.35">
      <c r="A21" s="201" t="s">
        <v>436</v>
      </c>
      <c r="B21" s="202"/>
      <c r="C21" s="202"/>
      <c r="D21" s="203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8"/>
    </row>
    <row r="22" spans="1:24" ht="15.6" x14ac:dyDescent="0.3">
      <c r="A22" s="246" t="s">
        <v>454</v>
      </c>
      <c r="B22" s="247"/>
      <c r="C22" s="247"/>
      <c r="D22" s="248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8"/>
    </row>
    <row r="23" spans="1:24" x14ac:dyDescent="0.3">
      <c r="A23" s="249" t="s">
        <v>171</v>
      </c>
      <c r="B23" s="250" t="str">
        <f>Stage4!F4</f>
        <v>Avg Revenue / Event</v>
      </c>
      <c r="C23" s="250" t="str">
        <f>Stage4!E4</f>
        <v>Avg Attendance/Event</v>
      </c>
      <c r="D23" s="251" t="s">
        <v>456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8"/>
      <c r="X23" s="219"/>
    </row>
    <row r="24" spans="1:24" x14ac:dyDescent="0.3">
      <c r="A24" s="9" t="s">
        <v>13</v>
      </c>
      <c r="B24" s="165">
        <f>INDEX(Stage4!$F$5:$F$14,MATCH(Dashboard!A24,Stage4!$A$5:$A$14,0))</f>
        <v>84364632.916666672</v>
      </c>
      <c r="C24" s="253">
        <f>INDEX(Stage4!$E$5:$E$14,MATCH(Dashboard!A24,Stage4!$A$5:$A$14,0))</f>
        <v>21629.323333333334</v>
      </c>
      <c r="D24" s="252">
        <f>Stage4!D6</f>
        <v>12</v>
      </c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8"/>
    </row>
    <row r="25" spans="1:24" x14ac:dyDescent="0.3">
      <c r="A25" s="9" t="s">
        <v>17</v>
      </c>
      <c r="B25" s="165">
        <f>INDEX(Stage4!$F$5:$F$14,MATCH(Dashboard!A25,Stage4!$A$5:$A$14,0))</f>
        <v>79786683</v>
      </c>
      <c r="C25" s="253">
        <f>INDEX(Stage4!$E$5:$E$14,MATCH(Dashboard!A25,Stage4!$A$5:$A$14,0))</f>
        <v>15857.727272727272</v>
      </c>
      <c r="D25" s="252">
        <f>Stage4!D11</f>
        <v>11</v>
      </c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8"/>
    </row>
    <row r="26" spans="1:24" x14ac:dyDescent="0.3">
      <c r="A26" s="9" t="s">
        <v>21</v>
      </c>
      <c r="B26" s="165">
        <f>INDEX(Stage4!$F$5:$F$14,MATCH(Dashboard!A26,Stage4!$A$5:$A$14,0))</f>
        <v>69386245.75</v>
      </c>
      <c r="C26" s="253">
        <f>INDEX(Stage4!$E$5:$E$14,MATCH(Dashboard!A26,Stage4!$A$5:$A$14,0))</f>
        <v>15183.098333333335</v>
      </c>
      <c r="D26" s="252">
        <f>Stage4!D7</f>
        <v>12</v>
      </c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8"/>
    </row>
    <row r="27" spans="1:24" x14ac:dyDescent="0.3">
      <c r="A27" s="9" t="s">
        <v>37</v>
      </c>
      <c r="B27" s="165">
        <f>INDEX(Stage4!$F$5:$F$14,MATCH(Dashboard!A27,Stage4!$A$5:$A$14,0))</f>
        <v>70785753.799999997</v>
      </c>
      <c r="C27" s="253">
        <f>INDEX(Stage4!$E$5:$E$14,MATCH(Dashboard!A27,Stage4!$A$5:$A$14,0))</f>
        <v>21867.564000000002</v>
      </c>
      <c r="D27" s="252">
        <f>Stage4!D14</f>
        <v>10</v>
      </c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8"/>
    </row>
    <row r="28" spans="1:24" x14ac:dyDescent="0.3">
      <c r="A28" s="9" t="s">
        <v>48</v>
      </c>
      <c r="B28" s="165">
        <f>INDEX(Stage4!$F$5:$F$14,MATCH(Dashboard!A28,Stage4!$A$5:$A$14,0))</f>
        <v>56703469.625</v>
      </c>
      <c r="C28" s="253">
        <f>INDEX(Stage4!$E$5:$E$14,MATCH(Dashboard!A28,Stage4!$A$5:$A$14,0))</f>
        <v>31512.812500000004</v>
      </c>
      <c r="D28" s="252">
        <f>Stage4!D8</f>
        <v>8</v>
      </c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8"/>
    </row>
    <row r="29" spans="1:24" ht="15" thickBot="1" x14ac:dyDescent="0.35">
      <c r="A29" s="201" t="s">
        <v>438</v>
      </c>
      <c r="B29" s="202"/>
      <c r="C29" s="202"/>
      <c r="D29" s="203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8"/>
    </row>
    <row r="30" spans="1:24" x14ac:dyDescent="0.3"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8"/>
    </row>
    <row r="31" spans="1:24" ht="15" thickBot="1" x14ac:dyDescent="0.35">
      <c r="E31" s="160"/>
      <c r="F31" s="160"/>
      <c r="G31" s="160"/>
      <c r="H31" s="160"/>
      <c r="I31" s="160"/>
      <c r="J31" s="167"/>
      <c r="K31" s="167"/>
      <c r="L31" s="167"/>
      <c r="M31" s="160"/>
      <c r="N31" s="160"/>
      <c r="O31" s="160"/>
      <c r="P31" s="160"/>
      <c r="Q31" s="160"/>
      <c r="R31" s="160"/>
      <c r="S31" s="8"/>
    </row>
    <row r="32" spans="1:24" ht="14.4" customHeight="1" x14ac:dyDescent="0.3">
      <c r="A32" s="246" t="s">
        <v>434</v>
      </c>
      <c r="B32" s="247"/>
      <c r="C32" s="247"/>
      <c r="D32" s="248"/>
      <c r="E32" s="160"/>
      <c r="F32" s="160"/>
      <c r="G32" s="160"/>
      <c r="H32" s="160"/>
      <c r="I32" s="160"/>
      <c r="J32" s="166"/>
      <c r="K32" s="166"/>
      <c r="L32" s="166"/>
      <c r="M32" s="160"/>
      <c r="N32" s="160"/>
      <c r="O32" s="160"/>
      <c r="P32" s="160"/>
      <c r="Q32" s="160"/>
      <c r="R32" s="160"/>
      <c r="S32" s="8"/>
    </row>
    <row r="33" spans="1:19" ht="14.4" customHeight="1" x14ac:dyDescent="0.3">
      <c r="A33" s="249" t="s">
        <v>425</v>
      </c>
      <c r="B33" s="250" t="s">
        <v>424</v>
      </c>
      <c r="C33" s="250" t="s">
        <v>419</v>
      </c>
      <c r="D33" s="251" t="s">
        <v>416</v>
      </c>
      <c r="E33" s="160"/>
      <c r="F33" s="160"/>
      <c r="G33" s="160"/>
      <c r="H33" s="160"/>
      <c r="I33" s="160"/>
      <c r="J33" s="166"/>
      <c r="K33" s="166"/>
      <c r="L33" s="166"/>
      <c r="M33" s="160"/>
      <c r="N33" s="160"/>
      <c r="O33" s="160"/>
      <c r="P33" s="160"/>
      <c r="Q33" s="160"/>
      <c r="R33" s="160"/>
      <c r="S33" s="8"/>
    </row>
    <row r="34" spans="1:19" ht="14.4" customHeight="1" x14ac:dyDescent="0.3">
      <c r="A34" s="9" t="s">
        <v>229</v>
      </c>
      <c r="B34" s="230">
        <f>Stage4!B55</f>
        <v>29</v>
      </c>
      <c r="C34" s="254">
        <f>Stage4!C55</f>
        <v>478689.93999999994</v>
      </c>
      <c r="D34" s="231">
        <f>Stage4!E55</f>
        <v>3223.4074773139746</v>
      </c>
      <c r="E34" s="160"/>
      <c r="F34" s="160"/>
      <c r="G34" s="160"/>
      <c r="H34" s="160"/>
      <c r="I34" s="160"/>
      <c r="J34" s="166"/>
      <c r="K34" s="166"/>
      <c r="L34" s="166"/>
      <c r="M34" s="160"/>
      <c r="N34" s="160"/>
      <c r="O34" s="160"/>
      <c r="P34" s="160"/>
      <c r="Q34" s="160"/>
      <c r="R34" s="160"/>
      <c r="S34" s="8"/>
    </row>
    <row r="35" spans="1:19" ht="14.4" customHeight="1" x14ac:dyDescent="0.3">
      <c r="A35" s="9" t="s">
        <v>228</v>
      </c>
      <c r="B35" s="230">
        <f>Stage4!B56</f>
        <v>63</v>
      </c>
      <c r="C35" s="254">
        <f>Stage4!C56</f>
        <v>1323619.78</v>
      </c>
      <c r="D35" s="231">
        <f>Stage4!E56</f>
        <v>2771.8563742690058</v>
      </c>
      <c r="E35" s="160"/>
      <c r="F35" s="160"/>
      <c r="G35" s="160"/>
      <c r="H35" s="160"/>
      <c r="I35" s="160"/>
      <c r="J35" s="166"/>
      <c r="K35" s="166"/>
      <c r="L35" s="166"/>
      <c r="M35" s="160"/>
      <c r="N35" s="160"/>
      <c r="O35" s="160"/>
      <c r="P35" s="160"/>
      <c r="Q35" s="160"/>
      <c r="R35" s="160"/>
      <c r="S35" s="8"/>
    </row>
    <row r="36" spans="1:19" ht="14.4" customHeight="1" thickBot="1" x14ac:dyDescent="0.35">
      <c r="A36" s="201" t="s">
        <v>440</v>
      </c>
      <c r="B36" s="202"/>
      <c r="C36" s="202"/>
      <c r="D36" s="203"/>
      <c r="E36" s="160"/>
      <c r="F36" s="160"/>
      <c r="G36" s="160"/>
      <c r="H36" s="160"/>
      <c r="I36" s="160"/>
      <c r="J36" s="166"/>
      <c r="K36" s="166"/>
      <c r="L36" s="166"/>
      <c r="M36" s="160"/>
      <c r="N36" s="160"/>
      <c r="O36" s="160"/>
      <c r="P36" s="160"/>
      <c r="Q36" s="160"/>
      <c r="R36" s="160"/>
      <c r="S36" s="8"/>
    </row>
    <row r="37" spans="1:19" ht="14.4" customHeight="1" x14ac:dyDescent="0.3">
      <c r="E37" s="160"/>
      <c r="F37" s="160"/>
      <c r="G37" s="160"/>
      <c r="H37" s="160"/>
      <c r="I37" s="160"/>
      <c r="J37" s="166"/>
      <c r="K37" s="166"/>
      <c r="L37" s="166"/>
      <c r="M37" s="160"/>
      <c r="N37" s="160"/>
      <c r="O37" s="160"/>
      <c r="P37" s="160"/>
      <c r="Q37" s="160"/>
      <c r="R37" s="160"/>
      <c r="S37" s="8"/>
    </row>
    <row r="38" spans="1:19" x14ac:dyDescent="0.3">
      <c r="A38" s="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8"/>
    </row>
    <row r="39" spans="1:19" x14ac:dyDescent="0.3">
      <c r="A39" s="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8"/>
    </row>
    <row r="40" spans="1:19" x14ac:dyDescent="0.3">
      <c r="A40" s="205" t="s">
        <v>431</v>
      </c>
      <c r="B40" s="206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6"/>
      <c r="S40" s="207"/>
    </row>
    <row r="41" spans="1:19" ht="15" thickBot="1" x14ac:dyDescent="0.35">
      <c r="A41" s="208" t="s">
        <v>444</v>
      </c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10"/>
    </row>
  </sheetData>
  <mergeCells count="22">
    <mergeCell ref="A40:S40"/>
    <mergeCell ref="A41:S41"/>
    <mergeCell ref="A1:S1"/>
    <mergeCell ref="F16:I16"/>
    <mergeCell ref="F17:I17"/>
    <mergeCell ref="F18:I18"/>
    <mergeCell ref="F19:I19"/>
    <mergeCell ref="F11:I11"/>
    <mergeCell ref="F12:I12"/>
    <mergeCell ref="F13:I13"/>
    <mergeCell ref="F14:I14"/>
    <mergeCell ref="F15:I15"/>
    <mergeCell ref="A22:D22"/>
    <mergeCell ref="A29:D29"/>
    <mergeCell ref="F3:I3"/>
    <mergeCell ref="A32:D32"/>
    <mergeCell ref="A36:D36"/>
    <mergeCell ref="A3:D3"/>
    <mergeCell ref="A14:D14"/>
    <mergeCell ref="A7:D7"/>
    <mergeCell ref="A21:D21"/>
    <mergeCell ref="A12:D12"/>
  </mergeCells>
  <pageMargins left="0.23622047244094491" right="0.23622047244094491" top="0.74803149606299213" bottom="0.74803149606299213" header="0.31496062992125984" footer="0.31496062992125984"/>
  <pageSetup scale="4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47DA-6EF3-44EE-A7DA-C0108C4B2F06}">
  <sheetPr>
    <pageSetUpPr fitToPage="1"/>
  </sheetPr>
  <dimension ref="A1:Z104"/>
  <sheetViews>
    <sheetView showGridLines="0" tabSelected="1" zoomScale="47" zoomScaleNormal="47" zoomScaleSheetLayoutView="40" workbookViewId="0">
      <selection sqref="A1:Z1"/>
    </sheetView>
  </sheetViews>
  <sheetFormatPr defaultRowHeight="14.4" x14ac:dyDescent="0.3"/>
  <sheetData>
    <row r="1" spans="1:26" ht="47.4" x14ac:dyDescent="0.9">
      <c r="A1" s="293" t="s">
        <v>464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 spans="1:26" x14ac:dyDescent="0.3">
      <c r="A2" s="294"/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 spans="1:26" x14ac:dyDescent="0.3">
      <c r="A3" s="294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</row>
    <row r="4" spans="1:26" x14ac:dyDescent="0.3">
      <c r="A4" s="294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 spans="1:26" x14ac:dyDescent="0.3">
      <c r="A5" s="294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</row>
    <row r="6" spans="1:26" x14ac:dyDescent="0.3">
      <c r="A6" s="294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</row>
    <row r="7" spans="1:26" x14ac:dyDescent="0.3">
      <c r="A7" s="294"/>
      <c r="B7" s="294"/>
      <c r="C7" s="294"/>
      <c r="D7" s="294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</row>
    <row r="8" spans="1:26" x14ac:dyDescent="0.3">
      <c r="A8" s="294"/>
      <c r="B8" s="294"/>
      <c r="C8" s="294"/>
      <c r="D8" s="294"/>
      <c r="E8" s="294"/>
      <c r="F8" s="294"/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</row>
    <row r="9" spans="1:26" x14ac:dyDescent="0.3">
      <c r="A9" s="294"/>
      <c r="B9" s="294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</row>
    <row r="10" spans="1:26" x14ac:dyDescent="0.3">
      <c r="A10" s="294"/>
      <c r="B10" s="294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</row>
    <row r="11" spans="1:26" x14ac:dyDescent="0.3">
      <c r="A11" s="294"/>
      <c r="B11" s="294"/>
      <c r="C11" s="294"/>
      <c r="D11" s="294"/>
      <c r="E11" s="294"/>
      <c r="F11" s="294"/>
      <c r="G11" s="294"/>
      <c r="H11" s="294"/>
      <c r="I11" s="294"/>
      <c r="J11" s="294"/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</row>
    <row r="12" spans="1:26" x14ac:dyDescent="0.3">
      <c r="A12" s="294"/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</row>
    <row r="13" spans="1:26" x14ac:dyDescent="0.3">
      <c r="A13" s="294"/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 spans="1:26" x14ac:dyDescent="0.3">
      <c r="A14" s="294"/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</row>
    <row r="15" spans="1:26" x14ac:dyDescent="0.3">
      <c r="A15" s="294"/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</row>
    <row r="16" spans="1:26" x14ac:dyDescent="0.3">
      <c r="A16" s="294"/>
      <c r="B16" s="294"/>
      <c r="C16" s="294"/>
      <c r="D16" s="294"/>
      <c r="E16" s="294"/>
      <c r="F16" s="294"/>
      <c r="G16" s="294"/>
      <c r="H16" s="294"/>
      <c r="I16" s="294"/>
      <c r="J16" s="294"/>
      <c r="K16" s="294"/>
      <c r="L16" s="294"/>
      <c r="M16" s="29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</row>
    <row r="17" spans="1:26" x14ac:dyDescent="0.3">
      <c r="A17" s="294"/>
      <c r="B17" s="294"/>
      <c r="C17" s="294"/>
      <c r="D17" s="294"/>
      <c r="E17" s="294"/>
      <c r="F17" s="294"/>
      <c r="G17" s="294"/>
      <c r="H17" s="294"/>
      <c r="I17" s="294"/>
      <c r="J17" s="294"/>
      <c r="K17" s="294"/>
      <c r="L17" s="294"/>
      <c r="M17" s="294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</row>
    <row r="18" spans="1:26" x14ac:dyDescent="0.3">
      <c r="A18" s="294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</row>
    <row r="19" spans="1:26" x14ac:dyDescent="0.3">
      <c r="A19" s="294"/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</row>
    <row r="20" spans="1:26" x14ac:dyDescent="0.3">
      <c r="A20" s="294"/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</row>
    <row r="21" spans="1:26" x14ac:dyDescent="0.3">
      <c r="A21" s="294"/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</row>
    <row r="22" spans="1:26" x14ac:dyDescent="0.3">
      <c r="A22" s="294"/>
      <c r="B22" s="294"/>
      <c r="C22" s="294"/>
      <c r="D22" s="294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 spans="1:26" x14ac:dyDescent="0.3">
      <c r="A23" s="294"/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 spans="1:26" x14ac:dyDescent="0.3">
      <c r="A24" s="294"/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 spans="1:26" x14ac:dyDescent="0.3">
      <c r="A25" s="294"/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 spans="1:26" x14ac:dyDescent="0.3">
      <c r="A26" s="294"/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 spans="1:26" x14ac:dyDescent="0.3">
      <c r="A27" s="294"/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 spans="1:26" x14ac:dyDescent="0.3">
      <c r="A28" s="294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 spans="1:26" x14ac:dyDescent="0.3">
      <c r="A29" s="294"/>
      <c r="B29" s="294"/>
      <c r="C29" s="294"/>
      <c r="D29" s="294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 spans="1:26" x14ac:dyDescent="0.3">
      <c r="A30" s="294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 spans="1:26" x14ac:dyDescent="0.3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 spans="1:26" x14ac:dyDescent="0.3">
      <c r="A32" s="294"/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 spans="1:26" x14ac:dyDescent="0.3">
      <c r="A33" s="294"/>
      <c r="B33" s="294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 spans="1:26" x14ac:dyDescent="0.3">
      <c r="A34" s="294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 spans="1:26" x14ac:dyDescent="0.3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 spans="1:26" x14ac:dyDescent="0.3">
      <c r="A36" s="294"/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 spans="1:26" x14ac:dyDescent="0.3">
      <c r="A37" s="294"/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 spans="1:26" x14ac:dyDescent="0.3">
      <c r="A38" s="294"/>
      <c r="B38" s="294"/>
      <c r="C38" s="294"/>
      <c r="D38" s="294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 spans="1:26" x14ac:dyDescent="0.3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 spans="1:26" x14ac:dyDescent="0.3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 spans="1:26" x14ac:dyDescent="0.3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 spans="1:26" x14ac:dyDescent="0.3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 spans="1:26" x14ac:dyDescent="0.3">
      <c r="A43" s="294"/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 spans="1:26" x14ac:dyDescent="0.3">
      <c r="A44" s="294"/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 spans="1:26" x14ac:dyDescent="0.3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 spans="1:26" x14ac:dyDescent="0.3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 spans="1:26" x14ac:dyDescent="0.3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 spans="1:26" x14ac:dyDescent="0.3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 spans="1:26" x14ac:dyDescent="0.3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 spans="1:26" x14ac:dyDescent="0.3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 spans="1:26" x14ac:dyDescent="0.3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 spans="1:26" x14ac:dyDescent="0.3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 spans="1:26" x14ac:dyDescent="0.3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 spans="1:26" x14ac:dyDescent="0.3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 spans="1:26" x14ac:dyDescent="0.3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 spans="1:26" x14ac:dyDescent="0.3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 spans="1:26" x14ac:dyDescent="0.3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 spans="1:26" x14ac:dyDescent="0.3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 spans="1:26" x14ac:dyDescent="0.3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 spans="1:26" x14ac:dyDescent="0.3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 spans="1:26" x14ac:dyDescent="0.3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 spans="1:26" x14ac:dyDescent="0.3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 spans="1:26" x14ac:dyDescent="0.3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 spans="1:26" x14ac:dyDescent="0.3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 spans="1:26" x14ac:dyDescent="0.3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 spans="1:26" x14ac:dyDescent="0.3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 spans="1:26" x14ac:dyDescent="0.3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 spans="1:26" x14ac:dyDescent="0.3">
      <c r="A68" s="294"/>
      <c r="B68" s="294"/>
      <c r="C68" s="294"/>
      <c r="D68" s="294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 spans="1:26" x14ac:dyDescent="0.3">
      <c r="A69" s="294"/>
      <c r="B69" s="294"/>
      <c r="C69" s="294"/>
      <c r="D69" s="294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 spans="1:26" x14ac:dyDescent="0.3">
      <c r="A70" s="294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 spans="1:26" x14ac:dyDescent="0.3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 spans="1:26" x14ac:dyDescent="0.3">
      <c r="A72" s="294"/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 spans="1:26" x14ac:dyDescent="0.3">
      <c r="A73" s="294"/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 spans="1:26" x14ac:dyDescent="0.3">
      <c r="A74" s="294"/>
      <c r="B74" s="294"/>
      <c r="C74" s="294"/>
      <c r="D74" s="294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 spans="1:26" x14ac:dyDescent="0.3">
      <c r="A75" s="294"/>
      <c r="B75" s="294"/>
      <c r="C75" s="294"/>
      <c r="D75" s="294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 spans="1:26" x14ac:dyDescent="0.3">
      <c r="A76" s="294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 spans="1:26" x14ac:dyDescent="0.3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 spans="1:26" x14ac:dyDescent="0.3">
      <c r="A78" s="294"/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 spans="1:26" x14ac:dyDescent="0.3">
      <c r="A79" s="294"/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 spans="1:26" x14ac:dyDescent="0.3">
      <c r="A80" s="294"/>
      <c r="B80" s="294"/>
      <c r="C80" s="294"/>
      <c r="D80" s="294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 spans="1:26" x14ac:dyDescent="0.3">
      <c r="A81" s="294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 spans="1:26" x14ac:dyDescent="0.3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 spans="1:26" x14ac:dyDescent="0.3">
      <c r="A83" s="294"/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spans="1:26" x14ac:dyDescent="0.3">
      <c r="A84" s="294"/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 spans="1:26" x14ac:dyDescent="0.3">
      <c r="A85" s="294"/>
      <c r="B85" s="294"/>
      <c r="C85" s="294"/>
      <c r="D85" s="294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 spans="1:26" x14ac:dyDescent="0.3">
      <c r="A86" s="294"/>
      <c r="B86" s="294"/>
      <c r="C86" s="294"/>
      <c r="D86" s="294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 spans="1:26" x14ac:dyDescent="0.3">
      <c r="A87" s="294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 spans="1:26" x14ac:dyDescent="0.3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 spans="1:26" x14ac:dyDescent="0.3">
      <c r="A89" s="294"/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 spans="1:26" x14ac:dyDescent="0.3">
      <c r="A90" s="294"/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 spans="1:26" x14ac:dyDescent="0.3">
      <c r="A91" s="294"/>
      <c r="B91" s="294"/>
      <c r="C91" s="294"/>
      <c r="D91" s="294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 spans="1:26" x14ac:dyDescent="0.3">
      <c r="A92" s="294"/>
      <c r="B92" s="294"/>
      <c r="C92" s="294"/>
      <c r="D92" s="294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 spans="1:26" x14ac:dyDescent="0.3">
      <c r="A93" s="294"/>
      <c r="B93" s="294"/>
      <c r="C93" s="294"/>
      <c r="D93" s="294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 spans="1:26" x14ac:dyDescent="0.3">
      <c r="A94" s="294"/>
      <c r="B94" s="294"/>
      <c r="C94" s="294"/>
      <c r="D94" s="294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 spans="1:26" x14ac:dyDescent="0.3">
      <c r="A95" s="294"/>
      <c r="B95" s="294"/>
      <c r="C95" s="294"/>
      <c r="D95" s="294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 spans="1:26" x14ac:dyDescent="0.3">
      <c r="A96" s="294"/>
      <c r="B96" s="294"/>
      <c r="C96" s="294"/>
      <c r="D96" s="294"/>
      <c r="E96" s="294"/>
      <c r="F96" s="294"/>
      <c r="G96" s="294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 spans="1:26" x14ac:dyDescent="0.3">
      <c r="A97" s="294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 spans="1:26" x14ac:dyDescent="0.3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 spans="1:26" x14ac:dyDescent="0.3">
      <c r="A99" s="294"/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 spans="1:26" x14ac:dyDescent="0.3">
      <c r="A100" s="294"/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 spans="1:26" x14ac:dyDescent="0.3">
      <c r="A101" s="294"/>
      <c r="B101" s="294"/>
      <c r="C101" s="294"/>
      <c r="D101" s="294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 spans="1:26" x14ac:dyDescent="0.3">
      <c r="A102" s="294"/>
      <c r="B102" s="294"/>
      <c r="C102" s="294"/>
      <c r="D102" s="294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 spans="1:26" x14ac:dyDescent="0.3">
      <c r="A103" s="294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 spans="1:26" ht="18" x14ac:dyDescent="0.35">
      <c r="A104" s="294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4"/>
    </row>
  </sheetData>
  <mergeCells count="2">
    <mergeCell ref="A1:Z1"/>
    <mergeCell ref="B104:Y104"/>
  </mergeCells>
  <pageMargins left="0.70866141732283472" right="0.70866141732283472" top="0.74803149606299213" bottom="0.74803149606299213" header="0.31496062992125984" footer="0.31496062992125984"/>
  <pageSetup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Music_Festival_Data</vt:lpstr>
      <vt:lpstr>Artist_Popularity_Data</vt:lpstr>
      <vt:lpstr>Missing Values &amp; Outliers</vt:lpstr>
      <vt:lpstr>Data_Validation_Summary</vt:lpstr>
      <vt:lpstr>Cleaned Data</vt:lpstr>
      <vt:lpstr>Stage2</vt:lpstr>
      <vt:lpstr>Stage3</vt:lpstr>
      <vt:lpstr>Stage4</vt:lpstr>
      <vt:lpstr>Stage5</vt:lpstr>
      <vt:lpstr>Stage6</vt:lpstr>
      <vt:lpstr>Dashboard</vt:lpstr>
      <vt:lpstr>Thumbnail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KPW .</dc:creator>
  <cp:lastModifiedBy>KPW .</cp:lastModifiedBy>
  <cp:lastPrinted>2026-04-26T08:55:35Z</cp:lastPrinted>
  <dcterms:created xsi:type="dcterms:W3CDTF">2026-04-22T06:10:57Z</dcterms:created>
  <dcterms:modified xsi:type="dcterms:W3CDTF">2026-04-27T18:25:39Z</dcterms:modified>
</cp:coreProperties>
</file>